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YED\Downloads\Checks\"/>
    </mc:Choice>
  </mc:AlternateContent>
  <xr:revisionPtr revIDLastSave="0" documentId="13_ncr:1_{1B93DC32-1208-46CE-A5E9-15C00C88703C}" xr6:coauthVersionLast="47" xr6:coauthVersionMax="47" xr10:uidLastSave="{00000000-0000-0000-0000-000000000000}"/>
  <bookViews>
    <workbookView xWindow="-120" yWindow="-120" windowWidth="25440" windowHeight="15390" tabRatio="649" activeTab="1" xr2:uid="{00000000-000D-0000-FFFF-FFFF00000000}"/>
  </bookViews>
  <sheets>
    <sheet name="Data" sheetId="205" r:id="rId1"/>
    <sheet name="Summary" sheetId="1709" r:id="rId2"/>
    <sheet name="30-12-22" sheetId="2061" r:id="rId3"/>
    <sheet name="29-12-22" sheetId="2060" r:id="rId4"/>
    <sheet name="28-12-22" sheetId="2059" r:id="rId5"/>
    <sheet name="27-12-22" sheetId="2058" r:id="rId6"/>
    <sheet name="26-12-22" sheetId="2057" r:id="rId7"/>
    <sheet name="25-12-22" sheetId="2056" r:id="rId8"/>
    <sheet name="29-11-22" sheetId="2036" r:id="rId9"/>
    <sheet name="28-11-22" sheetId="2035" r:id="rId10"/>
    <sheet name="27-11-22" sheetId="2034" r:id="rId11"/>
    <sheet name="25-11-22" sheetId="2033" r:id="rId12"/>
    <sheet name="24-11-22" sheetId="2032" r:id="rId13"/>
    <sheet name="23-11-22" sheetId="2031" r:id="rId14"/>
  </sheets>
  <definedNames>
    <definedName name="_xlnm._FilterDatabase" localSheetId="13" hidden="1">'23-11-22'!$B$2:$F$2</definedName>
    <definedName name="_xlnm._FilterDatabase" localSheetId="12" hidden="1">'24-11-22'!$B$2:$F$2</definedName>
    <definedName name="_xlnm._FilterDatabase" localSheetId="11" hidden="1">'25-11-22'!$B$2:$F$2</definedName>
    <definedName name="_xlnm._FilterDatabase" localSheetId="7" hidden="1">'25-12-22'!$B$2:$F$2</definedName>
    <definedName name="_xlnm._FilterDatabase" localSheetId="6" hidden="1">'26-12-22'!$B$2:$F$2</definedName>
    <definedName name="_xlnm._FilterDatabase" localSheetId="10" hidden="1">'27-11-22'!$B$2:$F$2</definedName>
    <definedName name="_xlnm._FilterDatabase" localSheetId="5" hidden="1">'27-12-22'!$B$2:$F$2</definedName>
    <definedName name="_xlnm._FilterDatabase" localSheetId="9" hidden="1">'28-11-22'!$B$2:$F$2</definedName>
    <definedName name="_xlnm._FilterDatabase" localSheetId="4" hidden="1">'28-12-22'!$B$2:$F$2</definedName>
    <definedName name="_xlnm._FilterDatabase" localSheetId="8" hidden="1">'29-11-22'!$B$2:$F$2</definedName>
    <definedName name="_xlnm._FilterDatabase" localSheetId="3" hidden="1">'29-12-22'!$B$2:$F$2</definedName>
    <definedName name="_xlnm._FilterDatabase" localSheetId="2" hidden="1">'30-12-22'!$B$2:$F$2</definedName>
    <definedName name="_xlnm._FilterDatabase" localSheetId="0" hidden="1">Data!$B$2:$D$4</definedName>
    <definedName name="ACTIVITY">Data!$C$3:$C$35</definedName>
    <definedName name="LOCATION">Data!$F$3:$F$23</definedName>
    <definedName name="PROJECT">Data!$E$3:$E$350</definedName>
    <definedName name="STATUS">Data!$D$3:$D$23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061" l="1"/>
  <c r="D5" i="2061"/>
  <c r="D4" i="2061"/>
  <c r="D3" i="2061"/>
  <c r="A3" i="2061"/>
  <c r="A4" i="2061" s="1"/>
  <c r="A5" i="2061" s="1"/>
  <c r="A6" i="2061" s="1"/>
  <c r="B1" i="2061"/>
  <c r="D8" i="2060"/>
  <c r="D7" i="2060" l="1"/>
  <c r="D6" i="2060"/>
  <c r="D5" i="2060" l="1"/>
  <c r="D4" i="2060"/>
  <c r="D3" i="2060"/>
  <c r="A3" i="2060"/>
  <c r="A4" i="2060" s="1"/>
  <c r="A5" i="2060" s="1"/>
  <c r="A6" i="2060" s="1"/>
  <c r="A7" i="2060" s="1"/>
  <c r="A8" i="2060" s="1"/>
  <c r="B1" i="2060"/>
  <c r="D5" i="2059"/>
  <c r="D4" i="2059" l="1"/>
  <c r="D3" i="2059"/>
  <c r="A3" i="2059"/>
  <c r="A4" i="2059" s="1"/>
  <c r="A5" i="2059" s="1"/>
  <c r="B1" i="2059"/>
  <c r="D6" i="2058"/>
  <c r="D5" i="2058"/>
  <c r="D4" i="2058" l="1"/>
  <c r="D3" i="2058" l="1"/>
  <c r="A3" i="2058"/>
  <c r="A4" i="2058" s="1"/>
  <c r="A5" i="2058" s="1"/>
  <c r="A6" i="2058" s="1"/>
  <c r="B1" i="2058"/>
  <c r="D8" i="2057"/>
  <c r="D7" i="2057"/>
  <c r="D6" i="2057"/>
  <c r="D5" i="2057"/>
  <c r="D4" i="2057"/>
  <c r="D3" i="2057"/>
  <c r="A3" i="2057"/>
  <c r="A4" i="2057" s="1"/>
  <c r="A5" i="2057" s="1"/>
  <c r="A6" i="2057" s="1"/>
  <c r="A7" i="2057" s="1"/>
  <c r="A8" i="2057" s="1"/>
  <c r="B1" i="2057"/>
  <c r="D7" i="2056"/>
  <c r="D6" i="2056" l="1"/>
  <c r="D5" i="2056"/>
  <c r="D4" i="2056"/>
  <c r="D3" i="2056"/>
  <c r="A3" i="2056"/>
  <c r="A4" i="2056" s="1"/>
  <c r="A5" i="2056" s="1"/>
  <c r="A6" i="2056" s="1"/>
  <c r="A7" i="2056" s="1"/>
  <c r="B1" i="2056"/>
  <c r="D8" i="2036" l="1"/>
  <c r="D7" i="2036" l="1"/>
  <c r="D6" i="2036"/>
  <c r="D5" i="2036"/>
  <c r="D4" i="2036"/>
  <c r="D3" i="2036"/>
  <c r="A3" i="2036"/>
  <c r="A4" i="2036" s="1"/>
  <c r="A5" i="2036" s="1"/>
  <c r="A6" i="2036" s="1"/>
  <c r="A7" i="2036" s="1"/>
  <c r="A8" i="2036" s="1"/>
  <c r="B1" i="2036"/>
  <c r="D7" i="2035"/>
  <c r="D6" i="2035" l="1"/>
  <c r="D5" i="2035"/>
  <c r="D4" i="2035"/>
  <c r="D3" i="2035"/>
  <c r="A3" i="2035"/>
  <c r="A4" i="2035" s="1"/>
  <c r="A5" i="2035" s="1"/>
  <c r="A6" i="2035" s="1"/>
  <c r="A7" i="2035" s="1"/>
  <c r="B1" i="2035"/>
  <c r="D7" i="2034"/>
  <c r="D6" i="2034"/>
  <c r="D5" i="2034" l="1"/>
  <c r="D4" i="2034"/>
  <c r="D3" i="2034"/>
  <c r="A3" i="2034"/>
  <c r="A4" i="2034" s="1"/>
  <c r="A5" i="2034" s="1"/>
  <c r="A6" i="2034" s="1"/>
  <c r="A7" i="2034" s="1"/>
  <c r="B1" i="2034"/>
  <c r="D5" i="2033"/>
  <c r="D4" i="2033"/>
  <c r="D3" i="2033"/>
  <c r="A3" i="2033"/>
  <c r="A4" i="2033" s="1"/>
  <c r="A5" i="2033" s="1"/>
  <c r="B1" i="2033"/>
  <c r="D6" i="2032"/>
  <c r="D5" i="2032"/>
  <c r="D4" i="2032"/>
  <c r="D3" i="2032"/>
  <c r="A3" i="2032"/>
  <c r="A4" i="2032" s="1"/>
  <c r="A5" i="2032" s="1"/>
  <c r="A6" i="2032" s="1"/>
  <c r="B1" i="2032"/>
  <c r="D9" i="2031"/>
  <c r="D8" i="2031" l="1"/>
  <c r="D7" i="2031" l="1"/>
  <c r="D6" i="2031"/>
  <c r="D5" i="2031"/>
  <c r="D4" i="2031"/>
  <c r="D3" i="2031"/>
  <c r="A3" i="2031"/>
  <c r="A4" i="2031" s="1"/>
  <c r="A5" i="2031" s="1"/>
  <c r="A6" i="2031" s="1"/>
  <c r="A7" i="2031" s="1"/>
  <c r="A8" i="2031" s="1"/>
  <c r="A9" i="2031" s="1"/>
  <c r="B1" i="2031"/>
  <c r="J279" i="205" l="1"/>
  <c r="J278" i="205"/>
  <c r="J280" i="205" s="1"/>
  <c r="J277" i="205"/>
  <c r="J224" i="205" l="1"/>
  <c r="K224" i="205" s="1"/>
  <c r="K225" i="205" s="1"/>
  <c r="K226" i="205" s="1"/>
  <c r="L219" i="205" l="1"/>
  <c r="L218" i="205"/>
  <c r="L217" i="205"/>
  <c r="L216" i="205"/>
  <c r="L220" i="205" l="1"/>
</calcChain>
</file>

<file path=xl/sharedStrings.xml><?xml version="1.0" encoding="utf-8"?>
<sst xmlns="http://schemas.openxmlformats.org/spreadsheetml/2006/main" count="1290" uniqueCount="449">
  <si>
    <t>Sr. No.</t>
  </si>
  <si>
    <t>Date:</t>
  </si>
  <si>
    <t>UNDER PROCESS</t>
  </si>
  <si>
    <t>ACTIVITY</t>
  </si>
  <si>
    <t>SITE VISIT</t>
  </si>
  <si>
    <t>STATUS</t>
  </si>
  <si>
    <t>PROJECT</t>
  </si>
  <si>
    <t>REFERENCE</t>
  </si>
  <si>
    <t>EMAIL</t>
  </si>
  <si>
    <t>TECHNICAL REPORT</t>
  </si>
  <si>
    <t>METHOD STATEMENT</t>
  </si>
  <si>
    <t>LOCATION</t>
  </si>
  <si>
    <t>Churchill Towers</t>
  </si>
  <si>
    <t>DUBAI</t>
  </si>
  <si>
    <t>ABU-DHABI</t>
  </si>
  <si>
    <t>SHARJAH</t>
  </si>
  <si>
    <t>QATAR</t>
  </si>
  <si>
    <t>KUWAIT</t>
  </si>
  <si>
    <t>KSA</t>
  </si>
  <si>
    <t>BAHRAIN</t>
  </si>
  <si>
    <t>OTHERS REVIEW</t>
  </si>
  <si>
    <t>MEETING_CLIENT</t>
  </si>
  <si>
    <t>MEETING_SUPPLIER</t>
  </si>
  <si>
    <t>MEETING_INTERNAL</t>
  </si>
  <si>
    <t>North Gate Mall</t>
  </si>
  <si>
    <t>Viva bahriya - Pearl</t>
  </si>
  <si>
    <t>CCL GULF OFFICE</t>
  </si>
  <si>
    <t>QUOTATION</t>
  </si>
  <si>
    <t>DRAWING</t>
  </si>
  <si>
    <t>DONE</t>
  </si>
  <si>
    <t>SUPPLIER_QTN</t>
  </si>
  <si>
    <t>SCHEDULE</t>
  </si>
  <si>
    <t>Tiara Hotel Tower</t>
  </si>
  <si>
    <t>Kempinski Hotel</t>
  </si>
  <si>
    <t>TECHNICAL SUBMITTAL</t>
  </si>
  <si>
    <t>CCL QATAR OFFICE</t>
  </si>
  <si>
    <t>Prime Business Center</t>
  </si>
  <si>
    <t>SITE WORKS</t>
  </si>
  <si>
    <t>OPERATIONS</t>
  </si>
  <si>
    <t>Marina 101</t>
  </si>
  <si>
    <t>FUJAIRAH</t>
  </si>
  <si>
    <t>LETTER</t>
  </si>
  <si>
    <t>BOQ</t>
  </si>
  <si>
    <t>Latifa Tower</t>
  </si>
  <si>
    <t>Dubai Mall</t>
  </si>
  <si>
    <t>FOLLOW-UP</t>
  </si>
  <si>
    <t>Lilian Tower</t>
  </si>
  <si>
    <t>DicoTech</t>
  </si>
  <si>
    <t>INFORMATION</t>
  </si>
  <si>
    <t>STORE VISIT</t>
  </si>
  <si>
    <t>Business Development</t>
  </si>
  <si>
    <t>ECC</t>
  </si>
  <si>
    <t>Emirates NBD</t>
  </si>
  <si>
    <t>Naeem Mall</t>
  </si>
  <si>
    <t>NOTES</t>
  </si>
  <si>
    <t>Tiara Pkg-4</t>
  </si>
  <si>
    <t>KIZAD</t>
  </si>
  <si>
    <t>Dr. Riadh Hospital (Core wall)</t>
  </si>
  <si>
    <t>Damac Heights</t>
  </si>
  <si>
    <t>SITE SURVEY</t>
  </si>
  <si>
    <t>Ghazi Warehouse</t>
  </si>
  <si>
    <t>Burj Daman</t>
  </si>
  <si>
    <t>REPORT</t>
  </si>
  <si>
    <t>Paragon Bay Mall</t>
  </si>
  <si>
    <t>Jafza Building 17</t>
  </si>
  <si>
    <t>Al-Shaali Building</t>
  </si>
  <si>
    <t>AJMAN</t>
  </si>
  <si>
    <t>MEETING_CONSULTANT</t>
  </si>
  <si>
    <t>Amesco</t>
  </si>
  <si>
    <t>Latifa Tower (L-15)</t>
  </si>
  <si>
    <t>Dr. Riadh Hospital (Ramp)</t>
  </si>
  <si>
    <t>FGB Building Jadaf</t>
  </si>
  <si>
    <t>Hydra Project</t>
  </si>
  <si>
    <t>Concorde Tower JLT</t>
  </si>
  <si>
    <t>Kempinski Lower Roof</t>
  </si>
  <si>
    <t>Barari Towers</t>
  </si>
  <si>
    <t>Kempinski GF Lift</t>
  </si>
  <si>
    <t>Canadian Hospital</t>
  </si>
  <si>
    <t>The Address Phase 2</t>
  </si>
  <si>
    <t>Jalila Foundation</t>
  </si>
  <si>
    <t>JAFZA</t>
  </si>
  <si>
    <t>Vision Tower</t>
  </si>
  <si>
    <t>Mandarin Hotel</t>
  </si>
  <si>
    <t>Address Fashion</t>
  </si>
  <si>
    <t>Damac - The Wave</t>
  </si>
  <si>
    <t>Lamcy Plaza</t>
  </si>
  <si>
    <t>Azizi Developers</t>
  </si>
  <si>
    <t>Hansa Hotel</t>
  </si>
  <si>
    <t>Shapoorji G+4 Building</t>
  </si>
  <si>
    <t>Gate Towers Shapoorji</t>
  </si>
  <si>
    <t>Merano Tower Al-Sahel</t>
  </si>
  <si>
    <t>Staff Accomodation DIP</t>
  </si>
  <si>
    <t>Arcade Tower</t>
  </si>
  <si>
    <t>MILCO</t>
  </si>
  <si>
    <t>Villa DIP</t>
  </si>
  <si>
    <t>Continental</t>
  </si>
  <si>
    <t>School Nad-al-hamr</t>
  </si>
  <si>
    <t>Dr. Riadh Hospital (Roof)</t>
  </si>
  <si>
    <t>Building_Deira</t>
  </si>
  <si>
    <t>School Sharjah_Elite Design</t>
  </si>
  <si>
    <t>World Trade Center (KONE)</t>
  </si>
  <si>
    <t>GEMS School (Sharjah)</t>
  </si>
  <si>
    <t>TECOM Towers (Transemirates)</t>
  </si>
  <si>
    <t>Coptic Church</t>
  </si>
  <si>
    <t>Habib Bank Building</t>
  </si>
  <si>
    <t>AbuDhabi School</t>
  </si>
  <si>
    <t>ADCI HQ Building</t>
  </si>
  <si>
    <t>Dr. Ghanem Villa</t>
  </si>
  <si>
    <t>Paragon Cinema</t>
  </si>
  <si>
    <t>Marina Continental</t>
  </si>
  <si>
    <t>Mazyad Mall</t>
  </si>
  <si>
    <t>Asma Hotel Barsha</t>
  </si>
  <si>
    <t>Pointe Mall Palm</t>
  </si>
  <si>
    <t>INVOICE</t>
  </si>
  <si>
    <t>Barsha Tower</t>
  </si>
  <si>
    <t>Nakheel Mall</t>
  </si>
  <si>
    <t>CCL KSA</t>
  </si>
  <si>
    <t>Palm D-Frond Villa 132</t>
  </si>
  <si>
    <t>DM Building Rashidiya</t>
  </si>
  <si>
    <t>Al-Manzel Building Pool</t>
  </si>
  <si>
    <t>Dhiyyafa Building</t>
  </si>
  <si>
    <t>Jadaf Hotel Building</t>
  </si>
  <si>
    <t>City Land Mall AVIC</t>
  </si>
  <si>
    <t>Medical Village KSA</t>
  </si>
  <si>
    <t>DIB Bank Sharjah</t>
  </si>
  <si>
    <t>Hatta Building</t>
  </si>
  <si>
    <t>Aster Building Sharjah</t>
  </si>
  <si>
    <t>Retaj Hotel Riyadh</t>
  </si>
  <si>
    <t>Blue Bay Tower</t>
  </si>
  <si>
    <t>Furjan Building</t>
  </si>
  <si>
    <t>Al-Nokhba School</t>
  </si>
  <si>
    <t>Motorcity Building</t>
  </si>
  <si>
    <t>Asisa Dental</t>
  </si>
  <si>
    <t>Sunset Mall</t>
  </si>
  <si>
    <t>Ibn-e-Batuta</t>
  </si>
  <si>
    <t>Agora Shopping Mall</t>
  </si>
  <si>
    <t>CRC Stella WaterTank</t>
  </si>
  <si>
    <t>Lincoln Showroom</t>
  </si>
  <si>
    <t>Damac-7404</t>
  </si>
  <si>
    <t>Maven Spa</t>
  </si>
  <si>
    <t>Science Park Building</t>
  </si>
  <si>
    <t>KG4 Hospital</t>
  </si>
  <si>
    <t>Hera Project</t>
  </si>
  <si>
    <t>Hussain Darwaish Bldg</t>
  </si>
  <si>
    <t>T2 Greens</t>
  </si>
  <si>
    <t>Elite-2 and 6</t>
  </si>
  <si>
    <t>Premmier Inn</t>
  </si>
  <si>
    <t>Barsha Pond Hotel</t>
  </si>
  <si>
    <t>Wasl Tower</t>
  </si>
  <si>
    <t>Deira Waterfront</t>
  </si>
  <si>
    <t>Burjuman Mall</t>
  </si>
  <si>
    <t>Das Island_Emdad</t>
  </si>
  <si>
    <t>DAS ISLAND</t>
  </si>
  <si>
    <t>Mai Dubai</t>
  </si>
  <si>
    <t>HSBC Bank</t>
  </si>
  <si>
    <t>Damac Akoya</t>
  </si>
  <si>
    <t>Yas Mall</t>
  </si>
  <si>
    <t>DIB Deira</t>
  </si>
  <si>
    <t>Dubai Creek Cove</t>
  </si>
  <si>
    <t>Sky Villa_Amesco</t>
  </si>
  <si>
    <t>Switching Station_L&amp;T</t>
  </si>
  <si>
    <t>Meydan One (Salini Impregillo)</t>
  </si>
  <si>
    <t>Lilian Tower RCC Walls</t>
  </si>
  <si>
    <t>City Land Mall Beams</t>
  </si>
  <si>
    <t>ME DO RE JLT</t>
  </si>
  <si>
    <t>Wafi Mall</t>
  </si>
  <si>
    <t>Lacasa Tecom Building</t>
  </si>
  <si>
    <t>King Faisal Hospital - KSA</t>
  </si>
  <si>
    <t>Police Academy AUH</t>
  </si>
  <si>
    <t>Villa on Palm</t>
  </si>
  <si>
    <t>JBR Hospital</t>
  </si>
  <si>
    <t>Bloom Tower JVC</t>
  </si>
  <si>
    <t>Al-Tayer Building</t>
  </si>
  <si>
    <t>Al-Dana 2 Building</t>
  </si>
  <si>
    <t>Deira City Center</t>
  </si>
  <si>
    <t>Dovronbek</t>
  </si>
  <si>
    <t>Circle Mall JVC</t>
  </si>
  <si>
    <t>GEMS Cambridge Sharjah</t>
  </si>
  <si>
    <t>ORASCOM Reem Island</t>
  </si>
  <si>
    <t>Khamis Al Qubsi</t>
  </si>
  <si>
    <t>Reem Plaza Riyadh</t>
  </si>
  <si>
    <t>Royal Continental</t>
  </si>
  <si>
    <t>PPI Coring 3rd floor</t>
  </si>
  <si>
    <t>Deira Waterfront Repairs</t>
  </si>
  <si>
    <t>DEWA Jebel Ali Repairs</t>
  </si>
  <si>
    <t>Khansaheb Villa</t>
  </si>
  <si>
    <t>Al-Hazami JVC Project</t>
  </si>
  <si>
    <t>Crowne Plaza Complex</t>
  </si>
  <si>
    <t>Ramboll</t>
  </si>
  <si>
    <t>Oberoi Building</t>
  </si>
  <si>
    <t>Raffah Building</t>
  </si>
  <si>
    <t>Marina Arcade Dutco</t>
  </si>
  <si>
    <t>INC Media City</t>
  </si>
  <si>
    <t>Dilmunia Mall Bahrain</t>
  </si>
  <si>
    <t>Manzil Building Karama</t>
  </si>
  <si>
    <t>Building in Silicon</t>
  </si>
  <si>
    <t>DIFC Gate Avenue Coring</t>
  </si>
  <si>
    <t>MOE Khansaheb</t>
  </si>
  <si>
    <t>Cake and More</t>
  </si>
  <si>
    <t>Ewan Coring</t>
  </si>
  <si>
    <t>PT_Town Square</t>
  </si>
  <si>
    <t>PT_Zawaya Al-Hebiah</t>
  </si>
  <si>
    <t>PT_DCH Palace</t>
  </si>
  <si>
    <t>Ali &amp; Sons_AUH</t>
  </si>
  <si>
    <t>Adnan Contracting_Gunite</t>
  </si>
  <si>
    <t>AlTayer_Google</t>
  </si>
  <si>
    <t>Crown Prince Court</t>
  </si>
  <si>
    <t>Marina Arcade 2019</t>
  </si>
  <si>
    <t>Hub Zero AFO</t>
  </si>
  <si>
    <t>Bridge Salini</t>
  </si>
  <si>
    <t>BW_Palm Villa</t>
  </si>
  <si>
    <t>Danube Fire NEB</t>
  </si>
  <si>
    <t>Abu-Khail Bldg</t>
  </si>
  <si>
    <t>Khansaheb Souqalbahar</t>
  </si>
  <si>
    <t>Elite Business Bay</t>
  </si>
  <si>
    <t>Mama hotel CRC</t>
  </si>
  <si>
    <t>Gulf and Safa Dairies</t>
  </si>
  <si>
    <t>IAT Zayed University</t>
  </si>
  <si>
    <t>American University Sharjah</t>
  </si>
  <si>
    <t>Brass Monkey ISGPLC</t>
  </si>
  <si>
    <t>Dubai Silicon Park</t>
  </si>
  <si>
    <t>Muraqqabat Building</t>
  </si>
  <si>
    <t>Al-Dhaih Bahrain</t>
  </si>
  <si>
    <t>H1 Building</t>
  </si>
  <si>
    <t>DIFC Tenants</t>
  </si>
  <si>
    <t>Prudential Towers</t>
  </si>
  <si>
    <t>Jumeirah Villa Gulf Engg</t>
  </si>
  <si>
    <t>Marina Arcade Syndicate</t>
  </si>
  <si>
    <t>Westburry Tower APG</t>
  </si>
  <si>
    <t>BW Emirates Villa</t>
  </si>
  <si>
    <t>Marina Bay Building</t>
  </si>
  <si>
    <t>Wisal Tower</t>
  </si>
  <si>
    <t>Yas Media Zone</t>
  </si>
  <si>
    <t>Bulgari Marina Lofts</t>
  </si>
  <si>
    <t>Wahda Mall AUH</t>
  </si>
  <si>
    <t>EMPOWER CR18</t>
  </si>
  <si>
    <t>Dubai Courts CR18</t>
  </si>
  <si>
    <t>Al-Kazem Tower</t>
  </si>
  <si>
    <t>Fahim Villa</t>
  </si>
  <si>
    <t>BNS-U3 Tower JLT</t>
  </si>
  <si>
    <t>Soteria Wasl Restaurant</t>
  </si>
  <si>
    <t>RGSG Multiplex</t>
  </si>
  <si>
    <t>Central Park JVC</t>
  </si>
  <si>
    <t>Muraqqabat Repairs A&amp;B</t>
  </si>
  <si>
    <t>Burj Al Arab</t>
  </si>
  <si>
    <t>Burj Daman Gargash</t>
  </si>
  <si>
    <t>Fifty-One Tower</t>
  </si>
  <si>
    <t>Hattan tower barsha</t>
  </si>
  <si>
    <t>Marine Warehouse</t>
  </si>
  <si>
    <t>Jumeirah Villa Design Infinity</t>
  </si>
  <si>
    <t>Sharjah Mosque</t>
  </si>
  <si>
    <t>WOW Yas Mall</t>
  </si>
  <si>
    <t>Creek Rise Tower</t>
  </si>
  <si>
    <t>Wafi Column Repairs</t>
  </si>
  <si>
    <t>Day To Day Mall Transemirates</t>
  </si>
  <si>
    <t>Sterling East</t>
  </si>
  <si>
    <t>Barsha Villa</t>
  </si>
  <si>
    <t>ASGC Pump Airport</t>
  </si>
  <si>
    <t>Oud Metha Project</t>
  </si>
  <si>
    <t>Yas Mall Wall Strengthening</t>
  </si>
  <si>
    <t>JVC Khamas Building</t>
  </si>
  <si>
    <t>Sharjah Villa 49</t>
  </si>
  <si>
    <t>Jumeirah Villa APG</t>
  </si>
  <si>
    <t>Pullman ArchGroup</t>
  </si>
  <si>
    <t>Opal ENI AUH</t>
  </si>
  <si>
    <t>Binshama Barsha APG</t>
  </si>
  <si>
    <t>Wild Wadi Buggy Ramp AFO</t>
  </si>
  <si>
    <t>Opera Bldg Target</t>
  </si>
  <si>
    <t>Arjaan Dutco</t>
  </si>
  <si>
    <t>Hamriya Building</t>
  </si>
  <si>
    <t>PIC Rigga Wasl Bldg</t>
  </si>
  <si>
    <t>Central Bank APG</t>
  </si>
  <si>
    <t>QTC Slab on Grade Kizad</t>
  </si>
  <si>
    <t>Studio10_Dubai Mall</t>
  </si>
  <si>
    <t>Tiger JLT</t>
  </si>
  <si>
    <t>Opus Tower</t>
  </si>
  <si>
    <t>Corporate Tower</t>
  </si>
  <si>
    <t>PKR</t>
  </si>
  <si>
    <t>Yearly</t>
  </si>
  <si>
    <t>1 crore people</t>
  </si>
  <si>
    <t>USD</t>
  </si>
  <si>
    <t>Profile Tower</t>
  </si>
  <si>
    <t>Marsa Hotel ASGC</t>
  </si>
  <si>
    <t>Warsan STP Kharafi</t>
  </si>
  <si>
    <t>Mirdif Villa DMA</t>
  </si>
  <si>
    <t>Najmat Tower CRC AUH</t>
  </si>
  <si>
    <t>EDGE Villa</t>
  </si>
  <si>
    <t>Ramboll Villa</t>
  </si>
  <si>
    <t>Elite Downtown</t>
  </si>
  <si>
    <t>Mediclinic</t>
  </si>
  <si>
    <t>Ajman City Center</t>
  </si>
  <si>
    <t>W50 Villa Gulf Engg</t>
  </si>
  <si>
    <t>AbuHail Villa</t>
  </si>
  <si>
    <t>Zabeel Aceptech</t>
  </si>
  <si>
    <t>Future Museum ATS</t>
  </si>
  <si>
    <t>Elite-1 &amp; 8</t>
  </si>
  <si>
    <t>Villa AUH</t>
  </si>
  <si>
    <t>City of Lights</t>
  </si>
  <si>
    <t>Palace Nad Al Sheba</t>
  </si>
  <si>
    <t>Rajhi Residential KSA</t>
  </si>
  <si>
    <t>D60 Villa</t>
  </si>
  <si>
    <t>H-Residence</t>
  </si>
  <si>
    <t>Ubora Tower</t>
  </si>
  <si>
    <t>Vertmont Tower JVC</t>
  </si>
  <si>
    <t>Dune Building</t>
  </si>
  <si>
    <t>Sheikh Saqer Bldg Ajman</t>
  </si>
  <si>
    <t>Dubai Wharf North25</t>
  </si>
  <si>
    <t>ONE Palm Mercury</t>
  </si>
  <si>
    <t>Abidos Hotel ASGC</t>
  </si>
  <si>
    <t>Bay Square ASGC</t>
  </si>
  <si>
    <t>Link Bridge DIFC Ali Sons</t>
  </si>
  <si>
    <t>DIC Becosan Flooring</t>
  </si>
  <si>
    <t>Canal Front Safa</t>
  </si>
  <si>
    <t>Oasis 2 Sports City</t>
  </si>
  <si>
    <t>West-5 Building</t>
  </si>
  <si>
    <t>Mosque Ghayathi</t>
  </si>
  <si>
    <t>Safa-B</t>
  </si>
  <si>
    <t>Bobyan Tower JLT CRC</t>
  </si>
  <si>
    <t>Winner - AUH Tower</t>
  </si>
  <si>
    <t>HH Shk Mohd Villa</t>
  </si>
  <si>
    <t>IMS_Wasl</t>
  </si>
  <si>
    <t>Park Avenue 3 Azizi</t>
  </si>
  <si>
    <t>Al Dar University</t>
  </si>
  <si>
    <t>Sunset Mall MRI</t>
  </si>
  <si>
    <t>Egypt Embassy AUH</t>
  </si>
  <si>
    <t>Hai Building</t>
  </si>
  <si>
    <t>Al-Tawon Sharjah</t>
  </si>
  <si>
    <t>Nad El Shebaa Mall</t>
  </si>
  <si>
    <t>Nakheel Mall Al-Khail</t>
  </si>
  <si>
    <t>Dubai Creek Dutco</t>
  </si>
  <si>
    <t>National History Museum</t>
  </si>
  <si>
    <t>NOBU Atlantis Restaurant</t>
  </si>
  <si>
    <t>Villa Nad Elshiba Ali Khalfan</t>
  </si>
  <si>
    <t>Villa W27 Emirates Hills</t>
  </si>
  <si>
    <t>Private Villa Zabeel</t>
  </si>
  <si>
    <t>Marina Rise Tower AUH</t>
  </si>
  <si>
    <t>Porto Island KLING</t>
  </si>
  <si>
    <t>Riviera Phase 3 Meydan</t>
  </si>
  <si>
    <t>Villa Hussain Darwish</t>
  </si>
  <si>
    <t>Pearl Bay Tower City of Lights</t>
  </si>
  <si>
    <t>Doora Tower</t>
  </si>
  <si>
    <t>QI Tower</t>
  </si>
  <si>
    <t>BS16 Studio City</t>
  </si>
  <si>
    <t>Nirvana Palm</t>
  </si>
  <si>
    <t>Saudi German Mirdiff</t>
  </si>
  <si>
    <t>W-Residence Dar Al Arkan</t>
  </si>
  <si>
    <t>Namar Hospital</t>
  </si>
  <si>
    <t>Sabah Specialty Hospital</t>
  </si>
  <si>
    <t>Crown Plaza Hotel</t>
  </si>
  <si>
    <t>Bishoy Azmy Villa</t>
  </si>
  <si>
    <t>Latifa Tower L-16</t>
  </si>
  <si>
    <t>Al-Nahda Building Waleed</t>
  </si>
  <si>
    <t>Full submittal sent to Engr. Negm via email</t>
  </si>
  <si>
    <t>DM approved drawings received</t>
  </si>
  <si>
    <t>Roof Restaurant</t>
  </si>
  <si>
    <t>DIB Dubai</t>
  </si>
  <si>
    <t>Qtn sent to Kawser for AED 395,000</t>
  </si>
  <si>
    <t>Full submittal in printed form (received copy of Adonis hard format)</t>
  </si>
  <si>
    <t>Full BOQ pricing prepared along with Atef</t>
  </si>
  <si>
    <t>Invoice updated and sent to Mena</t>
  </si>
  <si>
    <t>DM approved drawings received but need DM paper</t>
  </si>
  <si>
    <t>Arrange drawings for RC + PT for L60, 60M and 61</t>
  </si>
  <si>
    <t>Water Reservoir Hatta</t>
  </si>
  <si>
    <t>Qtn sent to Suleiman for AED 44,000</t>
  </si>
  <si>
    <t>Status-C received for Scope # 8</t>
  </si>
  <si>
    <t>DM document sent and requested new one</t>
  </si>
  <si>
    <t>RC + PT arranged for all L60, 60M and 61</t>
  </si>
  <si>
    <t>Photos and details for Kelly for CCL profile</t>
  </si>
  <si>
    <t>CAD layout received from Hicham for trenches</t>
  </si>
  <si>
    <t>Letter sent to Roshdy for design check for first floor</t>
  </si>
  <si>
    <t>Full updated submittal scope # 8 sent to Ahmed</t>
  </si>
  <si>
    <t>Full 3D GPR scanning report with tendon lockoff sent to client</t>
  </si>
  <si>
    <t>Drawings to Atef for site study</t>
  </si>
  <si>
    <t>Mrs Maryam Villa</t>
  </si>
  <si>
    <t>Villa J11 Palm</t>
  </si>
  <si>
    <t>Villa HT-28</t>
  </si>
  <si>
    <t>UHPC System Oman</t>
  </si>
  <si>
    <t>OMAN</t>
  </si>
  <si>
    <t>Maples 2 Lootah</t>
  </si>
  <si>
    <t>Letter sent for B4 NOC</t>
  </si>
  <si>
    <t>MS sent to CR18 for CFRP</t>
  </si>
  <si>
    <t>Qtn sent for AED 3,318,000 to client</t>
  </si>
  <si>
    <t>Some updated 60M and 61 drawings to omar</t>
  </si>
  <si>
    <t>Reminder to Sabeer - LPO to Fischer</t>
  </si>
  <si>
    <t>LPO to Sika</t>
  </si>
  <si>
    <t>Letter response sent to Roshdy.</t>
  </si>
  <si>
    <t>first floor – swimming pool area - NOC sent</t>
  </si>
  <si>
    <t>CCL new office layout</t>
  </si>
  <si>
    <t>Mail roshdy regarding access for truck</t>
  </si>
  <si>
    <t>Mix design request and updated costing sheet.</t>
  </si>
  <si>
    <t>Folder made for the new current latest scope</t>
  </si>
  <si>
    <t>cfrp drawings to nageh</t>
  </si>
  <si>
    <t>TL to Sanju</t>
  </si>
  <si>
    <t>Scope # 8 drawings to atef</t>
  </si>
  <si>
    <t>Afsal email responses and drawing stamp</t>
  </si>
  <si>
    <t>Updated submittal for Scope # 8 sent to Ahmed</t>
  </si>
  <si>
    <t>Private Villa Fence</t>
  </si>
  <si>
    <t>Burjuman Mall Refurbishment</t>
  </si>
  <si>
    <t>Wynn Tower</t>
  </si>
  <si>
    <t>PT_Beachfront Azizi</t>
  </si>
  <si>
    <t>Wisal Scanning</t>
  </si>
  <si>
    <t>DAMAC Capital Bay</t>
  </si>
  <si>
    <t>DAMAC Cour Jardin</t>
  </si>
  <si>
    <t>DAMAC Waters Edge</t>
  </si>
  <si>
    <t>Sari Villa</t>
  </si>
  <si>
    <t>Villa L46</t>
  </si>
  <si>
    <t>Labor Accomodation Global</t>
  </si>
  <si>
    <t>DAMAC Center Park Tower</t>
  </si>
  <si>
    <t>Astoria Habtoor City CR18</t>
  </si>
  <si>
    <t>Mina Building Raffa Al-Baha</t>
  </si>
  <si>
    <t>Omniyat 17A Palm WME</t>
  </si>
  <si>
    <t>CP03-002 &amp; 003</t>
  </si>
  <si>
    <t>Annex Building</t>
  </si>
  <si>
    <t>Villa P69</t>
  </si>
  <si>
    <t>Qaffay Island DBB</t>
  </si>
  <si>
    <t>CP01-13</t>
  </si>
  <si>
    <t>Park Towers</t>
  </si>
  <si>
    <t>CP03-005</t>
  </si>
  <si>
    <t>Palm Gate Towers Shapoorji</t>
  </si>
  <si>
    <t>Gold Souk Dxb-Mall Khansaheb</t>
  </si>
  <si>
    <t>\\cclserver\DATA\Q 2020\CCL STRENGTHENING\Dubai\2022\R1.5447.22 Nirvana @ Palm Jumeirah</t>
  </si>
  <si>
    <t>\\cclserver\DATA\P 2020\03 CR Projects\06-22-CR-017 Addax Tower</t>
  </si>
  <si>
    <t>\\cclserver\DATA\P 2020\03 CR Projects\06-21-CR-005 Marsa Al Arab\Construction phase</t>
  </si>
  <si>
    <t>\\cclserver\DATA\P 2020\03 CR Projects\06-22-CR-011 Park Avenue 3 (Azizi)</t>
  </si>
  <si>
    <t>\\cclserver\DATA\P 2020\01 Dubai\06-14-BU-004 Profile Residence\Construction Phase\CR\</t>
  </si>
  <si>
    <t>\\cclserver\DATA\P 2020\03 CR Projects\06-20-CR-002 MEDORE Tower\Construction Phase\</t>
  </si>
  <si>
    <t>\\cclserver\DATA\P 2020\03 CR Projects\06-22-CR-014 Saudi German Hospital Mirdif</t>
  </si>
  <si>
    <t>D:\OPERATIONS\1. ARCHIVES\31. CCL OFFICE</t>
  </si>
  <si>
    <t>\\cclserver\DATA\P 2020\03 CR Projects\06-21-CR-014 Addax Tower (city of lights)\Construction Phase</t>
  </si>
  <si>
    <t>\\cclserver\DATA\Q 2020\CCL STRENGTHENING\Dubai\2022\R1.5503.22 Maple 2 Bldg</t>
  </si>
  <si>
    <t>\\cclserver\DATA\P 2020\03 CR Projects\06-17-BU-018 NFPC Mega Plant\Construction Phase\Qtn</t>
  </si>
  <si>
    <t>D:\OPERATIONS\2. CCL Prequalification R &amp; S\9. Consultant LIST + CCL Brochure 2022</t>
  </si>
  <si>
    <t>\\cclserver\DATA\P 2020\01 Dubai\06-14-BU-004 Profile Residence\Construction Phase\CR</t>
  </si>
  <si>
    <t>\\cclserver\DATA\Q 2020\CCL STRENGTHENING\Dubai\2022\R1.5490.22 Water Resevoir</t>
  </si>
  <si>
    <t>\\cclserver\DATA\Q 2020\CCL STRENGTHENING\Dubai\2022\R1.5489.22 Bank G+2 @ Mirdiff</t>
  </si>
  <si>
    <t>\\cclserver\DATA\Q 2020\CCL STRENGTHENING\Dubai\2022\R1.5487.22 DIB</t>
  </si>
  <si>
    <t>\\cclserver\DATA\P 2020\03 CR Projects\06-22-CR-006 Prayer hall Al-Quoz (Towers United)</t>
  </si>
  <si>
    <t>30-12-22</t>
  </si>
  <si>
    <t>29-12-22</t>
  </si>
  <si>
    <t>28-12-22</t>
  </si>
  <si>
    <t>27-12-22</t>
  </si>
  <si>
    <t>26-12-22</t>
  </si>
  <si>
    <t>25-12-22</t>
  </si>
  <si>
    <t>29-11-22</t>
  </si>
  <si>
    <t>28-11-22</t>
  </si>
  <si>
    <t>27-11-22</t>
  </si>
  <si>
    <t>25-11-22</t>
  </si>
  <si>
    <t>24-11-22</t>
  </si>
  <si>
    <t>23-11-22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</si>
</sst>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[$-409]d\-mmm\-yyyy;@"/>
  </numFmts>
  <fonts count="2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0"/>
      <color theme="10"/>
      <name val="Arial"/>
      <family val="2"/>
    </font>
    <font>
      <b/>
      <sz val="11"/>
      <color rgb="FFFF0000"/>
      <name val="Arial"/>
      <family val="2"/>
    </font>
    <font>
      <sz val="9"/>
      <color rgb="FF0000FF"/>
      <name val="Arial"/>
      <family val="2"/>
    </font>
    <font>
      <b/>
      <sz val="10"/>
      <color rgb="FF7030A0"/>
      <name val="Arial"/>
      <family val="2"/>
    </font>
    <font>
      <b/>
      <sz val="9"/>
      <color rgb="FF0000FF"/>
      <name val="Arial"/>
      <family val="2"/>
    </font>
    <font>
      <sz val="10"/>
      <color rgb="FF0070C0"/>
      <name val="Arial"/>
      <family val="2"/>
    </font>
    <font>
      <b/>
      <sz val="10"/>
      <color theme="9" tint="-0.249977111117893"/>
      <name val="Arial"/>
      <family val="2"/>
    </font>
    <font>
      <sz val="9"/>
      <color rgb="FFC00000"/>
      <name val="Arial"/>
      <family val="2"/>
    </font>
    <font>
      <b/>
      <sz val="9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rgb="FF123654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 applyProtection="0"/>
    <xf numFmtId="164" fontId="1" fillId="0" borderId="0" applyFont="0" applyFill="0" applyBorder="0" applyAlignment="0" applyProtection="0"/>
    <xf numFmtId="166" fontId="7" fillId="0" borderId="0" applyNumberFormat="0" applyFill="0" applyBorder="0" applyAlignment="0" applyProtection="0"/>
    <xf numFmtId="0" fontId="19" fillId="0" borderId="0"/>
    <xf numFmtId="164" fontId="19" fillId="0" borderId="0" applyFont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0" fontId="2" fillId="0" borderId="0" xfId="0" applyFont="1"/>
    <xf numFmtId="0" fontId="8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9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/>
    </xf>
    <xf numFmtId="166" fontId="11" fillId="2" borderId="1" xfId="0" applyNumberFormat="1" applyFont="1" applyFill="1" applyBorder="1" applyAlignment="1">
      <alignment horizontal="center" vertical="center"/>
    </xf>
    <xf numFmtId="165" fontId="5" fillId="0" borderId="1" xfId="1" applyNumberFormat="1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center" vertical="center" wrapText="1"/>
    </xf>
    <xf numFmtId="166" fontId="6" fillId="3" borderId="1" xfId="1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166" fontId="7" fillId="0" borderId="1" xfId="2" applyNumberForma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4" fillId="0" borderId="1" xfId="0" applyFont="1" applyBorder="1" applyAlignment="1">
      <alignment vertical="center" wrapText="1"/>
    </xf>
    <xf numFmtId="0" fontId="16" fillId="0" borderId="2" xfId="0" applyFont="1" applyBorder="1" applyAlignment="1">
      <alignment horizontal="center" vertical="center" wrapText="1"/>
    </xf>
    <xf numFmtId="3" fontId="16" fillId="0" borderId="3" xfId="0" applyNumberFormat="1" applyFont="1" applyBorder="1" applyAlignment="1">
      <alignment horizontal="right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right" vertical="center" wrapText="1"/>
    </xf>
    <xf numFmtId="3" fontId="3" fillId="0" borderId="0" xfId="0" applyNumberFormat="1" applyFont="1"/>
    <xf numFmtId="165" fontId="3" fillId="0" borderId="0" xfId="1" applyNumberFormat="1" applyFont="1" applyFill="1"/>
    <xf numFmtId="165" fontId="3" fillId="0" borderId="0" xfId="0" applyNumberFormat="1" applyFont="1"/>
    <xf numFmtId="0" fontId="18" fillId="0" borderId="0" xfId="0" applyFont="1"/>
    <xf numFmtId="3" fontId="17" fillId="0" borderId="3" xfId="0" applyNumberFormat="1" applyFont="1" applyBorder="1" applyAlignment="1">
      <alignment horizontal="right" vertical="center" wrapText="1"/>
    </xf>
    <xf numFmtId="3" fontId="16" fillId="0" borderId="5" xfId="0" applyNumberFormat="1" applyFont="1" applyBorder="1" applyAlignment="1">
      <alignment horizontal="right" vertical="center" wrapText="1"/>
    </xf>
    <xf numFmtId="0" fontId="3" fillId="2" borderId="0" xfId="0" applyFont="1" applyFill="1"/>
    <xf numFmtId="0" fontId="15" fillId="0" borderId="6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7" fillId="0" borderId="0" xfId="2" applyNumberFormat="1"/>
  </cellXfs>
  <cellStyles count="5">
    <cellStyle name="Comma" xfId="1" builtinId="3"/>
    <cellStyle name="Comma 2" xfId="4" xr:uid="{E2353519-B789-4418-B130-3EECF7B1F928}"/>
    <cellStyle name="Hyperlink" xfId="2" builtinId="8"/>
    <cellStyle name="Normal" xfId="0" builtinId="0" customBuiltin="1"/>
    <cellStyle name="Normal 2" xfId="3" xr:uid="{1B8E1E19-F70C-4FE5-854E-9F2C9F645364}"/>
  </cellStyles>
  <dxfs count="0"/>
  <tableStyles count="0" defaultTableStyle="TableStyleMedium9" defaultPivotStyle="PivotStyleLight16"/>
  <colors>
    <mruColors>
      <color rgb="FFFFFFCC"/>
      <color rgb="FF33CC3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A30D63A-F345-4320-A7FA-8BC759B256C9}">
  <we:reference id="wa104380862" version="1.5.0.0" store="en-001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_xldudf_SCRIPTLAB_BLANKSNIPPET_ADD10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file:///\\cclserver\DATA\P%202020\03%20CR%20Projects\06-22-CR-014%20Saudi%20German%20Hospital%20Mirdif" TargetMode="External"/><Relationship Id="rId18" Type="http://schemas.openxmlformats.org/officeDocument/2006/relationships/hyperlink" Target="file:///\\cclserver\DATA\Q%202020\CCL%20STRENGTHENING\Dubai\2022\R1.5447.22%20Nirvana%20@%20Palm%20Jumeirah" TargetMode="External"/><Relationship Id="rId26" Type="http://schemas.openxmlformats.org/officeDocument/2006/relationships/hyperlink" Target="file:///\\cclserver\DATA\Q%202020\CCL%20STRENGTHENING\Dubai\2022\R1.5503.22%20Maple%202%20Bldg" TargetMode="External"/><Relationship Id="rId39" Type="http://schemas.openxmlformats.org/officeDocument/2006/relationships/hyperlink" Target="file:///\\cclserver\DATA\P%202020\01%20Dubai\06-14-BU-004%20Profile%20Residence\Construction%20Phase\CR" TargetMode="External"/><Relationship Id="rId21" Type="http://schemas.openxmlformats.org/officeDocument/2006/relationships/hyperlink" Target="file:///\\cclserver\DATA\P%202020\03%20CR%20Projects\06-21-CR-014%20Addax%20Tower%20(city%20of%20lights)\Construction%20Phase" TargetMode="External"/><Relationship Id="rId34" Type="http://schemas.openxmlformats.org/officeDocument/2006/relationships/hyperlink" Target="file:///\\cclserver\DATA\Q%202020\CCL%20STRENGTHENING\Dubai\2022\R1.5447.22%20Nirvana%20@%20Palm%20Jumeirah" TargetMode="External"/><Relationship Id="rId42" Type="http://schemas.openxmlformats.org/officeDocument/2006/relationships/hyperlink" Target="file:///\\cclserver\DATA\P%202020\03%20CR%20Projects\06-21-CR-005%20Marsa%20Al%20Arab\Construction%20phase" TargetMode="External"/><Relationship Id="rId47" Type="http://schemas.openxmlformats.org/officeDocument/2006/relationships/hyperlink" Target="file:///\\cclserver\DATA\P%202020\03%20CR%20Projects\06-22-CR-011%20Park%20Avenue%203%20(Azizi)" TargetMode="External"/><Relationship Id="rId50" Type="http://schemas.openxmlformats.org/officeDocument/2006/relationships/hyperlink" Target="file:///\\cclserver\DATA\P%202020\03%20CR%20Projects\06-22-CR-014%20Saudi%20German%20Hospital%20Mirdif" TargetMode="External"/><Relationship Id="rId55" Type="http://schemas.openxmlformats.org/officeDocument/2006/relationships/hyperlink" Target="file:///\\cclserver\DATA\P%202020\03%20CR%20Projects\06-22-CR-011%20Park%20Avenue%203%20(Azizi)" TargetMode="External"/><Relationship Id="rId7" Type="http://schemas.openxmlformats.org/officeDocument/2006/relationships/hyperlink" Target="file:///\\cclserver\DATA\P%202020\01%20Dubai\06-14-BU-004%20Profile%20Residence\Construction%20Phase\CR\" TargetMode="External"/><Relationship Id="rId2" Type="http://schemas.openxmlformats.org/officeDocument/2006/relationships/hyperlink" Target="file:///\\cclserver\DATA\P%202020\03%20CR%20Projects\06-22-CR-017%20Addax%20Tower" TargetMode="External"/><Relationship Id="rId16" Type="http://schemas.openxmlformats.org/officeDocument/2006/relationships/hyperlink" Target="file:///D:\OPERATIONS\1.%20ARCHIVES\31.%20CCL%20OFFICE" TargetMode="External"/><Relationship Id="rId29" Type="http://schemas.openxmlformats.org/officeDocument/2006/relationships/hyperlink" Target="file:///\\cclserver\DATA\P%202020\03%20CR%20Projects\06-21-CR-005%20Marsa%20Al%20Arab\Construction%20phase" TargetMode="External"/><Relationship Id="rId11" Type="http://schemas.openxmlformats.org/officeDocument/2006/relationships/hyperlink" Target="file:///\\cclserver\DATA\Q%202020\CCL%20STRENGTHENING\Dubai\2022\R1.5447.22%20Nirvana%20@%20Palm%20Jumeirah" TargetMode="External"/><Relationship Id="rId24" Type="http://schemas.openxmlformats.org/officeDocument/2006/relationships/hyperlink" Target="file:///\\cclserver\DATA\Q%202020\CCL%20STRENGTHENING\Dubai\2022\R1.5447.22%20Nirvana%20@%20Palm%20Jumeirah" TargetMode="External"/><Relationship Id="rId32" Type="http://schemas.openxmlformats.org/officeDocument/2006/relationships/hyperlink" Target="file:///D:\OPERATIONS\2.%20CCL%20Prequalification%20R%20&amp;%20S\9.%20Consultant%20LIST%20+%20CCL%20Brochure%202022" TargetMode="External"/><Relationship Id="rId37" Type="http://schemas.openxmlformats.org/officeDocument/2006/relationships/hyperlink" Target="file:///\\cclserver\DATA\P%202020\03%20CR%20Projects\06-17-BU-018%20NFPC%20Mega%20Plant\Construction%20Phase\Qtn" TargetMode="External"/><Relationship Id="rId40" Type="http://schemas.openxmlformats.org/officeDocument/2006/relationships/hyperlink" Target="file:///\\cclserver\DATA\P%202020\03%20CR%20Projects\06-22-CR-014%20Saudi%20German%20Hospital%20Mirdif" TargetMode="External"/><Relationship Id="rId45" Type="http://schemas.openxmlformats.org/officeDocument/2006/relationships/hyperlink" Target="file:///\\cclserver\DATA\P%202020\03%20CR%20Projects\06-21-CR-014%20Addax%20Tower%20(city%20of%20lights)\Construction%20Phase" TargetMode="External"/><Relationship Id="rId53" Type="http://schemas.openxmlformats.org/officeDocument/2006/relationships/hyperlink" Target="file:///\\cclserver\DATA\P%202020\03%20CR%20Projects\06-20-CR-002%20MEDORE%20Tower\Construction%20Phase\" TargetMode="External"/><Relationship Id="rId58" Type="http://schemas.openxmlformats.org/officeDocument/2006/relationships/hyperlink" Target="file:///\\cclserver\DATA\P%202020\03%20CR%20Projects\06-22-CR-006%20Prayer%20hall%20Al-Quoz%20(Towers%20United)" TargetMode="External"/><Relationship Id="rId5" Type="http://schemas.openxmlformats.org/officeDocument/2006/relationships/hyperlink" Target="file:///\\cclserver\DATA\Q%202020\CCL%20STRENGTHENING\Dubai\2022\R1.5447.22%20Nirvana%20@%20Palm%20Jumeirah" TargetMode="External"/><Relationship Id="rId19" Type="http://schemas.openxmlformats.org/officeDocument/2006/relationships/hyperlink" Target="file:///\\cclserver\DATA\P%202020\03%20CR%20Projects\06-22-CR-011%20Park%20Avenue%203%20(Azizi)" TargetMode="External"/><Relationship Id="rId4" Type="http://schemas.openxmlformats.org/officeDocument/2006/relationships/hyperlink" Target="file:///\\cclserver\DATA\P%202020\03%20CR%20Projects\06-22-CR-011%20Park%20Avenue%203%20(Azizi)" TargetMode="External"/><Relationship Id="rId9" Type="http://schemas.openxmlformats.org/officeDocument/2006/relationships/hyperlink" Target="file:///\\cclserver\DATA\P%202020\03%20CR%20Projects\06-20-CR-002%20MEDORE%20Tower\Construction%20Phase\" TargetMode="External"/><Relationship Id="rId14" Type="http://schemas.openxmlformats.org/officeDocument/2006/relationships/hyperlink" Target="file:///\\cclserver\DATA\Q%202020\CCL%20STRENGTHENING\Dubai\2022\R1.5447.22%20Nirvana%20@%20Palm%20Jumeirah" TargetMode="External"/><Relationship Id="rId22" Type="http://schemas.openxmlformats.org/officeDocument/2006/relationships/hyperlink" Target="file:///\\cclserver\DATA\P%202020\03%20CR%20Projects\06-22-CR-014%20Saudi%20German%20Hospital%20Mirdif" TargetMode="External"/><Relationship Id="rId27" Type="http://schemas.openxmlformats.org/officeDocument/2006/relationships/hyperlink" Target="file:///\\cclserver\DATA\P%202020\03%20CR%20Projects\06-20-CR-002%20MEDORE%20Tower\Construction%20Phase\" TargetMode="External"/><Relationship Id="rId30" Type="http://schemas.openxmlformats.org/officeDocument/2006/relationships/hyperlink" Target="file:///\\cclserver\DATA\P%202020\03%20CR%20Projects\06-21-CR-014%20Addax%20Tower%20(city%20of%20lights)\Construction%20Phase" TargetMode="External"/><Relationship Id="rId35" Type="http://schemas.openxmlformats.org/officeDocument/2006/relationships/hyperlink" Target="file:///\\cclserver\DATA\P%202020\03%20CR%20Projects\06-22-CR-014%20Saudi%20German%20Hospital%20Mirdif" TargetMode="External"/><Relationship Id="rId43" Type="http://schemas.openxmlformats.org/officeDocument/2006/relationships/hyperlink" Target="file:///\\cclserver\DATA\P%202020\03%20CR%20Projects\06-21-CR-014%20Addax%20Tower%20(city%20of%20lights)\Construction%20Phase" TargetMode="External"/><Relationship Id="rId48" Type="http://schemas.openxmlformats.org/officeDocument/2006/relationships/hyperlink" Target="file:///\\cclserver\DATA\P%202020\03%20CR%20Projects\06-21-CR-014%20Addax%20Tower%20(city%20of%20lights)\Construction%20Phase" TargetMode="External"/><Relationship Id="rId56" Type="http://schemas.openxmlformats.org/officeDocument/2006/relationships/hyperlink" Target="file:///\\cclserver\DATA\Q%202020\CCL%20STRENGTHENING\Dubai\2022\R1.5489.22%20Bank%20G+2%20@%20Mirdiff" TargetMode="External"/><Relationship Id="rId8" Type="http://schemas.openxmlformats.org/officeDocument/2006/relationships/hyperlink" Target="file:///\\cclserver\DATA\P%202020\03%20CR%20Projects\06-21-CR-005%20Marsa%20Al%20Arab\Construction%20phase" TargetMode="External"/><Relationship Id="rId51" Type="http://schemas.openxmlformats.org/officeDocument/2006/relationships/hyperlink" Target="file:///\\cclserver\DATA\P%202020\03%20CR%20Projects\06-22-CR-011%20Park%20Avenue%203%20(Azizi)" TargetMode="External"/><Relationship Id="rId3" Type="http://schemas.openxmlformats.org/officeDocument/2006/relationships/hyperlink" Target="file:///\\cclserver\DATA\P%202020\03%20CR%20Projects\06-21-CR-005%20Marsa%20Al%20Arab\Construction%20phase" TargetMode="External"/><Relationship Id="rId12" Type="http://schemas.openxmlformats.org/officeDocument/2006/relationships/hyperlink" Target="file:///\\cclserver\DATA\P%202020\03%20CR%20Projects\06-22-CR-017%20Addax%20Tower" TargetMode="External"/><Relationship Id="rId17" Type="http://schemas.openxmlformats.org/officeDocument/2006/relationships/hyperlink" Target="file:///\\cclserver\DATA\P%202020\03%20CR%20Projects\06-22-CR-014%20Saudi%20German%20Hospital%20Mirdif" TargetMode="External"/><Relationship Id="rId25" Type="http://schemas.openxmlformats.org/officeDocument/2006/relationships/hyperlink" Target="file:///\\cclserver\DATA\P%202020\03%20CR%20Projects\06-22-CR-011%20Park%20Avenue%203%20(Azizi)" TargetMode="External"/><Relationship Id="rId33" Type="http://schemas.openxmlformats.org/officeDocument/2006/relationships/hyperlink" Target="file:///\\cclserver\DATA\P%202020\01%20Dubai\06-14-BU-004%20Profile%20Residence\Construction%20Phase\CR" TargetMode="External"/><Relationship Id="rId38" Type="http://schemas.openxmlformats.org/officeDocument/2006/relationships/hyperlink" Target="file:///D:\OPERATIONS\2.%20CCL%20Prequalification%20R%20&amp;%20S\9.%20Consultant%20LIST%20+%20CCL%20Brochure%202022" TargetMode="External"/><Relationship Id="rId46" Type="http://schemas.openxmlformats.org/officeDocument/2006/relationships/hyperlink" Target="file:///\\cclserver\DATA\P%202020\03%20CR%20Projects\06-22-CR-014%20Saudi%20German%20Hospital%20Mirdif" TargetMode="External"/><Relationship Id="rId59" Type="http://schemas.openxmlformats.org/officeDocument/2006/relationships/printerSettings" Target="../printerSettings/printerSettings2.bin"/><Relationship Id="rId20" Type="http://schemas.openxmlformats.org/officeDocument/2006/relationships/hyperlink" Target="file:///\\cclserver\DATA\P%202020\03%20CR%20Projects\06-20-CR-002%20MEDORE%20Tower\Construction%20Phase\" TargetMode="External"/><Relationship Id="rId41" Type="http://schemas.openxmlformats.org/officeDocument/2006/relationships/hyperlink" Target="file:///\\cclserver\DATA\Q%202020\CCL%20STRENGTHENING\Dubai\2022\R1.5490.22%20Water%20Resevoir" TargetMode="External"/><Relationship Id="rId54" Type="http://schemas.openxmlformats.org/officeDocument/2006/relationships/hyperlink" Target="file:///\\cclserver\DATA\P%202020\03%20CR%20Projects\06-22-CR-014%20Saudi%20German%20Hospital%20Mirdif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6" Type="http://schemas.openxmlformats.org/officeDocument/2006/relationships/hyperlink" Target="file:///\\cclserver\DATA\P%202020\03%20CR%20Projects\06-22-CR-017%20Addax%20Tower" TargetMode="External"/><Relationship Id="rId15" Type="http://schemas.openxmlformats.org/officeDocument/2006/relationships/hyperlink" Target="file:///\\cclserver\DATA\P%202020\03%20CR%20Projects\06-22-CR-011%20Park%20Avenue%203%20(Azizi)" TargetMode="External"/><Relationship Id="rId23" Type="http://schemas.openxmlformats.org/officeDocument/2006/relationships/hyperlink" Target="file:///\\cclserver\DATA\P%202020\03%20CR%20Projects\06-20-CR-002%20MEDORE%20Tower\Construction%20Phase\" TargetMode="External"/><Relationship Id="rId28" Type="http://schemas.openxmlformats.org/officeDocument/2006/relationships/hyperlink" Target="file:///\\cclserver\DATA\P%202020\03%20CR%20Projects\06-20-CR-002%20MEDORE%20Tower\Construction%20Phase\" TargetMode="External"/><Relationship Id="rId36" Type="http://schemas.openxmlformats.org/officeDocument/2006/relationships/hyperlink" Target="file:///\\cclserver\DATA\P%202020\03%20CR%20Projects\06-21-CR-005%20Marsa%20Al%20Arab\Construction%20phase" TargetMode="External"/><Relationship Id="rId49" Type="http://schemas.openxmlformats.org/officeDocument/2006/relationships/hyperlink" Target="file:///\\cclserver\DATA\P%202020\03%20CR%20Projects\06-20-CR-002%20MEDORE%20Tower\Construction%20Phase\" TargetMode="External"/><Relationship Id="rId57" Type="http://schemas.openxmlformats.org/officeDocument/2006/relationships/hyperlink" Target="file:///\\cclserver\DATA\Q%202020\CCL%20STRENGTHENING\Dubai\2022\R1.5487.22%20DIB" TargetMode="External"/><Relationship Id="rId10" Type="http://schemas.openxmlformats.org/officeDocument/2006/relationships/hyperlink" Target="file:///\\cclserver\DATA\P%202020\03%20CR%20Projects\06-22-CR-011%20Park%20Avenue%203%20(Azizi)" TargetMode="External"/><Relationship Id="rId31" Type="http://schemas.openxmlformats.org/officeDocument/2006/relationships/hyperlink" Target="file:///\\cclserver\DATA\P%202020\03%20CR%20Projects\06-17-BU-018%20NFPC%20Mega%20Plant\Construction%20Phase\Qtn" TargetMode="External"/><Relationship Id="rId44" Type="http://schemas.openxmlformats.org/officeDocument/2006/relationships/hyperlink" Target="file:///\\cclserver\DATA\P%202020\03%20CR%20Projects\06-17-BU-018%20NFPC%20Mega%20Plant\Construction%20Phase\Qtn" TargetMode="External"/><Relationship Id="rId52" Type="http://schemas.openxmlformats.org/officeDocument/2006/relationships/hyperlink" Target="file:///\\cclserver\DATA\P%202020\03%20CR%20Projects\06-21-CR-014%20Addax%20Tower%20(city%20of%20lights)\Construction%20Phas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1-CR-005%20Marsa%20Al%20Arab\Construction%20phase" TargetMode="External"/><Relationship Id="rId2" Type="http://schemas.openxmlformats.org/officeDocument/2006/relationships/hyperlink" Target="file:///\\cclserver\DATA\P%202020\03%20CR%20Projects\06-22-CR-017%20Addax%20Tower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\\cclserver\DATA\P%202020\03%20CR%20Projects\06-22-CR-011%20Park%20Avenue%203%20(Azizi)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1%20Dubai\06-14-BU-004%20Profile%20Residence\Construction%20Phase\CR\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file:///\\cclserver\DATA\P%202020\03%20CR%20Projects\06-22-CR-017%20Addax%20Tower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6" Type="http://schemas.openxmlformats.org/officeDocument/2006/relationships/hyperlink" Target="file:///\\cclserver\DATA\P%202020\03%20CR%20Projects\06-22-CR-011%20Park%20Avenue%203%20(Azizi)" TargetMode="External"/><Relationship Id="rId5" Type="http://schemas.openxmlformats.org/officeDocument/2006/relationships/hyperlink" Target="file:///\\cclserver\DATA\P%202020\03%20CR%20Projects\06-20-CR-002%20MEDORE%20Tower\Construction%20Phase\" TargetMode="External"/><Relationship Id="rId4" Type="http://schemas.openxmlformats.org/officeDocument/2006/relationships/hyperlink" Target="file:///\\cclserver\DATA\P%202020\03%20CR%20Projects\06-21-CR-005%20Marsa%20Al%20Arab\Construction%20phas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2-CR-014%20Saudi%20German%20Hospital%20Mirdif" TargetMode="External"/><Relationship Id="rId2" Type="http://schemas.openxmlformats.org/officeDocument/2006/relationships/hyperlink" Target="file:///\\cclserver\DATA\P%202020\03%20CR%20Projects\06-22-CR-017%20Addax%20Tower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D:\OPERATIONS\1.%20ARCHIVES\31.%20CCL%20OFFICE" TargetMode="External"/><Relationship Id="rId2" Type="http://schemas.openxmlformats.org/officeDocument/2006/relationships/hyperlink" Target="file:///\\cclserver\DATA\P%202020\03%20CR%20Projects\06-22-CR-011%20Park%20Avenue%203%20(Azizi)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file:///\\cclserver\DATA\P%202020\03%20CR%20Projects\06-22-CR-014%20Saudi%20German%20Hospital%20Mirdif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0-CR-002%20MEDORE%20Tower\Construction%20Phase\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file:///\\cclserver\DATA\P%202020\03%20CR%20Projects\06-22-CR-011%20Park%20Avenue%203%20(Azizi)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6" Type="http://schemas.openxmlformats.org/officeDocument/2006/relationships/hyperlink" Target="file:///\\cclserver\DATA\P%202020\03%20CR%20Projects\06-20-CR-002%20MEDORE%20Tower\Construction%20Phase\" TargetMode="External"/><Relationship Id="rId5" Type="http://schemas.openxmlformats.org/officeDocument/2006/relationships/hyperlink" Target="file:///\\cclserver\DATA\P%202020\03%20CR%20Projects\06-22-CR-014%20Saudi%20German%20Hospital%20Mirdif" TargetMode="External"/><Relationship Id="rId4" Type="http://schemas.openxmlformats.org/officeDocument/2006/relationships/hyperlink" Target="file:///\\cclserver\DATA\P%202020\03%20CR%20Projects\06-21-CR-014%20Addax%20Tower%20(city%20of%20lights)\Construction%20Phase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Q%202020\CCL%20STRENGTHENING\Dubai\2022\R1.5503.22%20Maple%202%20Bldg" TargetMode="External"/><Relationship Id="rId2" Type="http://schemas.openxmlformats.org/officeDocument/2006/relationships/hyperlink" Target="file:///\\cclserver\DATA\P%202020\03%20CR%20Projects\06-22-CR-011%20Park%20Avenue%203%20(Azizi)" TargetMode="External"/><Relationship Id="rId1" Type="http://schemas.openxmlformats.org/officeDocument/2006/relationships/hyperlink" Target="file:///\\cclserver\DATA\Q%202020\CCL%20STRENGTHENING\Dubai\2022\R1.5447.22%20Nirvana%20@%20Palm%20Jumeirah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file:///\\cclserver\DATA\P%202020\03%20CR%20Projects\06-20-CR-002%20MEDORE%20Tower\Construction%20Phase\" TargetMode="External"/><Relationship Id="rId4" Type="http://schemas.openxmlformats.org/officeDocument/2006/relationships/hyperlink" Target="file:///\\cclserver\DATA\P%202020\03%20CR%20Projects\06-20-CR-002%20MEDORE%20Tower\Construction%20Phase\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17-BU-018%20NFPC%20Mega%20Plant\Construction%20Phase\Qtn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file:///\\cclserver\DATA\P%202020\03%20CR%20Projects\06-21-CR-014%20Addax%20Tower%20(city%20of%20lights)\Construction%20Phase" TargetMode="External"/><Relationship Id="rId1" Type="http://schemas.openxmlformats.org/officeDocument/2006/relationships/hyperlink" Target="file:///\\cclserver\DATA\P%202020\03%20CR%20Projects\06-21-CR-005%20Marsa%20Al%20Arab\Construction%20phase" TargetMode="External"/><Relationship Id="rId6" Type="http://schemas.openxmlformats.org/officeDocument/2006/relationships/hyperlink" Target="file:///\\cclserver\DATA\Q%202020\CCL%20STRENGTHENING\Dubai\2022\R1.5447.22%20Nirvana%20@%20Palm%20Jumeirah" TargetMode="External"/><Relationship Id="rId5" Type="http://schemas.openxmlformats.org/officeDocument/2006/relationships/hyperlink" Target="file:///\\cclserver\DATA\P%202020\01%20Dubai\06-14-BU-004%20Profile%20Residence\Construction%20Phase\CR" TargetMode="External"/><Relationship Id="rId4" Type="http://schemas.openxmlformats.org/officeDocument/2006/relationships/hyperlink" Target="file:///D:\OPERATIONS\2.%20CCL%20Prequalification%20R%20&amp;%20S\9.%20Consultant%20LIST%20+%20CCL%20Brochure%202022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17-BU-018%20NFPC%20Mega%20Plant\Construction%20Phase\Qtn" TargetMode="External"/><Relationship Id="rId2" Type="http://schemas.openxmlformats.org/officeDocument/2006/relationships/hyperlink" Target="file:///\\cclserver\DATA\P%202020\03%20CR%20Projects\06-21-CR-005%20Marsa%20Al%20Arab\Construction%20phase" TargetMode="External"/><Relationship Id="rId1" Type="http://schemas.openxmlformats.org/officeDocument/2006/relationships/hyperlink" Target="file:///\\cclserver\DATA\P%202020\03%20CR%20Projects\06-22-CR-014%20Saudi%20German%20Hospital%20Mirdif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file:///\\cclserver\DATA\P%202020\01%20Dubai\06-14-BU-004%20Profile%20Residence\Construction%20Phase\CR" TargetMode="External"/><Relationship Id="rId4" Type="http://schemas.openxmlformats.org/officeDocument/2006/relationships/hyperlink" Target="file:///D:\OPERATIONS\2.%20CCL%20Prequalification%20R%20&amp;%20S\9.%20Consultant%20LIST%20+%20CCL%20Brochure%202022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1-CR-005%20Marsa%20Al%20Arab\Construction%20phase" TargetMode="External"/><Relationship Id="rId2" Type="http://schemas.openxmlformats.org/officeDocument/2006/relationships/hyperlink" Target="file:///\\cclserver\DATA\Q%202020\CCL%20STRENGTHENING\Dubai\2022\R1.5490.22%20Water%20Resevoir" TargetMode="External"/><Relationship Id="rId1" Type="http://schemas.openxmlformats.org/officeDocument/2006/relationships/hyperlink" Target="file:///\\cclserver\DATA\P%202020\03%20CR%20Projects\06-22-CR-014%20Saudi%20German%20Hospital%20Mirdi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file:///\\cclserver\DATA\P%202020\03%20CR%20Projects\06-17-BU-018%20NFPC%20Mega%20Plant\Construction%20Phase\Qtn" TargetMode="External"/><Relationship Id="rId4" Type="http://schemas.openxmlformats.org/officeDocument/2006/relationships/hyperlink" Target="file:///\\cclserver\DATA\P%202020\03%20CR%20Projects\06-21-CR-014%20Addax%20Tower%20(city%20of%20lights)\Construction%20Phase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2-CR-011%20Park%20Avenue%203%20(Azizi)" TargetMode="External"/><Relationship Id="rId2" Type="http://schemas.openxmlformats.org/officeDocument/2006/relationships/hyperlink" Target="file:///\\cclserver\DATA\P%202020\03%20CR%20Projects\06-22-CR-014%20Saudi%20German%20Hospital%20Mirdif" TargetMode="External"/><Relationship Id="rId1" Type="http://schemas.openxmlformats.org/officeDocument/2006/relationships/hyperlink" Target="file:///\\cclserver\DATA\P%202020\03%20CR%20Projects\06-21-CR-014%20Addax%20Tower%20(city%20of%20lights)\Construction%20Phase" TargetMode="External"/><Relationship Id="rId4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file:///\\cclserver\DATA\P%202020\03%20CR%20Projects\06-22-CR-014%20Saudi%20German%20Hospital%20Mirdif" TargetMode="External"/><Relationship Id="rId2" Type="http://schemas.openxmlformats.org/officeDocument/2006/relationships/hyperlink" Target="file:///\\cclserver\DATA\P%202020\03%20CR%20Projects\06-20-CR-002%20MEDORE%20Tower\Construction%20Phase\" TargetMode="External"/><Relationship Id="rId1" Type="http://schemas.openxmlformats.org/officeDocument/2006/relationships/hyperlink" Target="file:///\\cclserver\DATA\P%202020\03%20CR%20Projects\06-21-CR-014%20Addax%20Tower%20(city%20of%20lights)\Construction%20Phase" TargetMode="Externa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cclserver\DATA\P%202020\03%20CR%20Projects\06-22-CR-011%20Park%20Avenue%203%20(Azizi)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.bin"/><Relationship Id="rId3" Type="http://schemas.openxmlformats.org/officeDocument/2006/relationships/hyperlink" Target="file:///\\cclserver\DATA\P%202020\03%20CR%20Projects\06-22-CR-014%20Saudi%20German%20Hospital%20Mirdif" TargetMode="External"/><Relationship Id="rId7" Type="http://schemas.openxmlformats.org/officeDocument/2006/relationships/hyperlink" Target="file:///\\cclserver\DATA\P%202020\03%20CR%20Projects\06-22-CR-006%20Prayer%20hall%20Al-Quoz%20(Towers%20United)" TargetMode="External"/><Relationship Id="rId2" Type="http://schemas.openxmlformats.org/officeDocument/2006/relationships/hyperlink" Target="file:///\\cclserver\DATA\P%202020\03%20CR%20Projects\06-20-CR-002%20MEDORE%20Tower\Construction%20Phase\" TargetMode="External"/><Relationship Id="rId1" Type="http://schemas.openxmlformats.org/officeDocument/2006/relationships/hyperlink" Target="file:///\\cclserver\DATA\P%202020\03%20CR%20Projects\06-21-CR-014%20Addax%20Tower%20(city%20of%20lights)\Construction%20Phase" TargetMode="External"/><Relationship Id="rId6" Type="http://schemas.openxmlformats.org/officeDocument/2006/relationships/hyperlink" Target="file:///\\cclserver\DATA\Q%202020\CCL%20STRENGTHENING\Dubai\2022\R1.5487.22%20DIB" TargetMode="External"/><Relationship Id="rId5" Type="http://schemas.openxmlformats.org/officeDocument/2006/relationships/hyperlink" Target="file:///\\cclserver\DATA\Q%202020\CCL%20STRENGTHENING\Dubai\2022\R1.5489.22%20Bank%20G+2%20@%20Mirdiff" TargetMode="External"/><Relationship Id="rId4" Type="http://schemas.openxmlformats.org/officeDocument/2006/relationships/hyperlink" Target="file:///\\cclserver\DATA\P%202020\03%20CR%20Projects\06-22-CR-011%20Park%20Avenue%203%20(Azizi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1"/>
  <dimension ref="A1:L366"/>
  <sheetViews>
    <sheetView topLeftCell="A239" zoomScale="90" zoomScaleNormal="90" workbookViewId="0">
      <selection activeCell="E259" sqref="E259"/>
    </sheetView>
  </sheetViews>
  <sheetFormatPr defaultRowHeight="14.25" x14ac:dyDescent="0.2"/>
  <cols>
    <col min="1" max="1" width="4.42578125" style="1" customWidth="1"/>
    <col min="2" max="2" width="7.85546875" style="1" bestFit="1" customWidth="1"/>
    <col min="3" max="3" width="23.7109375" style="1" customWidth="1"/>
    <col min="4" max="4" width="19" style="1" customWidth="1"/>
    <col min="5" max="5" width="33" style="1" customWidth="1"/>
    <col min="6" max="6" width="14.140625" style="1" customWidth="1"/>
    <col min="7" max="10" width="9.140625" style="1"/>
    <col min="11" max="11" width="21.7109375" style="1" bestFit="1" customWidth="1"/>
    <col min="12" max="16384" width="9.140625" style="1"/>
  </cols>
  <sheetData>
    <row r="1" spans="1:8" ht="15.75" x14ac:dyDescent="0.25">
      <c r="A1" s="2"/>
    </row>
    <row r="2" spans="1:8" ht="15" x14ac:dyDescent="0.2">
      <c r="B2" s="3" t="s">
        <v>0</v>
      </c>
      <c r="C2" s="3" t="s">
        <v>3</v>
      </c>
      <c r="D2" s="3" t="s">
        <v>5</v>
      </c>
      <c r="E2" s="3" t="s">
        <v>6</v>
      </c>
      <c r="F2" s="3" t="s">
        <v>11</v>
      </c>
      <c r="H2" s="27"/>
    </row>
    <row r="3" spans="1:8" ht="15" x14ac:dyDescent="0.2">
      <c r="B3" s="4">
        <v>1</v>
      </c>
      <c r="C3" s="7" t="s">
        <v>42</v>
      </c>
      <c r="D3" s="6" t="s">
        <v>29</v>
      </c>
      <c r="E3" s="15" t="s">
        <v>26</v>
      </c>
      <c r="F3" s="16" t="s">
        <v>14</v>
      </c>
      <c r="H3" s="27"/>
    </row>
    <row r="4" spans="1:8" ht="15" x14ac:dyDescent="0.2">
      <c r="B4" s="4">
        <v>2</v>
      </c>
      <c r="C4" s="7" t="s">
        <v>28</v>
      </c>
      <c r="D4" s="6" t="s">
        <v>2</v>
      </c>
      <c r="E4" s="15" t="s">
        <v>35</v>
      </c>
      <c r="F4" s="16" t="s">
        <v>19</v>
      </c>
      <c r="H4" s="27"/>
    </row>
    <row r="5" spans="1:8" ht="15" x14ac:dyDescent="0.2">
      <c r="B5" s="4">
        <v>3</v>
      </c>
      <c r="C5" s="7" t="s">
        <v>8</v>
      </c>
      <c r="D5" s="6" t="s">
        <v>20</v>
      </c>
      <c r="E5" s="15" t="s">
        <v>12</v>
      </c>
      <c r="F5" s="16" t="s">
        <v>13</v>
      </c>
      <c r="H5" s="27"/>
    </row>
    <row r="6" spans="1:8" ht="15" x14ac:dyDescent="0.2">
      <c r="B6" s="4">
        <v>4</v>
      </c>
      <c r="C6" s="7" t="s">
        <v>45</v>
      </c>
      <c r="D6" s="6"/>
      <c r="E6" s="15" t="s">
        <v>33</v>
      </c>
      <c r="F6" s="16" t="s">
        <v>18</v>
      </c>
      <c r="H6" s="27"/>
    </row>
    <row r="7" spans="1:8" ht="15" x14ac:dyDescent="0.2">
      <c r="B7" s="4">
        <v>5</v>
      </c>
      <c r="C7" s="7" t="s">
        <v>48</v>
      </c>
      <c r="D7" s="6"/>
      <c r="E7" s="15" t="s">
        <v>24</v>
      </c>
      <c r="F7" s="16" t="s">
        <v>17</v>
      </c>
      <c r="H7" s="27"/>
    </row>
    <row r="8" spans="1:8" ht="15" x14ac:dyDescent="0.2">
      <c r="B8" s="4">
        <v>6</v>
      </c>
      <c r="C8" s="7" t="s">
        <v>113</v>
      </c>
      <c r="D8" s="6"/>
      <c r="E8" s="15" t="s">
        <v>32</v>
      </c>
      <c r="F8" s="16" t="s">
        <v>16</v>
      </c>
      <c r="H8" s="27"/>
    </row>
    <row r="9" spans="1:8" ht="15" x14ac:dyDescent="0.2">
      <c r="B9" s="4">
        <v>7</v>
      </c>
      <c r="C9" s="7" t="s">
        <v>41</v>
      </c>
      <c r="D9" s="6"/>
      <c r="E9" s="15" t="s">
        <v>25</v>
      </c>
      <c r="F9" s="16" t="s">
        <v>15</v>
      </c>
      <c r="H9" s="27"/>
    </row>
    <row r="10" spans="1:8" ht="15" x14ac:dyDescent="0.2">
      <c r="B10" s="4">
        <v>8</v>
      </c>
      <c r="C10" s="7" t="s">
        <v>21</v>
      </c>
      <c r="D10" s="6"/>
      <c r="E10" s="15" t="s">
        <v>36</v>
      </c>
      <c r="F10" s="16" t="s">
        <v>40</v>
      </c>
      <c r="H10" s="27"/>
    </row>
    <row r="11" spans="1:8" ht="15" x14ac:dyDescent="0.2">
      <c r="B11" s="4">
        <v>9</v>
      </c>
      <c r="C11" s="7" t="s">
        <v>67</v>
      </c>
      <c r="D11" s="6"/>
      <c r="E11" s="15" t="s">
        <v>38</v>
      </c>
      <c r="F11" s="16" t="s">
        <v>66</v>
      </c>
      <c r="H11" s="27"/>
    </row>
    <row r="12" spans="1:8" ht="15" x14ac:dyDescent="0.2">
      <c r="B12" s="4">
        <v>10</v>
      </c>
      <c r="C12" s="7" t="s">
        <v>23</v>
      </c>
      <c r="D12" s="6"/>
      <c r="E12" s="15" t="s">
        <v>43</v>
      </c>
      <c r="F12" s="16" t="s">
        <v>152</v>
      </c>
      <c r="H12" s="27"/>
    </row>
    <row r="13" spans="1:8" ht="15" x14ac:dyDescent="0.2">
      <c r="B13" s="4">
        <v>11</v>
      </c>
      <c r="C13" s="7" t="s">
        <v>22</v>
      </c>
      <c r="D13" s="6"/>
      <c r="E13" s="15" t="s">
        <v>44</v>
      </c>
      <c r="F13" s="16" t="s">
        <v>377</v>
      </c>
      <c r="H13" s="27"/>
    </row>
    <row r="14" spans="1:8" ht="15" x14ac:dyDescent="0.2">
      <c r="B14" s="4">
        <v>12</v>
      </c>
      <c r="C14" s="7" t="s">
        <v>10</v>
      </c>
      <c r="D14" s="6"/>
      <c r="E14" s="15" t="s">
        <v>46</v>
      </c>
      <c r="F14" s="16"/>
      <c r="H14" s="27"/>
    </row>
    <row r="15" spans="1:8" ht="15" x14ac:dyDescent="0.2">
      <c r="B15" s="4">
        <v>13</v>
      </c>
      <c r="C15" s="7" t="s">
        <v>27</v>
      </c>
      <c r="D15" s="6"/>
      <c r="E15" s="15" t="s">
        <v>47</v>
      </c>
      <c r="F15" s="16"/>
      <c r="H15" s="27"/>
    </row>
    <row r="16" spans="1:8" ht="15" x14ac:dyDescent="0.2">
      <c r="B16" s="4">
        <v>14</v>
      </c>
      <c r="C16" s="7" t="s">
        <v>62</v>
      </c>
      <c r="D16" s="6"/>
      <c r="E16" s="15" t="s">
        <v>50</v>
      </c>
      <c r="F16" s="16"/>
      <c r="H16" s="27"/>
    </row>
    <row r="17" spans="2:8" ht="15" x14ac:dyDescent="0.2">
      <c r="B17" s="4">
        <v>15</v>
      </c>
      <c r="C17" s="7" t="s">
        <v>31</v>
      </c>
      <c r="D17" s="6"/>
      <c r="E17" s="15" t="s">
        <v>51</v>
      </c>
      <c r="F17" s="16"/>
      <c r="H17" s="27"/>
    </row>
    <row r="18" spans="2:8" ht="15" x14ac:dyDescent="0.2">
      <c r="B18" s="4">
        <v>16</v>
      </c>
      <c r="C18" s="7" t="s">
        <v>59</v>
      </c>
      <c r="D18" s="6"/>
      <c r="E18" s="15" t="s">
        <v>39</v>
      </c>
      <c r="F18" s="16"/>
      <c r="H18" s="27"/>
    </row>
    <row r="19" spans="2:8" ht="15" x14ac:dyDescent="0.2">
      <c r="B19" s="4">
        <v>17</v>
      </c>
      <c r="C19" s="7" t="s">
        <v>4</v>
      </c>
      <c r="D19" s="6"/>
      <c r="E19" s="15" t="s">
        <v>52</v>
      </c>
      <c r="F19" s="16"/>
      <c r="H19" s="27"/>
    </row>
    <row r="20" spans="2:8" ht="15" x14ac:dyDescent="0.2">
      <c r="B20" s="4">
        <v>18</v>
      </c>
      <c r="C20" s="7" t="s">
        <v>37</v>
      </c>
      <c r="D20" s="6"/>
      <c r="E20" s="15" t="s">
        <v>53</v>
      </c>
      <c r="F20" s="16"/>
      <c r="H20" s="27"/>
    </row>
    <row r="21" spans="2:8" ht="15" x14ac:dyDescent="0.2">
      <c r="B21" s="4">
        <v>19</v>
      </c>
      <c r="C21" s="7" t="s">
        <v>49</v>
      </c>
      <c r="D21" s="6"/>
      <c r="E21" s="15" t="s">
        <v>55</v>
      </c>
      <c r="F21" s="16"/>
      <c r="H21" s="27"/>
    </row>
    <row r="22" spans="2:8" ht="15" x14ac:dyDescent="0.2">
      <c r="B22" s="4">
        <v>20</v>
      </c>
      <c r="C22" s="7" t="s">
        <v>30</v>
      </c>
      <c r="D22" s="6"/>
      <c r="E22" s="15" t="s">
        <v>56</v>
      </c>
      <c r="F22" s="16"/>
      <c r="H22" s="27"/>
    </row>
    <row r="23" spans="2:8" ht="15" x14ac:dyDescent="0.2">
      <c r="B23" s="4">
        <v>21</v>
      </c>
      <c r="C23" s="7" t="s">
        <v>9</v>
      </c>
      <c r="D23" s="6"/>
      <c r="E23" s="15" t="s">
        <v>57</v>
      </c>
      <c r="F23" s="16"/>
      <c r="H23" s="27"/>
    </row>
    <row r="24" spans="2:8" ht="15" x14ac:dyDescent="0.2">
      <c r="B24" s="4">
        <v>22</v>
      </c>
      <c r="C24" s="7" t="s">
        <v>34</v>
      </c>
      <c r="D24" s="6"/>
      <c r="E24" s="15" t="s">
        <v>58</v>
      </c>
      <c r="F24" s="16"/>
      <c r="H24" s="27"/>
    </row>
    <row r="25" spans="2:8" ht="15" x14ac:dyDescent="0.2">
      <c r="B25" s="4">
        <v>23</v>
      </c>
      <c r="D25" s="6"/>
      <c r="E25" s="15" t="s">
        <v>60</v>
      </c>
      <c r="F25" s="16"/>
      <c r="H25" s="27"/>
    </row>
    <row r="26" spans="2:8" ht="15" x14ac:dyDescent="0.2">
      <c r="B26" s="4">
        <v>24</v>
      </c>
      <c r="D26" s="6"/>
      <c r="E26" s="15" t="s">
        <v>61</v>
      </c>
      <c r="F26" s="16"/>
      <c r="H26" s="27"/>
    </row>
    <row r="27" spans="2:8" ht="15" x14ac:dyDescent="0.2">
      <c r="B27" s="4">
        <v>25</v>
      </c>
      <c r="C27" s="7"/>
      <c r="D27" s="6"/>
      <c r="E27" s="15" t="s">
        <v>63</v>
      </c>
      <c r="F27" s="16"/>
      <c r="H27" s="27"/>
    </row>
    <row r="28" spans="2:8" ht="15" x14ac:dyDescent="0.2">
      <c r="B28" s="4">
        <v>26</v>
      </c>
      <c r="D28" s="6"/>
      <c r="E28" s="15" t="s">
        <v>64</v>
      </c>
      <c r="F28" s="16"/>
      <c r="H28" s="27"/>
    </row>
    <row r="29" spans="2:8" ht="15" x14ac:dyDescent="0.2">
      <c r="B29" s="4">
        <v>27</v>
      </c>
      <c r="D29" s="6"/>
      <c r="E29" s="15" t="s">
        <v>65</v>
      </c>
      <c r="F29" s="16"/>
      <c r="H29" s="27"/>
    </row>
    <row r="30" spans="2:8" ht="15" x14ac:dyDescent="0.2">
      <c r="B30" s="4">
        <v>28</v>
      </c>
      <c r="D30" s="6"/>
      <c r="E30" s="15" t="s">
        <v>68</v>
      </c>
      <c r="F30" s="16"/>
      <c r="H30" s="27"/>
    </row>
    <row r="31" spans="2:8" ht="15" x14ac:dyDescent="0.2">
      <c r="B31" s="4">
        <v>29</v>
      </c>
      <c r="D31" s="6"/>
      <c r="E31" s="15" t="s">
        <v>69</v>
      </c>
      <c r="F31" s="16"/>
      <c r="H31" s="27"/>
    </row>
    <row r="32" spans="2:8" ht="15" x14ac:dyDescent="0.2">
      <c r="B32" s="4">
        <v>30</v>
      </c>
      <c r="D32" s="6"/>
      <c r="E32" s="15" t="s">
        <v>70</v>
      </c>
      <c r="F32" s="16"/>
      <c r="H32" s="27"/>
    </row>
    <row r="33" spans="2:8" ht="15" x14ac:dyDescent="0.2">
      <c r="B33" s="4">
        <v>31</v>
      </c>
      <c r="D33" s="6"/>
      <c r="E33" s="15" t="s">
        <v>71</v>
      </c>
      <c r="F33" s="16"/>
      <c r="H33" s="27"/>
    </row>
    <row r="34" spans="2:8" ht="15" x14ac:dyDescent="0.2">
      <c r="B34" s="4">
        <v>32</v>
      </c>
      <c r="C34" s="7"/>
      <c r="D34" s="6"/>
      <c r="E34" s="15" t="s">
        <v>72</v>
      </c>
      <c r="F34" s="16"/>
      <c r="H34" s="27"/>
    </row>
    <row r="35" spans="2:8" ht="15" x14ac:dyDescent="0.2">
      <c r="B35" s="4">
        <v>33</v>
      </c>
      <c r="C35" s="7"/>
      <c r="D35" s="6"/>
      <c r="E35" s="15" t="s">
        <v>73</v>
      </c>
      <c r="F35" s="16"/>
      <c r="H35" s="27"/>
    </row>
    <row r="36" spans="2:8" ht="15" x14ac:dyDescent="0.2">
      <c r="B36" s="4">
        <v>34</v>
      </c>
      <c r="C36" s="7"/>
      <c r="D36" s="6"/>
      <c r="E36" s="15" t="s">
        <v>74</v>
      </c>
      <c r="F36" s="16"/>
      <c r="H36" s="27"/>
    </row>
    <row r="37" spans="2:8" ht="15" x14ac:dyDescent="0.2">
      <c r="B37" s="4">
        <v>35</v>
      </c>
      <c r="C37" s="7"/>
      <c r="D37" s="6"/>
      <c r="E37" s="15" t="s">
        <v>75</v>
      </c>
      <c r="F37" s="16"/>
      <c r="H37" s="27"/>
    </row>
    <row r="38" spans="2:8" ht="15" x14ac:dyDescent="0.2">
      <c r="B38" s="4">
        <v>36</v>
      </c>
      <c r="C38" s="7"/>
      <c r="D38" s="6"/>
      <c r="E38" s="15" t="s">
        <v>76</v>
      </c>
      <c r="F38" s="16"/>
      <c r="H38" s="27"/>
    </row>
    <row r="39" spans="2:8" ht="15" x14ac:dyDescent="0.2">
      <c r="B39" s="4">
        <v>37</v>
      </c>
      <c r="C39" s="7"/>
      <c r="D39" s="6"/>
      <c r="E39" s="15" t="s">
        <v>77</v>
      </c>
      <c r="F39" s="16"/>
      <c r="H39" s="27"/>
    </row>
    <row r="40" spans="2:8" ht="15" x14ac:dyDescent="0.2">
      <c r="B40" s="4">
        <v>38</v>
      </c>
      <c r="C40" s="7"/>
      <c r="D40" s="6"/>
      <c r="E40" s="15" t="s">
        <v>78</v>
      </c>
      <c r="F40" s="16"/>
      <c r="H40" s="27"/>
    </row>
    <row r="41" spans="2:8" ht="15" x14ac:dyDescent="0.2">
      <c r="B41" s="4">
        <v>39</v>
      </c>
      <c r="C41" s="7"/>
      <c r="D41" s="6"/>
      <c r="E41" s="15" t="s">
        <v>79</v>
      </c>
      <c r="F41" s="16"/>
      <c r="H41" s="27"/>
    </row>
    <row r="42" spans="2:8" ht="15" x14ac:dyDescent="0.2">
      <c r="B42" s="4">
        <v>40</v>
      </c>
      <c r="C42" s="7"/>
      <c r="D42" s="6"/>
      <c r="E42" s="15" t="s">
        <v>80</v>
      </c>
      <c r="F42" s="16"/>
      <c r="H42" s="27"/>
    </row>
    <row r="43" spans="2:8" ht="15" x14ac:dyDescent="0.2">
      <c r="B43" s="4">
        <v>41</v>
      </c>
      <c r="C43" s="7"/>
      <c r="D43" s="6"/>
      <c r="E43" s="15" t="s">
        <v>81</v>
      </c>
      <c r="F43" s="16"/>
      <c r="H43" s="27"/>
    </row>
    <row r="44" spans="2:8" ht="15" x14ac:dyDescent="0.2">
      <c r="B44" s="4">
        <v>42</v>
      </c>
      <c r="C44" s="7"/>
      <c r="D44" s="6"/>
      <c r="E44" s="15" t="s">
        <v>82</v>
      </c>
      <c r="F44" s="16"/>
      <c r="H44" s="27"/>
    </row>
    <row r="45" spans="2:8" ht="15" x14ac:dyDescent="0.2">
      <c r="B45" s="4">
        <v>43</v>
      </c>
      <c r="C45" s="7"/>
      <c r="D45" s="6"/>
      <c r="E45" s="15" t="s">
        <v>83</v>
      </c>
      <c r="F45" s="16"/>
      <c r="H45" s="27"/>
    </row>
    <row r="46" spans="2:8" ht="15" x14ac:dyDescent="0.2">
      <c r="B46" s="4">
        <v>44</v>
      </c>
      <c r="C46" s="7"/>
      <c r="D46" s="6"/>
      <c r="E46" s="15" t="s">
        <v>84</v>
      </c>
      <c r="F46" s="16"/>
      <c r="H46" s="27"/>
    </row>
    <row r="47" spans="2:8" ht="15" x14ac:dyDescent="0.2">
      <c r="B47" s="4">
        <v>45</v>
      </c>
      <c r="C47" s="7"/>
      <c r="D47" s="6"/>
      <c r="E47" s="15" t="s">
        <v>85</v>
      </c>
      <c r="F47" s="16"/>
      <c r="H47" s="27"/>
    </row>
    <row r="48" spans="2:8" ht="15" x14ac:dyDescent="0.2">
      <c r="B48" s="4">
        <v>46</v>
      </c>
      <c r="C48" s="7"/>
      <c r="D48" s="6"/>
      <c r="E48" s="15" t="s">
        <v>86</v>
      </c>
      <c r="F48" s="16"/>
      <c r="H48" s="27"/>
    </row>
    <row r="49" spans="2:8" ht="15" x14ac:dyDescent="0.2">
      <c r="B49" s="4">
        <v>47</v>
      </c>
      <c r="C49" s="7"/>
      <c r="D49" s="6"/>
      <c r="E49" s="15" t="s">
        <v>87</v>
      </c>
      <c r="F49" s="16"/>
      <c r="H49" s="27"/>
    </row>
    <row r="50" spans="2:8" ht="15" x14ac:dyDescent="0.2">
      <c r="B50" s="4">
        <v>48</v>
      </c>
      <c r="C50" s="7"/>
      <c r="D50" s="6"/>
      <c r="E50" s="15" t="s">
        <v>88</v>
      </c>
      <c r="F50" s="16"/>
      <c r="H50" s="27"/>
    </row>
    <row r="51" spans="2:8" ht="15" x14ac:dyDescent="0.2">
      <c r="B51" s="4">
        <v>49</v>
      </c>
      <c r="C51" s="7"/>
      <c r="D51" s="6"/>
      <c r="E51" s="15" t="s">
        <v>89</v>
      </c>
      <c r="F51" s="16"/>
      <c r="G51" s="30"/>
      <c r="H51" s="27"/>
    </row>
    <row r="52" spans="2:8" ht="15" x14ac:dyDescent="0.2">
      <c r="B52" s="4">
        <v>50</v>
      </c>
      <c r="C52" s="7"/>
      <c r="D52" s="6"/>
      <c r="E52" s="15" t="s">
        <v>90</v>
      </c>
      <c r="F52" s="16"/>
      <c r="H52" s="27"/>
    </row>
    <row r="53" spans="2:8" ht="15" x14ac:dyDescent="0.2">
      <c r="B53" s="4">
        <v>51</v>
      </c>
      <c r="C53" s="7"/>
      <c r="D53" s="6"/>
      <c r="E53" s="15" t="s">
        <v>97</v>
      </c>
      <c r="F53" s="16"/>
      <c r="H53" s="27"/>
    </row>
    <row r="54" spans="2:8" ht="15" x14ac:dyDescent="0.2">
      <c r="B54" s="4">
        <v>52</v>
      </c>
      <c r="C54" s="7"/>
      <c r="D54" s="6"/>
      <c r="E54" s="15" t="s">
        <v>91</v>
      </c>
      <c r="F54" s="16"/>
      <c r="H54" s="27"/>
    </row>
    <row r="55" spans="2:8" ht="15" x14ac:dyDescent="0.2">
      <c r="B55" s="4">
        <v>53</v>
      </c>
      <c r="C55" s="7"/>
      <c r="D55" s="6"/>
      <c r="E55" s="15" t="s">
        <v>92</v>
      </c>
      <c r="F55" s="16"/>
      <c r="H55" s="27"/>
    </row>
    <row r="56" spans="2:8" ht="15" x14ac:dyDescent="0.2">
      <c r="B56" s="4">
        <v>54</v>
      </c>
      <c r="C56" s="7"/>
      <c r="D56" s="6"/>
      <c r="E56" s="15" t="s">
        <v>93</v>
      </c>
      <c r="F56" s="16"/>
      <c r="H56" s="27"/>
    </row>
    <row r="57" spans="2:8" ht="15" x14ac:dyDescent="0.2">
      <c r="B57" s="4">
        <v>55</v>
      </c>
      <c r="C57" s="7"/>
      <c r="D57" s="6"/>
      <c r="E57" s="15" t="s">
        <v>94</v>
      </c>
      <c r="F57" s="16"/>
      <c r="H57" s="27"/>
    </row>
    <row r="58" spans="2:8" ht="15" x14ac:dyDescent="0.2">
      <c r="B58" s="4">
        <v>56</v>
      </c>
      <c r="C58" s="7"/>
      <c r="D58" s="6"/>
      <c r="E58" s="15" t="s">
        <v>95</v>
      </c>
      <c r="F58" s="16"/>
      <c r="H58" s="27"/>
    </row>
    <row r="59" spans="2:8" ht="15" x14ac:dyDescent="0.2">
      <c r="B59" s="4">
        <v>57</v>
      </c>
      <c r="C59" s="7"/>
      <c r="D59" s="6"/>
      <c r="E59" s="15" t="s">
        <v>96</v>
      </c>
      <c r="F59" s="16"/>
      <c r="H59" s="27"/>
    </row>
    <row r="60" spans="2:8" ht="15" x14ac:dyDescent="0.2">
      <c r="B60" s="4">
        <v>58</v>
      </c>
      <c r="C60" s="7"/>
      <c r="D60" s="6"/>
      <c r="E60" s="15" t="s">
        <v>98</v>
      </c>
      <c r="F60" s="16"/>
      <c r="H60" s="27"/>
    </row>
    <row r="61" spans="2:8" ht="15" x14ac:dyDescent="0.2">
      <c r="B61" s="4">
        <v>59</v>
      </c>
      <c r="C61" s="7"/>
      <c r="D61" s="6"/>
      <c r="E61" s="15" t="s">
        <v>99</v>
      </c>
      <c r="F61" s="16"/>
      <c r="H61" s="27"/>
    </row>
    <row r="62" spans="2:8" ht="15" x14ac:dyDescent="0.2">
      <c r="B62" s="4">
        <v>60</v>
      </c>
      <c r="C62" s="7"/>
      <c r="D62" s="6"/>
      <c r="E62" s="15" t="s">
        <v>100</v>
      </c>
      <c r="F62" s="16"/>
      <c r="H62" s="27"/>
    </row>
    <row r="63" spans="2:8" ht="15" x14ac:dyDescent="0.2">
      <c r="B63" s="4">
        <v>61</v>
      </c>
      <c r="C63" s="7"/>
      <c r="D63" s="6"/>
      <c r="E63" s="15" t="s">
        <v>101</v>
      </c>
      <c r="F63" s="16"/>
      <c r="H63" s="27"/>
    </row>
    <row r="64" spans="2:8" ht="15" x14ac:dyDescent="0.2">
      <c r="B64" s="4">
        <v>62</v>
      </c>
      <c r="C64" s="7"/>
      <c r="D64" s="6"/>
      <c r="E64" s="15" t="s">
        <v>102</v>
      </c>
      <c r="F64" s="16"/>
      <c r="H64" s="27"/>
    </row>
    <row r="65" spans="2:8" ht="15" x14ac:dyDescent="0.2">
      <c r="B65" s="4">
        <v>63</v>
      </c>
      <c r="C65" s="7"/>
      <c r="D65" s="6"/>
      <c r="E65" s="15" t="s">
        <v>103</v>
      </c>
      <c r="F65" s="16"/>
      <c r="H65" s="27"/>
    </row>
    <row r="66" spans="2:8" ht="15" x14ac:dyDescent="0.2">
      <c r="B66" s="4">
        <v>64</v>
      </c>
      <c r="C66" s="7"/>
      <c r="D66" s="6"/>
      <c r="E66" s="15" t="s">
        <v>104</v>
      </c>
      <c r="F66" s="16"/>
      <c r="H66" s="27"/>
    </row>
    <row r="67" spans="2:8" ht="15" x14ac:dyDescent="0.2">
      <c r="B67" s="4">
        <v>65</v>
      </c>
      <c r="C67" s="7"/>
      <c r="D67" s="6"/>
      <c r="E67" s="15" t="s">
        <v>105</v>
      </c>
      <c r="F67" s="16"/>
      <c r="H67" s="27"/>
    </row>
    <row r="68" spans="2:8" ht="15" x14ac:dyDescent="0.2">
      <c r="B68" s="4">
        <v>66</v>
      </c>
      <c r="C68" s="7"/>
      <c r="D68" s="6"/>
      <c r="E68" s="15" t="s">
        <v>106</v>
      </c>
      <c r="F68" s="16"/>
      <c r="H68" s="27"/>
    </row>
    <row r="69" spans="2:8" ht="15" x14ac:dyDescent="0.2">
      <c r="B69" s="4">
        <v>67</v>
      </c>
      <c r="C69" s="7"/>
      <c r="D69" s="6"/>
      <c r="E69" s="15" t="s">
        <v>107</v>
      </c>
      <c r="F69" s="16"/>
      <c r="H69" s="27"/>
    </row>
    <row r="70" spans="2:8" ht="15" x14ac:dyDescent="0.2">
      <c r="B70" s="4">
        <v>68</v>
      </c>
      <c r="C70" s="7"/>
      <c r="D70" s="6"/>
      <c r="E70" s="15" t="s">
        <v>121</v>
      </c>
      <c r="F70" s="16"/>
      <c r="H70" s="27"/>
    </row>
    <row r="71" spans="2:8" ht="15" x14ac:dyDescent="0.2">
      <c r="B71" s="4">
        <v>69</v>
      </c>
      <c r="C71" s="7"/>
      <c r="D71" s="6"/>
      <c r="E71" s="15" t="s">
        <v>108</v>
      </c>
      <c r="F71" s="16"/>
      <c r="H71" s="27"/>
    </row>
    <row r="72" spans="2:8" ht="15" x14ac:dyDescent="0.2">
      <c r="B72" s="4">
        <v>70</v>
      </c>
      <c r="C72" s="7"/>
      <c r="D72" s="6"/>
      <c r="E72" s="15" t="s">
        <v>109</v>
      </c>
      <c r="F72" s="16"/>
      <c r="H72" s="27"/>
    </row>
    <row r="73" spans="2:8" ht="15" x14ac:dyDescent="0.2">
      <c r="B73" s="4">
        <v>71</v>
      </c>
      <c r="C73" s="7"/>
      <c r="D73" s="6"/>
      <c r="E73" s="15" t="s">
        <v>110</v>
      </c>
      <c r="F73" s="16"/>
      <c r="H73" s="27"/>
    </row>
    <row r="74" spans="2:8" ht="15" x14ac:dyDescent="0.2">
      <c r="B74" s="4">
        <v>72</v>
      </c>
      <c r="C74" s="7"/>
      <c r="D74" s="6"/>
      <c r="E74" s="15" t="s">
        <v>111</v>
      </c>
      <c r="F74" s="16"/>
      <c r="H74" s="27"/>
    </row>
    <row r="75" spans="2:8" ht="15" x14ac:dyDescent="0.2">
      <c r="B75" s="4">
        <v>73</v>
      </c>
      <c r="C75" s="7"/>
      <c r="D75" s="6"/>
      <c r="E75" s="15" t="s">
        <v>112</v>
      </c>
      <c r="F75" s="16"/>
      <c r="H75" s="27"/>
    </row>
    <row r="76" spans="2:8" ht="15" x14ac:dyDescent="0.2">
      <c r="B76" s="4">
        <v>74</v>
      </c>
      <c r="C76" s="7"/>
      <c r="D76" s="6"/>
      <c r="E76" s="15" t="s">
        <v>114</v>
      </c>
      <c r="F76" s="16"/>
      <c r="H76" s="27"/>
    </row>
    <row r="77" spans="2:8" ht="15" x14ac:dyDescent="0.2">
      <c r="B77" s="4">
        <v>75</v>
      </c>
      <c r="C77" s="7"/>
      <c r="D77" s="6"/>
      <c r="E77" s="15" t="s">
        <v>115</v>
      </c>
      <c r="F77" s="16"/>
      <c r="H77" s="27"/>
    </row>
    <row r="78" spans="2:8" ht="15" x14ac:dyDescent="0.2">
      <c r="B78" s="4">
        <v>76</v>
      </c>
      <c r="C78" s="7"/>
      <c r="D78" s="6"/>
      <c r="E78" s="15" t="s">
        <v>116</v>
      </c>
      <c r="F78" s="16"/>
      <c r="H78" s="27"/>
    </row>
    <row r="79" spans="2:8" ht="15" x14ac:dyDescent="0.2">
      <c r="B79" s="4">
        <v>77</v>
      </c>
      <c r="C79" s="7"/>
      <c r="D79" s="6"/>
      <c r="E79" s="15" t="s">
        <v>117</v>
      </c>
      <c r="F79" s="16"/>
      <c r="H79" s="27"/>
    </row>
    <row r="80" spans="2:8" ht="15" x14ac:dyDescent="0.2">
      <c r="B80" s="4">
        <v>78</v>
      </c>
      <c r="C80" s="7"/>
      <c r="D80" s="6"/>
      <c r="E80" s="15" t="s">
        <v>118</v>
      </c>
      <c r="F80" s="16"/>
      <c r="H80" s="27"/>
    </row>
    <row r="81" spans="2:8" ht="15" x14ac:dyDescent="0.2">
      <c r="B81" s="4">
        <v>79</v>
      </c>
      <c r="C81" s="7"/>
      <c r="D81" s="6"/>
      <c r="E81" s="15" t="s">
        <v>119</v>
      </c>
      <c r="F81" s="16"/>
      <c r="H81" s="27"/>
    </row>
    <row r="82" spans="2:8" ht="15" x14ac:dyDescent="0.2">
      <c r="B82" s="4">
        <v>80</v>
      </c>
      <c r="C82" s="7"/>
      <c r="D82" s="6"/>
      <c r="E82" s="15" t="s">
        <v>120</v>
      </c>
      <c r="F82" s="16"/>
      <c r="H82" s="27"/>
    </row>
    <row r="83" spans="2:8" ht="15" x14ac:dyDescent="0.2">
      <c r="B83" s="4">
        <v>81</v>
      </c>
      <c r="C83" s="7"/>
      <c r="D83" s="6"/>
      <c r="E83" s="15" t="s">
        <v>122</v>
      </c>
      <c r="F83" s="16"/>
      <c r="H83" s="27"/>
    </row>
    <row r="84" spans="2:8" ht="15" x14ac:dyDescent="0.2">
      <c r="B84" s="4">
        <v>82</v>
      </c>
      <c r="C84" s="7"/>
      <c r="D84" s="6"/>
      <c r="E84" s="15" t="s">
        <v>123</v>
      </c>
      <c r="F84" s="16"/>
      <c r="H84" s="27"/>
    </row>
    <row r="85" spans="2:8" ht="15" x14ac:dyDescent="0.2">
      <c r="B85" s="4">
        <v>83</v>
      </c>
      <c r="C85" s="7"/>
      <c r="D85" s="6"/>
      <c r="E85" s="15" t="s">
        <v>124</v>
      </c>
      <c r="F85" s="16"/>
      <c r="H85" s="27"/>
    </row>
    <row r="86" spans="2:8" ht="15" x14ac:dyDescent="0.2">
      <c r="B86" s="4">
        <v>84</v>
      </c>
      <c r="C86" s="7"/>
      <c r="D86" s="6"/>
      <c r="E86" s="15" t="s">
        <v>125</v>
      </c>
      <c r="F86" s="16"/>
      <c r="H86" s="27"/>
    </row>
    <row r="87" spans="2:8" ht="15" x14ac:dyDescent="0.2">
      <c r="B87" s="4">
        <v>85</v>
      </c>
      <c r="C87" s="7"/>
      <c r="D87" s="6"/>
      <c r="E87" s="15" t="s">
        <v>126</v>
      </c>
      <c r="F87" s="16"/>
      <c r="H87" s="27"/>
    </row>
    <row r="88" spans="2:8" ht="15" x14ac:dyDescent="0.2">
      <c r="B88" s="4">
        <v>86</v>
      </c>
      <c r="C88" s="7"/>
      <c r="D88" s="6"/>
      <c r="E88" s="15" t="s">
        <v>127</v>
      </c>
      <c r="F88" s="16"/>
      <c r="H88" s="27"/>
    </row>
    <row r="89" spans="2:8" ht="15" x14ac:dyDescent="0.2">
      <c r="B89" s="4">
        <v>87</v>
      </c>
      <c r="C89" s="7"/>
      <c r="D89" s="6"/>
      <c r="E89" s="15" t="s">
        <v>128</v>
      </c>
      <c r="F89" s="16"/>
      <c r="H89" s="27"/>
    </row>
    <row r="90" spans="2:8" ht="15" x14ac:dyDescent="0.2">
      <c r="B90" s="4">
        <v>88</v>
      </c>
      <c r="C90" s="7"/>
      <c r="D90" s="6"/>
      <c r="E90" s="15" t="s">
        <v>129</v>
      </c>
      <c r="F90" s="16"/>
      <c r="H90" s="27"/>
    </row>
    <row r="91" spans="2:8" ht="15" x14ac:dyDescent="0.2">
      <c r="B91" s="4">
        <v>89</v>
      </c>
      <c r="C91" s="7"/>
      <c r="D91" s="6"/>
      <c r="E91" s="15" t="s">
        <v>130</v>
      </c>
      <c r="F91" s="16"/>
      <c r="H91" s="27"/>
    </row>
    <row r="92" spans="2:8" ht="15" x14ac:dyDescent="0.2">
      <c r="B92" s="4">
        <v>90</v>
      </c>
      <c r="C92" s="7"/>
      <c r="D92" s="6"/>
      <c r="E92" s="15" t="s">
        <v>131</v>
      </c>
      <c r="F92" s="16"/>
      <c r="H92" s="27"/>
    </row>
    <row r="93" spans="2:8" ht="15" x14ac:dyDescent="0.2">
      <c r="B93" s="4">
        <v>91</v>
      </c>
      <c r="C93" s="7"/>
      <c r="D93" s="6"/>
      <c r="E93" s="15" t="s">
        <v>132</v>
      </c>
      <c r="F93" s="16"/>
      <c r="H93" s="27"/>
    </row>
    <row r="94" spans="2:8" ht="15" x14ac:dyDescent="0.2">
      <c r="B94" s="4">
        <v>92</v>
      </c>
      <c r="C94" s="7"/>
      <c r="D94" s="6"/>
      <c r="E94" s="15" t="s">
        <v>133</v>
      </c>
      <c r="F94" s="16"/>
      <c r="H94" s="27"/>
    </row>
    <row r="95" spans="2:8" ht="15" x14ac:dyDescent="0.2">
      <c r="B95" s="4">
        <v>93</v>
      </c>
      <c r="C95" s="7"/>
      <c r="D95" s="6"/>
      <c r="E95" s="15" t="s">
        <v>134</v>
      </c>
      <c r="F95" s="16"/>
      <c r="H95" s="27"/>
    </row>
    <row r="96" spans="2:8" ht="15" x14ac:dyDescent="0.2">
      <c r="B96" s="4">
        <v>94</v>
      </c>
      <c r="C96" s="7"/>
      <c r="D96" s="6"/>
      <c r="E96" s="15" t="s">
        <v>135</v>
      </c>
      <c r="F96" s="16"/>
      <c r="H96" s="27"/>
    </row>
    <row r="97" spans="2:8" ht="15" x14ac:dyDescent="0.2">
      <c r="B97" s="4">
        <v>95</v>
      </c>
      <c r="C97" s="7"/>
      <c r="D97" s="6"/>
      <c r="E97" s="15" t="s">
        <v>136</v>
      </c>
      <c r="F97" s="16"/>
      <c r="H97" s="27"/>
    </row>
    <row r="98" spans="2:8" ht="15" x14ac:dyDescent="0.2">
      <c r="B98" s="4">
        <v>96</v>
      </c>
      <c r="C98" s="7"/>
      <c r="D98" s="6"/>
      <c r="E98" s="15" t="s">
        <v>137</v>
      </c>
      <c r="F98" s="16"/>
      <c r="H98" s="27"/>
    </row>
    <row r="99" spans="2:8" ht="15" x14ac:dyDescent="0.2">
      <c r="B99" s="4">
        <v>97</v>
      </c>
      <c r="C99" s="7"/>
      <c r="D99" s="6"/>
      <c r="E99" s="15" t="s">
        <v>138</v>
      </c>
      <c r="F99" s="16"/>
      <c r="H99" s="27"/>
    </row>
    <row r="100" spans="2:8" ht="15" x14ac:dyDescent="0.2">
      <c r="B100" s="4">
        <v>98</v>
      </c>
      <c r="C100" s="7"/>
      <c r="D100" s="6"/>
      <c r="E100" s="15" t="s">
        <v>139</v>
      </c>
      <c r="F100" s="16"/>
      <c r="H100" s="27"/>
    </row>
    <row r="101" spans="2:8" ht="15" x14ac:dyDescent="0.2">
      <c r="B101" s="4">
        <v>99</v>
      </c>
      <c r="C101" s="7"/>
      <c r="D101" s="6"/>
      <c r="E101" s="15" t="s">
        <v>140</v>
      </c>
      <c r="F101" s="16"/>
      <c r="H101" s="27"/>
    </row>
    <row r="102" spans="2:8" ht="15" x14ac:dyDescent="0.2">
      <c r="B102" s="4">
        <v>100</v>
      </c>
      <c r="C102" s="7"/>
      <c r="D102" s="6"/>
      <c r="E102" s="15" t="s">
        <v>141</v>
      </c>
      <c r="F102" s="16"/>
      <c r="H102" s="27"/>
    </row>
    <row r="103" spans="2:8" ht="15" x14ac:dyDescent="0.2">
      <c r="B103" s="4">
        <v>101</v>
      </c>
      <c r="C103" s="7"/>
      <c r="D103" s="6"/>
      <c r="E103" s="15" t="s">
        <v>142</v>
      </c>
      <c r="F103" s="16"/>
      <c r="H103" s="27"/>
    </row>
    <row r="104" spans="2:8" ht="15" x14ac:dyDescent="0.2">
      <c r="B104" s="4">
        <v>102</v>
      </c>
      <c r="C104" s="7"/>
      <c r="D104" s="6"/>
      <c r="E104" s="15" t="s">
        <v>143</v>
      </c>
      <c r="F104" s="16"/>
      <c r="H104" s="27"/>
    </row>
    <row r="105" spans="2:8" ht="15" x14ac:dyDescent="0.2">
      <c r="B105" s="4">
        <v>103</v>
      </c>
      <c r="C105" s="7"/>
      <c r="D105" s="6"/>
      <c r="E105" s="15" t="s">
        <v>144</v>
      </c>
      <c r="F105" s="16"/>
      <c r="H105" s="27"/>
    </row>
    <row r="106" spans="2:8" ht="15" x14ac:dyDescent="0.2">
      <c r="B106" s="4">
        <v>104</v>
      </c>
      <c r="C106" s="7"/>
      <c r="D106" s="6"/>
      <c r="E106" s="15" t="s">
        <v>145</v>
      </c>
      <c r="F106" s="16"/>
      <c r="H106" s="27"/>
    </row>
    <row r="107" spans="2:8" ht="15" x14ac:dyDescent="0.2">
      <c r="B107" s="4">
        <v>105</v>
      </c>
      <c r="C107" s="7"/>
      <c r="D107" s="6"/>
      <c r="E107" s="15" t="s">
        <v>146</v>
      </c>
      <c r="F107" s="16"/>
      <c r="H107" s="27"/>
    </row>
    <row r="108" spans="2:8" ht="15" x14ac:dyDescent="0.2">
      <c r="B108" s="4">
        <v>106</v>
      </c>
      <c r="C108" s="7"/>
      <c r="D108" s="6"/>
      <c r="E108" s="15" t="s">
        <v>147</v>
      </c>
      <c r="F108" s="16"/>
      <c r="H108" s="27"/>
    </row>
    <row r="109" spans="2:8" ht="15" x14ac:dyDescent="0.2">
      <c r="B109" s="4">
        <v>107</v>
      </c>
      <c r="C109" s="7"/>
      <c r="D109" s="6"/>
      <c r="E109" s="15" t="s">
        <v>148</v>
      </c>
      <c r="F109" s="16"/>
      <c r="H109" s="27"/>
    </row>
    <row r="110" spans="2:8" ht="15" x14ac:dyDescent="0.2">
      <c r="B110" s="4">
        <v>108</v>
      </c>
      <c r="C110" s="7"/>
      <c r="D110" s="6"/>
      <c r="E110" s="15" t="s">
        <v>149</v>
      </c>
      <c r="F110" s="16"/>
      <c r="H110" s="27"/>
    </row>
    <row r="111" spans="2:8" ht="15" x14ac:dyDescent="0.2">
      <c r="B111" s="4">
        <v>109</v>
      </c>
      <c r="C111" s="7"/>
      <c r="D111" s="6"/>
      <c r="E111" s="15" t="s">
        <v>150</v>
      </c>
      <c r="F111" s="16"/>
      <c r="H111" s="27"/>
    </row>
    <row r="112" spans="2:8" ht="15" x14ac:dyDescent="0.2">
      <c r="B112" s="4">
        <v>110</v>
      </c>
      <c r="C112" s="7"/>
      <c r="D112" s="6"/>
      <c r="E112" s="15" t="s">
        <v>151</v>
      </c>
      <c r="F112" s="16"/>
      <c r="H112" s="27"/>
    </row>
    <row r="113" spans="2:8" ht="15" x14ac:dyDescent="0.2">
      <c r="B113" s="4">
        <v>111</v>
      </c>
      <c r="C113" s="7"/>
      <c r="D113" s="6"/>
      <c r="E113" s="15" t="s">
        <v>153</v>
      </c>
      <c r="F113" s="16"/>
      <c r="H113" s="27"/>
    </row>
    <row r="114" spans="2:8" ht="15" x14ac:dyDescent="0.2">
      <c r="B114" s="4">
        <v>112</v>
      </c>
      <c r="C114" s="7"/>
      <c r="D114" s="6"/>
      <c r="E114" s="15" t="s">
        <v>154</v>
      </c>
      <c r="F114" s="16"/>
      <c r="H114" s="27"/>
    </row>
    <row r="115" spans="2:8" ht="15" x14ac:dyDescent="0.2">
      <c r="B115" s="4">
        <v>113</v>
      </c>
      <c r="C115" s="7"/>
      <c r="D115" s="6"/>
      <c r="E115" s="15" t="s">
        <v>155</v>
      </c>
      <c r="F115" s="16"/>
      <c r="H115" s="27"/>
    </row>
    <row r="116" spans="2:8" ht="15" x14ac:dyDescent="0.2">
      <c r="B116" s="4">
        <v>114</v>
      </c>
      <c r="C116" s="7"/>
      <c r="D116" s="6"/>
      <c r="E116" s="15" t="s">
        <v>156</v>
      </c>
      <c r="F116" s="16"/>
      <c r="H116" s="27"/>
    </row>
    <row r="117" spans="2:8" ht="15" x14ac:dyDescent="0.2">
      <c r="B117" s="4">
        <v>115</v>
      </c>
      <c r="C117" s="7"/>
      <c r="D117" s="6"/>
      <c r="E117" s="15" t="s">
        <v>157</v>
      </c>
      <c r="F117" s="16"/>
      <c r="H117" s="27"/>
    </row>
    <row r="118" spans="2:8" ht="15" x14ac:dyDescent="0.2">
      <c r="B118" s="4">
        <v>116</v>
      </c>
      <c r="C118" s="7"/>
      <c r="D118" s="6"/>
      <c r="E118" s="15" t="s">
        <v>158</v>
      </c>
      <c r="F118" s="16"/>
      <c r="H118" s="27"/>
    </row>
    <row r="119" spans="2:8" ht="15" x14ac:dyDescent="0.2">
      <c r="B119" s="4">
        <v>117</v>
      </c>
      <c r="C119" s="7"/>
      <c r="D119" s="6"/>
      <c r="E119" s="15" t="s">
        <v>159</v>
      </c>
      <c r="F119" s="16"/>
      <c r="H119" s="27"/>
    </row>
    <row r="120" spans="2:8" ht="15" x14ac:dyDescent="0.2">
      <c r="B120" s="4">
        <v>118</v>
      </c>
      <c r="C120" s="7"/>
      <c r="D120" s="6"/>
      <c r="E120" s="15" t="s">
        <v>160</v>
      </c>
      <c r="F120" s="16"/>
      <c r="H120" s="27"/>
    </row>
    <row r="121" spans="2:8" ht="15" x14ac:dyDescent="0.2">
      <c r="B121" s="4">
        <v>119</v>
      </c>
      <c r="C121" s="7"/>
      <c r="D121" s="6"/>
      <c r="E121" s="15" t="s">
        <v>161</v>
      </c>
      <c r="F121" s="16"/>
      <c r="H121" s="27"/>
    </row>
    <row r="122" spans="2:8" ht="15" x14ac:dyDescent="0.2">
      <c r="B122" s="4">
        <v>120</v>
      </c>
      <c r="C122" s="7"/>
      <c r="D122" s="6"/>
      <c r="E122" s="15" t="s">
        <v>162</v>
      </c>
      <c r="F122" s="16"/>
      <c r="H122" s="27"/>
    </row>
    <row r="123" spans="2:8" ht="15" x14ac:dyDescent="0.2">
      <c r="B123" s="4">
        <v>121</v>
      </c>
      <c r="C123" s="7"/>
      <c r="D123" s="6"/>
      <c r="E123" s="15" t="s">
        <v>163</v>
      </c>
      <c r="F123" s="16"/>
      <c r="H123" s="27"/>
    </row>
    <row r="124" spans="2:8" ht="15" x14ac:dyDescent="0.2">
      <c r="B124" s="4">
        <v>122</v>
      </c>
      <c r="C124" s="7"/>
      <c r="D124" s="6"/>
      <c r="E124" s="15" t="s">
        <v>164</v>
      </c>
      <c r="F124" s="16"/>
      <c r="H124" s="27"/>
    </row>
    <row r="125" spans="2:8" ht="15" x14ac:dyDescent="0.2">
      <c r="B125" s="4">
        <v>123</v>
      </c>
      <c r="C125" s="7"/>
      <c r="D125" s="6"/>
      <c r="E125" s="15" t="s">
        <v>165</v>
      </c>
      <c r="F125" s="16"/>
      <c r="H125" s="27"/>
    </row>
    <row r="126" spans="2:8" ht="15" x14ac:dyDescent="0.2">
      <c r="B126" s="4">
        <v>124</v>
      </c>
      <c r="C126" s="7"/>
      <c r="D126" s="6"/>
      <c r="E126" s="15" t="s">
        <v>166</v>
      </c>
      <c r="F126" s="16"/>
      <c r="H126" s="27"/>
    </row>
    <row r="127" spans="2:8" ht="15" x14ac:dyDescent="0.2">
      <c r="B127" s="4">
        <v>125</v>
      </c>
      <c r="C127" s="7"/>
      <c r="D127" s="6"/>
      <c r="E127" s="15" t="s">
        <v>167</v>
      </c>
      <c r="F127" s="16"/>
      <c r="H127" s="27"/>
    </row>
    <row r="128" spans="2:8" ht="15" x14ac:dyDescent="0.2">
      <c r="B128" s="4">
        <v>126</v>
      </c>
      <c r="C128" s="7"/>
      <c r="D128" s="6"/>
      <c r="E128" s="15" t="s">
        <v>168</v>
      </c>
      <c r="F128" s="16"/>
      <c r="H128" s="27"/>
    </row>
    <row r="129" spans="2:8" ht="15" x14ac:dyDescent="0.2">
      <c r="B129" s="4">
        <v>127</v>
      </c>
      <c r="C129" s="7"/>
      <c r="D129" s="6"/>
      <c r="E129" s="15" t="s">
        <v>169</v>
      </c>
      <c r="F129" s="16"/>
      <c r="H129" s="27"/>
    </row>
    <row r="130" spans="2:8" ht="15" x14ac:dyDescent="0.2">
      <c r="B130" s="4">
        <v>128</v>
      </c>
      <c r="C130" s="7"/>
      <c r="D130" s="6"/>
      <c r="E130" s="15" t="s">
        <v>170</v>
      </c>
      <c r="F130" s="16"/>
      <c r="H130" s="27"/>
    </row>
    <row r="131" spans="2:8" ht="15" x14ac:dyDescent="0.2">
      <c r="B131" s="4">
        <v>129</v>
      </c>
      <c r="C131" s="7"/>
      <c r="D131" s="6"/>
      <c r="E131" s="15" t="s">
        <v>171</v>
      </c>
      <c r="F131" s="16"/>
      <c r="H131" s="27"/>
    </row>
    <row r="132" spans="2:8" ht="15" x14ac:dyDescent="0.2">
      <c r="B132" s="4">
        <v>130</v>
      </c>
      <c r="C132" s="7"/>
      <c r="D132" s="6"/>
      <c r="E132" s="15" t="s">
        <v>172</v>
      </c>
      <c r="F132" s="16"/>
      <c r="H132" s="27"/>
    </row>
    <row r="133" spans="2:8" ht="15" x14ac:dyDescent="0.2">
      <c r="B133" s="4">
        <v>131</v>
      </c>
      <c r="C133" s="7"/>
      <c r="D133" s="6"/>
      <c r="E133" s="15" t="s">
        <v>173</v>
      </c>
      <c r="F133" s="16"/>
      <c r="H133" s="27"/>
    </row>
    <row r="134" spans="2:8" ht="15" x14ac:dyDescent="0.2">
      <c r="B134" s="4">
        <v>132</v>
      </c>
      <c r="C134" s="7"/>
      <c r="D134" s="6"/>
      <c r="E134" s="15" t="s">
        <v>174</v>
      </c>
      <c r="F134" s="16"/>
      <c r="H134" s="27"/>
    </row>
    <row r="135" spans="2:8" ht="15" x14ac:dyDescent="0.2">
      <c r="B135" s="4">
        <v>133</v>
      </c>
      <c r="C135" s="7"/>
      <c r="D135" s="6"/>
      <c r="E135" s="15" t="s">
        <v>175</v>
      </c>
      <c r="F135" s="16"/>
      <c r="H135" s="27"/>
    </row>
    <row r="136" spans="2:8" ht="15" x14ac:dyDescent="0.2">
      <c r="B136" s="4">
        <v>134</v>
      </c>
      <c r="C136" s="7"/>
      <c r="D136" s="6"/>
      <c r="E136" s="15" t="s">
        <v>176</v>
      </c>
      <c r="F136" s="16"/>
      <c r="H136" s="27"/>
    </row>
    <row r="137" spans="2:8" ht="15" x14ac:dyDescent="0.2">
      <c r="B137" s="4">
        <v>135</v>
      </c>
      <c r="C137" s="7"/>
      <c r="D137" s="6"/>
      <c r="E137" s="15" t="s">
        <v>177</v>
      </c>
      <c r="F137" s="16"/>
      <c r="H137" s="27"/>
    </row>
    <row r="138" spans="2:8" ht="15" x14ac:dyDescent="0.2">
      <c r="B138" s="4">
        <v>136</v>
      </c>
      <c r="C138" s="7"/>
      <c r="D138" s="6"/>
      <c r="E138" s="15" t="s">
        <v>178</v>
      </c>
      <c r="F138" s="16"/>
      <c r="H138" s="27"/>
    </row>
    <row r="139" spans="2:8" ht="15" x14ac:dyDescent="0.2">
      <c r="B139" s="4">
        <v>137</v>
      </c>
      <c r="C139" s="7"/>
      <c r="D139" s="6"/>
      <c r="E139" s="15" t="s">
        <v>179</v>
      </c>
      <c r="F139" s="16"/>
      <c r="H139" s="27"/>
    </row>
    <row r="140" spans="2:8" ht="15" x14ac:dyDescent="0.2">
      <c r="B140" s="4">
        <v>138</v>
      </c>
      <c r="C140" s="7"/>
      <c r="D140" s="6"/>
      <c r="E140" s="15" t="s">
        <v>180</v>
      </c>
      <c r="F140" s="16"/>
      <c r="H140" s="27"/>
    </row>
    <row r="141" spans="2:8" ht="15" x14ac:dyDescent="0.2">
      <c r="B141" s="4">
        <v>139</v>
      </c>
      <c r="C141" s="7"/>
      <c r="D141" s="6"/>
      <c r="E141" s="15" t="s">
        <v>181</v>
      </c>
      <c r="F141" s="16"/>
      <c r="H141" s="27"/>
    </row>
    <row r="142" spans="2:8" ht="15" x14ac:dyDescent="0.2">
      <c r="B142" s="4">
        <v>140</v>
      </c>
      <c r="C142" s="7"/>
      <c r="D142" s="6"/>
      <c r="E142" s="15" t="s">
        <v>182</v>
      </c>
      <c r="F142" s="16"/>
      <c r="H142" s="27"/>
    </row>
    <row r="143" spans="2:8" ht="15" x14ac:dyDescent="0.2">
      <c r="B143" s="4">
        <v>141</v>
      </c>
      <c r="C143" s="7"/>
      <c r="D143" s="6"/>
      <c r="E143" s="15" t="s">
        <v>183</v>
      </c>
      <c r="F143" s="16"/>
      <c r="H143" s="27"/>
    </row>
    <row r="144" spans="2:8" ht="15" x14ac:dyDescent="0.2">
      <c r="B144" s="4">
        <v>142</v>
      </c>
      <c r="C144" s="7"/>
      <c r="D144" s="6"/>
      <c r="E144" s="15" t="s">
        <v>184</v>
      </c>
      <c r="F144" s="16"/>
    </row>
    <row r="145" spans="2:6" ht="15" x14ac:dyDescent="0.2">
      <c r="B145" s="4">
        <v>143</v>
      </c>
      <c r="C145" s="7"/>
      <c r="D145" s="6"/>
      <c r="E145" s="15" t="s">
        <v>185</v>
      </c>
      <c r="F145" s="16"/>
    </row>
    <row r="146" spans="2:6" ht="15" x14ac:dyDescent="0.2">
      <c r="B146" s="4">
        <v>144</v>
      </c>
      <c r="C146" s="7"/>
      <c r="D146" s="6"/>
      <c r="E146" s="15" t="s">
        <v>186</v>
      </c>
      <c r="F146" s="16"/>
    </row>
    <row r="147" spans="2:6" ht="15" x14ac:dyDescent="0.2">
      <c r="B147" s="4">
        <v>145</v>
      </c>
      <c r="C147" s="7"/>
      <c r="D147" s="6"/>
      <c r="E147" s="15" t="s">
        <v>187</v>
      </c>
      <c r="F147" s="16"/>
    </row>
    <row r="148" spans="2:6" ht="15" x14ac:dyDescent="0.2">
      <c r="B148" s="4">
        <v>146</v>
      </c>
      <c r="C148" s="7"/>
      <c r="D148" s="6"/>
      <c r="E148" s="15" t="s">
        <v>188</v>
      </c>
      <c r="F148" s="16"/>
    </row>
    <row r="149" spans="2:6" ht="15" x14ac:dyDescent="0.2">
      <c r="B149" s="4">
        <v>147</v>
      </c>
      <c r="C149" s="7"/>
      <c r="D149" s="6"/>
      <c r="E149" s="15" t="s">
        <v>189</v>
      </c>
      <c r="F149" s="16"/>
    </row>
    <row r="150" spans="2:6" ht="15" x14ac:dyDescent="0.2">
      <c r="B150" s="4">
        <v>148</v>
      </c>
      <c r="C150" s="7"/>
      <c r="D150" s="6"/>
      <c r="E150" s="15" t="s">
        <v>190</v>
      </c>
      <c r="F150" s="16"/>
    </row>
    <row r="151" spans="2:6" ht="15" x14ac:dyDescent="0.2">
      <c r="B151" s="4">
        <v>149</v>
      </c>
      <c r="C151" s="7"/>
      <c r="D151" s="6"/>
      <c r="E151" s="15" t="s">
        <v>197</v>
      </c>
      <c r="F151" s="16"/>
    </row>
    <row r="152" spans="2:6" ht="15" x14ac:dyDescent="0.2">
      <c r="B152" s="4">
        <v>150</v>
      </c>
      <c r="C152" s="7"/>
      <c r="D152" s="6"/>
      <c r="E152" s="15" t="s">
        <v>191</v>
      </c>
      <c r="F152" s="16"/>
    </row>
    <row r="153" spans="2:6" ht="15" x14ac:dyDescent="0.2">
      <c r="B153" s="4">
        <v>151</v>
      </c>
      <c r="C153" s="7"/>
      <c r="D153" s="6"/>
      <c r="E153" s="15" t="s">
        <v>192</v>
      </c>
      <c r="F153" s="16"/>
    </row>
    <row r="154" spans="2:6" ht="15" x14ac:dyDescent="0.2">
      <c r="B154" s="4">
        <v>152</v>
      </c>
      <c r="C154" s="7"/>
      <c r="D154" s="6"/>
      <c r="E154" s="15" t="s">
        <v>193</v>
      </c>
      <c r="F154" s="16"/>
    </row>
    <row r="155" spans="2:6" ht="15" x14ac:dyDescent="0.2">
      <c r="B155" s="4">
        <v>153</v>
      </c>
      <c r="C155" s="7"/>
      <c r="D155" s="6"/>
      <c r="E155" s="15" t="s">
        <v>194</v>
      </c>
      <c r="F155" s="16"/>
    </row>
    <row r="156" spans="2:6" ht="15" x14ac:dyDescent="0.2">
      <c r="B156" s="4">
        <v>154</v>
      </c>
      <c r="C156" s="7"/>
      <c r="D156" s="6"/>
      <c r="E156" s="15" t="s">
        <v>195</v>
      </c>
      <c r="F156" s="16"/>
    </row>
    <row r="157" spans="2:6" ht="15" x14ac:dyDescent="0.2">
      <c r="B157" s="4">
        <v>155</v>
      </c>
      <c r="C157" s="7"/>
      <c r="D157" s="6"/>
      <c r="E157" s="15" t="s">
        <v>196</v>
      </c>
      <c r="F157" s="16"/>
    </row>
    <row r="158" spans="2:6" ht="15" x14ac:dyDescent="0.2">
      <c r="B158" s="4">
        <v>156</v>
      </c>
      <c r="C158" s="7"/>
      <c r="D158" s="6"/>
      <c r="E158" s="15" t="s">
        <v>198</v>
      </c>
      <c r="F158" s="16"/>
    </row>
    <row r="159" spans="2:6" ht="15" x14ac:dyDescent="0.2">
      <c r="B159" s="4">
        <v>157</v>
      </c>
      <c r="C159" s="7"/>
      <c r="D159" s="6"/>
      <c r="E159" s="15" t="s">
        <v>199</v>
      </c>
      <c r="F159" s="16"/>
    </row>
    <row r="160" spans="2:6" ht="15" x14ac:dyDescent="0.2">
      <c r="B160" s="4">
        <v>158</v>
      </c>
      <c r="C160" s="7"/>
      <c r="D160" s="6"/>
      <c r="E160" s="15" t="s">
        <v>200</v>
      </c>
      <c r="F160" s="16"/>
    </row>
    <row r="161" spans="2:6" ht="15" x14ac:dyDescent="0.2">
      <c r="B161" s="4">
        <v>159</v>
      </c>
      <c r="C161" s="7"/>
      <c r="D161" s="6"/>
      <c r="E161" s="15" t="s">
        <v>201</v>
      </c>
      <c r="F161" s="16"/>
    </row>
    <row r="162" spans="2:6" ht="15" x14ac:dyDescent="0.2">
      <c r="B162" s="4">
        <v>160</v>
      </c>
      <c r="C162" s="7"/>
      <c r="D162" s="6"/>
      <c r="E162" s="15" t="s">
        <v>202</v>
      </c>
      <c r="F162" s="16"/>
    </row>
    <row r="163" spans="2:6" ht="15" x14ac:dyDescent="0.2">
      <c r="B163" s="4">
        <v>161</v>
      </c>
      <c r="C163" s="7"/>
      <c r="D163" s="6"/>
      <c r="E163" s="15" t="s">
        <v>203</v>
      </c>
      <c r="F163" s="16"/>
    </row>
    <row r="164" spans="2:6" ht="15" x14ac:dyDescent="0.2">
      <c r="B164" s="4">
        <v>162</v>
      </c>
      <c r="C164" s="7"/>
      <c r="D164" s="6"/>
      <c r="E164" s="15" t="s">
        <v>204</v>
      </c>
      <c r="F164" s="16"/>
    </row>
    <row r="165" spans="2:6" ht="15" x14ac:dyDescent="0.2">
      <c r="B165" s="4">
        <v>163</v>
      </c>
      <c r="C165" s="7"/>
      <c r="D165" s="6"/>
      <c r="E165" s="15" t="s">
        <v>205</v>
      </c>
      <c r="F165" s="16"/>
    </row>
    <row r="166" spans="2:6" ht="15" x14ac:dyDescent="0.2">
      <c r="B166" s="4">
        <v>164</v>
      </c>
      <c r="C166" s="7"/>
      <c r="D166" s="6"/>
      <c r="E166" s="15" t="s">
        <v>206</v>
      </c>
      <c r="F166" s="16"/>
    </row>
    <row r="167" spans="2:6" ht="15" x14ac:dyDescent="0.2">
      <c r="B167" s="4">
        <v>165</v>
      </c>
      <c r="C167" s="7"/>
      <c r="D167" s="6"/>
      <c r="E167" s="15" t="s">
        <v>207</v>
      </c>
      <c r="F167" s="16"/>
    </row>
    <row r="168" spans="2:6" ht="15" x14ac:dyDescent="0.2">
      <c r="B168" s="4">
        <v>166</v>
      </c>
      <c r="C168" s="7"/>
      <c r="D168" s="6"/>
      <c r="E168" s="15" t="s">
        <v>208</v>
      </c>
      <c r="F168" s="16"/>
    </row>
    <row r="169" spans="2:6" ht="15" x14ac:dyDescent="0.2">
      <c r="B169" s="4">
        <v>167</v>
      </c>
      <c r="C169" s="7"/>
      <c r="D169" s="6"/>
      <c r="E169" s="15" t="s">
        <v>209</v>
      </c>
      <c r="F169" s="16"/>
    </row>
    <row r="170" spans="2:6" ht="15" x14ac:dyDescent="0.2">
      <c r="B170" s="4">
        <v>168</v>
      </c>
      <c r="C170" s="7"/>
      <c r="D170" s="6"/>
      <c r="E170" s="15" t="s">
        <v>210</v>
      </c>
      <c r="F170" s="16"/>
    </row>
    <row r="171" spans="2:6" ht="15" x14ac:dyDescent="0.2">
      <c r="B171" s="4">
        <v>169</v>
      </c>
      <c r="C171" s="7"/>
      <c r="D171" s="6"/>
      <c r="E171" s="15" t="s">
        <v>211</v>
      </c>
      <c r="F171" s="16"/>
    </row>
    <row r="172" spans="2:6" ht="15" x14ac:dyDescent="0.2">
      <c r="B172" s="4">
        <v>170</v>
      </c>
      <c r="C172" s="7"/>
      <c r="D172" s="6"/>
      <c r="E172" s="15" t="s">
        <v>212</v>
      </c>
      <c r="F172" s="16"/>
    </row>
    <row r="173" spans="2:6" ht="15" x14ac:dyDescent="0.2">
      <c r="B173" s="4">
        <v>171</v>
      </c>
      <c r="C173" s="7"/>
      <c r="D173" s="6"/>
      <c r="E173" s="15" t="s">
        <v>213</v>
      </c>
      <c r="F173" s="16"/>
    </row>
    <row r="174" spans="2:6" ht="15" x14ac:dyDescent="0.2">
      <c r="B174" s="4">
        <v>172</v>
      </c>
      <c r="C174" s="7"/>
      <c r="D174" s="6"/>
      <c r="E174" s="15" t="s">
        <v>214</v>
      </c>
      <c r="F174" s="16"/>
    </row>
    <row r="175" spans="2:6" ht="15" x14ac:dyDescent="0.2">
      <c r="B175" s="4">
        <v>173</v>
      </c>
      <c r="C175" s="7"/>
      <c r="D175" s="6"/>
      <c r="E175" s="15" t="s">
        <v>215</v>
      </c>
      <c r="F175" s="16"/>
    </row>
    <row r="176" spans="2:6" ht="15" x14ac:dyDescent="0.2">
      <c r="B176" s="4">
        <v>174</v>
      </c>
      <c r="C176" s="7"/>
      <c r="D176" s="6"/>
      <c r="E176" s="15" t="s">
        <v>216</v>
      </c>
      <c r="F176" s="16"/>
    </row>
    <row r="177" spans="2:6" ht="15" x14ac:dyDescent="0.2">
      <c r="B177" s="4">
        <v>175</v>
      </c>
      <c r="C177" s="7"/>
      <c r="D177" s="6"/>
      <c r="E177" s="15" t="s">
        <v>217</v>
      </c>
      <c r="F177" s="16"/>
    </row>
    <row r="178" spans="2:6" ht="15" x14ac:dyDescent="0.2">
      <c r="B178" s="4">
        <v>176</v>
      </c>
      <c r="C178" s="7"/>
      <c r="D178" s="6"/>
      <c r="E178" s="15" t="s">
        <v>218</v>
      </c>
      <c r="F178" s="16"/>
    </row>
    <row r="179" spans="2:6" ht="15" x14ac:dyDescent="0.2">
      <c r="B179" s="4">
        <v>177</v>
      </c>
      <c r="C179" s="7"/>
      <c r="D179" s="6"/>
      <c r="E179" s="15" t="s">
        <v>219</v>
      </c>
      <c r="F179" s="16"/>
    </row>
    <row r="180" spans="2:6" ht="15" x14ac:dyDescent="0.2">
      <c r="B180" s="4">
        <v>178</v>
      </c>
      <c r="C180" s="7"/>
      <c r="D180" s="6"/>
      <c r="E180" s="15" t="s">
        <v>220</v>
      </c>
      <c r="F180" s="16"/>
    </row>
    <row r="181" spans="2:6" ht="15" x14ac:dyDescent="0.2">
      <c r="B181" s="4">
        <v>179</v>
      </c>
      <c r="C181" s="7"/>
      <c r="D181" s="6"/>
      <c r="E181" s="15" t="s">
        <v>221</v>
      </c>
      <c r="F181" s="16"/>
    </row>
    <row r="182" spans="2:6" ht="15" x14ac:dyDescent="0.2">
      <c r="B182" s="4">
        <v>180</v>
      </c>
      <c r="C182" s="7"/>
      <c r="D182" s="6"/>
      <c r="E182" s="15" t="s">
        <v>222</v>
      </c>
      <c r="F182" s="16"/>
    </row>
    <row r="183" spans="2:6" ht="15" x14ac:dyDescent="0.2">
      <c r="B183" s="4">
        <v>181</v>
      </c>
      <c r="C183" s="7"/>
      <c r="D183" s="6"/>
      <c r="E183" s="15" t="s">
        <v>223</v>
      </c>
      <c r="F183" s="16"/>
    </row>
    <row r="184" spans="2:6" ht="15" x14ac:dyDescent="0.2">
      <c r="B184" s="4">
        <v>182</v>
      </c>
      <c r="C184" s="7"/>
      <c r="D184" s="6"/>
      <c r="E184" s="15" t="s">
        <v>224</v>
      </c>
      <c r="F184" s="16"/>
    </row>
    <row r="185" spans="2:6" ht="15" x14ac:dyDescent="0.2">
      <c r="B185" s="4">
        <v>183</v>
      </c>
      <c r="C185" s="7"/>
      <c r="D185" s="6"/>
      <c r="E185" s="15" t="s">
        <v>225</v>
      </c>
      <c r="F185" s="16"/>
    </row>
    <row r="186" spans="2:6" ht="15" x14ac:dyDescent="0.2">
      <c r="B186" s="4">
        <v>184</v>
      </c>
      <c r="C186" s="7"/>
      <c r="D186" s="6"/>
      <c r="E186" s="15" t="s">
        <v>226</v>
      </c>
      <c r="F186" s="16"/>
    </row>
    <row r="187" spans="2:6" ht="15" x14ac:dyDescent="0.2">
      <c r="B187" s="4">
        <v>185</v>
      </c>
      <c r="C187" s="7"/>
      <c r="D187" s="6"/>
      <c r="E187" s="15" t="s">
        <v>227</v>
      </c>
      <c r="F187" s="16"/>
    </row>
    <row r="188" spans="2:6" ht="15" x14ac:dyDescent="0.2">
      <c r="B188" s="4">
        <v>186</v>
      </c>
      <c r="C188" s="7"/>
      <c r="D188" s="6"/>
      <c r="E188" s="15" t="s">
        <v>228</v>
      </c>
      <c r="F188" s="16"/>
    </row>
    <row r="189" spans="2:6" ht="15" x14ac:dyDescent="0.2">
      <c r="B189" s="4">
        <v>187</v>
      </c>
      <c r="C189" s="7"/>
      <c r="D189" s="6"/>
      <c r="E189" s="15" t="s">
        <v>229</v>
      </c>
      <c r="F189" s="16"/>
    </row>
    <row r="190" spans="2:6" ht="15" x14ac:dyDescent="0.2">
      <c r="B190" s="4">
        <v>188</v>
      </c>
      <c r="C190" s="7"/>
      <c r="D190" s="6"/>
      <c r="E190" s="15" t="s">
        <v>230</v>
      </c>
      <c r="F190" s="16"/>
    </row>
    <row r="191" spans="2:6" ht="15" x14ac:dyDescent="0.2">
      <c r="B191" s="4">
        <v>189</v>
      </c>
      <c r="C191" s="7"/>
      <c r="D191" s="6"/>
      <c r="E191" s="15" t="s">
        <v>231</v>
      </c>
      <c r="F191" s="16"/>
    </row>
    <row r="192" spans="2:6" ht="15" x14ac:dyDescent="0.2">
      <c r="B192" s="4">
        <v>190</v>
      </c>
      <c r="C192" s="7"/>
      <c r="D192" s="6"/>
      <c r="E192" s="15" t="s">
        <v>232</v>
      </c>
      <c r="F192" s="16"/>
    </row>
    <row r="193" spans="2:6" ht="15" x14ac:dyDescent="0.2">
      <c r="B193" s="4">
        <v>191</v>
      </c>
      <c r="C193" s="7"/>
      <c r="D193" s="6"/>
      <c r="E193" s="15" t="s">
        <v>233</v>
      </c>
      <c r="F193" s="16"/>
    </row>
    <row r="194" spans="2:6" ht="15" x14ac:dyDescent="0.2">
      <c r="B194" s="4">
        <v>192</v>
      </c>
      <c r="C194" s="7"/>
      <c r="D194" s="6"/>
      <c r="E194" s="15" t="s">
        <v>234</v>
      </c>
      <c r="F194" s="16"/>
    </row>
    <row r="195" spans="2:6" ht="15" x14ac:dyDescent="0.2">
      <c r="B195" s="4">
        <v>193</v>
      </c>
      <c r="C195" s="7"/>
      <c r="D195" s="6"/>
      <c r="E195" s="15" t="s">
        <v>235</v>
      </c>
      <c r="F195" s="16"/>
    </row>
    <row r="196" spans="2:6" ht="15" x14ac:dyDescent="0.2">
      <c r="B196" s="4">
        <v>194</v>
      </c>
      <c r="C196" s="7"/>
      <c r="D196" s="6"/>
      <c r="E196" s="15" t="s">
        <v>236</v>
      </c>
      <c r="F196" s="16"/>
    </row>
    <row r="197" spans="2:6" ht="15" x14ac:dyDescent="0.2">
      <c r="B197" s="4">
        <v>195</v>
      </c>
      <c r="C197" s="7"/>
      <c r="D197" s="6"/>
      <c r="E197" s="15" t="s">
        <v>237</v>
      </c>
      <c r="F197" s="16"/>
    </row>
    <row r="198" spans="2:6" ht="15" x14ac:dyDescent="0.2">
      <c r="B198" s="4">
        <v>196</v>
      </c>
      <c r="C198" s="7"/>
      <c r="D198" s="6"/>
      <c r="E198" s="15" t="s">
        <v>238</v>
      </c>
      <c r="F198" s="16"/>
    </row>
    <row r="199" spans="2:6" ht="15" x14ac:dyDescent="0.2">
      <c r="B199" s="4">
        <v>197</v>
      </c>
      <c r="C199" s="7"/>
      <c r="D199" s="6"/>
      <c r="E199" s="15" t="s">
        <v>239</v>
      </c>
      <c r="F199" s="16"/>
    </row>
    <row r="200" spans="2:6" ht="15" x14ac:dyDescent="0.2">
      <c r="B200" s="4">
        <v>198</v>
      </c>
      <c r="C200" s="7"/>
      <c r="D200" s="6"/>
      <c r="E200" s="15" t="s">
        <v>240</v>
      </c>
      <c r="F200" s="16"/>
    </row>
    <row r="201" spans="2:6" ht="15" x14ac:dyDescent="0.2">
      <c r="B201" s="4">
        <v>199</v>
      </c>
      <c r="C201" s="7"/>
      <c r="D201" s="6"/>
      <c r="E201" s="15" t="s">
        <v>241</v>
      </c>
      <c r="F201" s="16"/>
    </row>
    <row r="202" spans="2:6" ht="15" x14ac:dyDescent="0.2">
      <c r="B202" s="4">
        <v>200</v>
      </c>
      <c r="C202" s="7"/>
      <c r="D202" s="6"/>
      <c r="E202" s="15" t="s">
        <v>242</v>
      </c>
      <c r="F202" s="16"/>
    </row>
    <row r="203" spans="2:6" ht="15" x14ac:dyDescent="0.2">
      <c r="B203" s="4">
        <v>201</v>
      </c>
      <c r="C203" s="7"/>
      <c r="D203" s="6"/>
      <c r="E203" s="15" t="s">
        <v>243</v>
      </c>
      <c r="F203" s="16"/>
    </row>
    <row r="204" spans="2:6" ht="15" x14ac:dyDescent="0.2">
      <c r="B204" s="4">
        <v>202</v>
      </c>
      <c r="C204" s="7"/>
      <c r="D204" s="6"/>
      <c r="E204" s="15" t="s">
        <v>244</v>
      </c>
      <c r="F204" s="16"/>
    </row>
    <row r="205" spans="2:6" ht="15" x14ac:dyDescent="0.2">
      <c r="B205" s="4">
        <v>203</v>
      </c>
      <c r="C205" s="7"/>
      <c r="D205" s="6"/>
      <c r="E205" s="15" t="s">
        <v>245</v>
      </c>
      <c r="F205" s="16"/>
    </row>
    <row r="206" spans="2:6" ht="15" x14ac:dyDescent="0.2">
      <c r="B206" s="4">
        <v>204</v>
      </c>
      <c r="C206" s="7"/>
      <c r="D206" s="6"/>
      <c r="E206" s="15" t="s">
        <v>246</v>
      </c>
      <c r="F206" s="16"/>
    </row>
    <row r="207" spans="2:6" ht="15" x14ac:dyDescent="0.2">
      <c r="B207" s="4">
        <v>205</v>
      </c>
      <c r="C207" s="7"/>
      <c r="D207" s="6"/>
      <c r="E207" s="15" t="s">
        <v>247</v>
      </c>
      <c r="F207" s="16"/>
    </row>
    <row r="208" spans="2:6" ht="15" x14ac:dyDescent="0.2">
      <c r="B208" s="4">
        <v>206</v>
      </c>
      <c r="C208" s="7"/>
      <c r="D208" s="6"/>
      <c r="E208" s="15" t="s">
        <v>248</v>
      </c>
      <c r="F208" s="16"/>
    </row>
    <row r="209" spans="2:12" ht="15" x14ac:dyDescent="0.2">
      <c r="B209" s="4">
        <v>207</v>
      </c>
      <c r="C209" s="7"/>
      <c r="D209" s="6"/>
      <c r="E209" s="15" t="s">
        <v>249</v>
      </c>
      <c r="F209" s="16"/>
    </row>
    <row r="210" spans="2:12" ht="15" x14ac:dyDescent="0.2">
      <c r="B210" s="4">
        <v>208</v>
      </c>
      <c r="C210" s="7"/>
      <c r="D210" s="6"/>
      <c r="E210" s="15" t="s">
        <v>250</v>
      </c>
      <c r="F210" s="16"/>
    </row>
    <row r="211" spans="2:12" ht="15" x14ac:dyDescent="0.2">
      <c r="B211" s="4">
        <v>209</v>
      </c>
      <c r="C211" s="7"/>
      <c r="D211" s="6"/>
      <c r="E211" s="15" t="s">
        <v>251</v>
      </c>
      <c r="F211" s="16"/>
    </row>
    <row r="212" spans="2:12" ht="15" x14ac:dyDescent="0.2">
      <c r="B212" s="4">
        <v>210</v>
      </c>
      <c r="C212" s="7"/>
      <c r="D212" s="6"/>
      <c r="E212" s="15" t="s">
        <v>252</v>
      </c>
      <c r="F212" s="16"/>
    </row>
    <row r="213" spans="2:12" ht="15" x14ac:dyDescent="0.2">
      <c r="B213" s="4">
        <v>211</v>
      </c>
      <c r="C213" s="7"/>
      <c r="D213" s="6"/>
      <c r="E213" s="15" t="s">
        <v>253</v>
      </c>
      <c r="F213" s="16"/>
    </row>
    <row r="214" spans="2:12" ht="15" x14ac:dyDescent="0.2">
      <c r="B214" s="4">
        <v>212</v>
      </c>
      <c r="C214" s="7"/>
      <c r="D214" s="6"/>
      <c r="E214" s="15" t="s">
        <v>254</v>
      </c>
      <c r="F214" s="16"/>
    </row>
    <row r="215" spans="2:12" ht="15.75" thickBot="1" x14ac:dyDescent="0.25">
      <c r="B215" s="4">
        <v>213</v>
      </c>
      <c r="C215" s="7"/>
      <c r="D215" s="6"/>
      <c r="E215" s="15" t="s">
        <v>255</v>
      </c>
      <c r="F215" s="16"/>
    </row>
    <row r="216" spans="2:12" ht="15.75" thickBot="1" x14ac:dyDescent="0.25">
      <c r="B216" s="4">
        <v>214</v>
      </c>
      <c r="C216" s="7"/>
      <c r="D216" s="6"/>
      <c r="E216" s="15" t="s">
        <v>256</v>
      </c>
      <c r="F216" s="16"/>
      <c r="J216" s="20">
        <v>1</v>
      </c>
      <c r="K216" s="21">
        <v>55000</v>
      </c>
      <c r="L216" s="21">
        <f>J216*K216</f>
        <v>55000</v>
      </c>
    </row>
    <row r="217" spans="2:12" ht="15.75" thickBot="1" x14ac:dyDescent="0.25">
      <c r="B217" s="4">
        <v>215</v>
      </c>
      <c r="C217" s="7"/>
      <c r="D217" s="6"/>
      <c r="E217" s="15" t="s">
        <v>257</v>
      </c>
      <c r="F217" s="16"/>
      <c r="J217" s="22">
        <v>471</v>
      </c>
      <c r="K217" s="23">
        <v>850</v>
      </c>
      <c r="L217" s="21">
        <f>J217*K217</f>
        <v>400350</v>
      </c>
    </row>
    <row r="218" spans="2:12" ht="15.75" thickBot="1" x14ac:dyDescent="0.25">
      <c r="B218" s="4">
        <v>216</v>
      </c>
      <c r="C218" s="7"/>
      <c r="D218" s="6"/>
      <c r="E218" s="15" t="s">
        <v>258</v>
      </c>
      <c r="F218" s="16"/>
      <c r="J218" s="22">
        <v>550</v>
      </c>
      <c r="K218" s="23">
        <v>110</v>
      </c>
      <c r="L218" s="21">
        <f>J218*K218</f>
        <v>60500</v>
      </c>
    </row>
    <row r="219" spans="2:12" ht="15.75" thickBot="1" x14ac:dyDescent="0.25">
      <c r="B219" s="4">
        <v>217</v>
      </c>
      <c r="C219" s="7"/>
      <c r="D219" s="6"/>
      <c r="E219" s="15" t="s">
        <v>259</v>
      </c>
      <c r="F219" s="16"/>
      <c r="J219" s="22">
        <v>91</v>
      </c>
      <c r="K219" s="23">
        <v>430</v>
      </c>
      <c r="L219" s="21">
        <f>J219*K219</f>
        <v>39130</v>
      </c>
    </row>
    <row r="220" spans="2:12" ht="15" x14ac:dyDescent="0.2">
      <c r="B220" s="4">
        <v>218</v>
      </c>
      <c r="C220" s="7"/>
      <c r="D220" s="6"/>
      <c r="E220" s="15" t="s">
        <v>260</v>
      </c>
      <c r="F220" s="16"/>
      <c r="L220" s="24">
        <f>SUM(L216:L219)</f>
        <v>554980</v>
      </c>
    </row>
    <row r="221" spans="2:12" ht="15" x14ac:dyDescent="0.2">
      <c r="B221" s="4">
        <v>219</v>
      </c>
      <c r="C221" s="7"/>
      <c r="D221" s="6"/>
      <c r="E221" s="15" t="s">
        <v>261</v>
      </c>
      <c r="F221" s="16"/>
    </row>
    <row r="222" spans="2:12" ht="15" x14ac:dyDescent="0.2">
      <c r="B222" s="4">
        <v>220</v>
      </c>
      <c r="C222" s="7"/>
      <c r="D222" s="6"/>
      <c r="E222" s="15" t="s">
        <v>262</v>
      </c>
      <c r="F222" s="16"/>
    </row>
    <row r="223" spans="2:12" ht="15" x14ac:dyDescent="0.2">
      <c r="B223" s="4">
        <v>221</v>
      </c>
      <c r="C223" s="7"/>
      <c r="D223" s="6"/>
      <c r="E223" s="15" t="s">
        <v>263</v>
      </c>
      <c r="F223" s="16"/>
      <c r="J223" s="1" t="s">
        <v>277</v>
      </c>
      <c r="K223" s="1" t="s">
        <v>278</v>
      </c>
    </row>
    <row r="224" spans="2:12" ht="15" x14ac:dyDescent="0.2">
      <c r="B224" s="4">
        <v>222</v>
      </c>
      <c r="C224" s="7"/>
      <c r="D224" s="6"/>
      <c r="E224" s="15" t="s">
        <v>264</v>
      </c>
      <c r="F224" s="16"/>
      <c r="J224" s="1">
        <f>2525</f>
        <v>2525</v>
      </c>
      <c r="K224" s="25">
        <f>J224*52</f>
        <v>131300</v>
      </c>
    </row>
    <row r="225" spans="2:12" ht="15" x14ac:dyDescent="0.2">
      <c r="B225" s="4">
        <v>223</v>
      </c>
      <c r="C225" s="7"/>
      <c r="D225" s="6"/>
      <c r="E225" s="15" t="s">
        <v>265</v>
      </c>
      <c r="F225" s="16"/>
      <c r="K225" s="25">
        <f>K224*10000000</f>
        <v>1313000000000</v>
      </c>
      <c r="L225" s="1" t="s">
        <v>279</v>
      </c>
    </row>
    <row r="226" spans="2:12" ht="15" x14ac:dyDescent="0.2">
      <c r="B226" s="4">
        <v>224</v>
      </c>
      <c r="C226" s="7"/>
      <c r="D226" s="6"/>
      <c r="E226" s="15" t="s">
        <v>266</v>
      </c>
      <c r="F226" s="16"/>
      <c r="K226" s="26">
        <f>K225/160</f>
        <v>8206250000</v>
      </c>
      <c r="L226" s="1" t="s">
        <v>280</v>
      </c>
    </row>
    <row r="227" spans="2:12" ht="15" x14ac:dyDescent="0.2">
      <c r="B227" s="4">
        <v>225</v>
      </c>
      <c r="C227" s="7"/>
      <c r="D227" s="6"/>
      <c r="E227" s="15" t="s">
        <v>267</v>
      </c>
      <c r="F227" s="16"/>
    </row>
    <row r="228" spans="2:12" ht="15" x14ac:dyDescent="0.2">
      <c r="B228" s="4">
        <v>226</v>
      </c>
      <c r="C228" s="7"/>
      <c r="D228" s="6"/>
      <c r="E228" s="15" t="s">
        <v>268</v>
      </c>
      <c r="F228" s="16"/>
    </row>
    <row r="229" spans="2:12" ht="15" x14ac:dyDescent="0.2">
      <c r="B229" s="4">
        <v>227</v>
      </c>
      <c r="C229" s="7"/>
      <c r="D229" s="6"/>
      <c r="E229" s="15" t="s">
        <v>269</v>
      </c>
      <c r="F229" s="16"/>
    </row>
    <row r="230" spans="2:12" ht="15" x14ac:dyDescent="0.2">
      <c r="B230" s="4">
        <v>228</v>
      </c>
      <c r="C230" s="7"/>
      <c r="D230" s="6"/>
      <c r="E230" s="15" t="s">
        <v>270</v>
      </c>
      <c r="F230" s="16"/>
    </row>
    <row r="231" spans="2:12" ht="15" x14ac:dyDescent="0.2">
      <c r="B231" s="4">
        <v>229</v>
      </c>
      <c r="C231" s="7"/>
      <c r="D231" s="6"/>
      <c r="E231" s="15" t="s">
        <v>271</v>
      </c>
      <c r="F231" s="16"/>
    </row>
    <row r="232" spans="2:12" ht="15" x14ac:dyDescent="0.2">
      <c r="B232" s="4">
        <v>230</v>
      </c>
      <c r="C232" s="7"/>
      <c r="D232" s="6"/>
      <c r="E232" s="15" t="s">
        <v>272</v>
      </c>
      <c r="F232" s="16"/>
    </row>
    <row r="233" spans="2:12" ht="15" x14ac:dyDescent="0.2">
      <c r="B233" s="4">
        <v>231</v>
      </c>
      <c r="C233" s="7"/>
      <c r="D233" s="6"/>
      <c r="E233" s="15" t="s">
        <v>273</v>
      </c>
      <c r="F233" s="16"/>
    </row>
    <row r="234" spans="2:12" ht="15" x14ac:dyDescent="0.2">
      <c r="B234" s="4">
        <v>232</v>
      </c>
      <c r="C234" s="7"/>
      <c r="D234" s="6"/>
      <c r="E234" s="15" t="s">
        <v>274</v>
      </c>
      <c r="F234" s="16"/>
    </row>
    <row r="235" spans="2:12" ht="15" x14ac:dyDescent="0.2">
      <c r="B235" s="4">
        <v>233</v>
      </c>
      <c r="C235" s="7"/>
      <c r="D235" s="6"/>
      <c r="E235" s="15" t="s">
        <v>275</v>
      </c>
      <c r="F235" s="16"/>
    </row>
    <row r="236" spans="2:12" ht="15" x14ac:dyDescent="0.2">
      <c r="B236" s="4">
        <v>234</v>
      </c>
      <c r="C236" s="7"/>
      <c r="D236" s="6"/>
      <c r="E236" s="15" t="s">
        <v>276</v>
      </c>
      <c r="F236" s="16"/>
    </row>
    <row r="237" spans="2:12" ht="15" x14ac:dyDescent="0.2">
      <c r="B237" s="4">
        <v>235</v>
      </c>
      <c r="C237" s="7"/>
      <c r="D237" s="6"/>
      <c r="E237" s="15" t="s">
        <v>281</v>
      </c>
      <c r="F237" s="16"/>
    </row>
    <row r="238" spans="2:12" ht="15" x14ac:dyDescent="0.2">
      <c r="B238" s="4">
        <v>236</v>
      </c>
      <c r="C238" s="7"/>
      <c r="D238" s="6"/>
      <c r="E238" s="15" t="s">
        <v>282</v>
      </c>
      <c r="F238" s="16"/>
    </row>
    <row r="239" spans="2:12" ht="15" x14ac:dyDescent="0.2">
      <c r="B239" s="4">
        <v>237</v>
      </c>
      <c r="C239" s="7"/>
      <c r="D239" s="6"/>
      <c r="E239" s="15" t="s">
        <v>283</v>
      </c>
      <c r="F239" s="16"/>
    </row>
    <row r="240" spans="2:12" ht="15" x14ac:dyDescent="0.2">
      <c r="B240" s="4">
        <v>238</v>
      </c>
      <c r="C240" s="7"/>
      <c r="D240" s="6"/>
      <c r="E240" s="15" t="s">
        <v>295</v>
      </c>
      <c r="F240" s="16"/>
    </row>
    <row r="241" spans="2:6" ht="15" x14ac:dyDescent="0.2">
      <c r="B241" s="4">
        <v>239</v>
      </c>
      <c r="C241" s="7"/>
      <c r="D241" s="6"/>
      <c r="E241" s="15" t="s">
        <v>284</v>
      </c>
      <c r="F241" s="16"/>
    </row>
    <row r="242" spans="2:6" ht="15" x14ac:dyDescent="0.2">
      <c r="B242" s="4">
        <v>240</v>
      </c>
      <c r="C242" s="7"/>
      <c r="D242" s="6"/>
      <c r="E242" s="15" t="s">
        <v>285</v>
      </c>
      <c r="F242" s="16"/>
    </row>
    <row r="243" spans="2:6" ht="15" x14ac:dyDescent="0.2">
      <c r="B243" s="4">
        <v>240</v>
      </c>
      <c r="C243" s="7"/>
      <c r="D243" s="6"/>
      <c r="E243" s="15" t="s">
        <v>286</v>
      </c>
      <c r="F243" s="16"/>
    </row>
    <row r="244" spans="2:6" ht="15" x14ac:dyDescent="0.2">
      <c r="B244" s="4">
        <v>240</v>
      </c>
      <c r="C244" s="7"/>
      <c r="D244" s="6"/>
      <c r="E244" s="15" t="s">
        <v>287</v>
      </c>
      <c r="F244" s="16"/>
    </row>
    <row r="245" spans="2:6" ht="15" x14ac:dyDescent="0.2">
      <c r="B245" s="4">
        <v>241</v>
      </c>
      <c r="C245" s="7"/>
      <c r="D245" s="6"/>
      <c r="E245" s="15" t="s">
        <v>288</v>
      </c>
      <c r="F245" s="16"/>
    </row>
    <row r="246" spans="2:6" ht="15" x14ac:dyDescent="0.2">
      <c r="B246" s="4">
        <v>242</v>
      </c>
      <c r="C246" s="7"/>
      <c r="D246" s="6"/>
      <c r="E246" s="15" t="s">
        <v>289</v>
      </c>
      <c r="F246" s="16"/>
    </row>
    <row r="247" spans="2:6" ht="15" x14ac:dyDescent="0.2">
      <c r="B247" s="4">
        <v>240</v>
      </c>
      <c r="C247" s="7"/>
      <c r="D247" s="6"/>
      <c r="E247" s="15" t="s">
        <v>290</v>
      </c>
      <c r="F247" s="16"/>
    </row>
    <row r="248" spans="2:6" ht="15" x14ac:dyDescent="0.2">
      <c r="B248" s="4">
        <v>241</v>
      </c>
      <c r="C248" s="7"/>
      <c r="D248" s="6"/>
      <c r="E248" s="15" t="s">
        <v>291</v>
      </c>
      <c r="F248" s="16"/>
    </row>
    <row r="249" spans="2:6" ht="15" x14ac:dyDescent="0.2">
      <c r="B249" s="4">
        <v>242</v>
      </c>
      <c r="C249" s="7"/>
      <c r="D249" s="6"/>
      <c r="E249" s="15" t="s">
        <v>292</v>
      </c>
      <c r="F249" s="16"/>
    </row>
    <row r="250" spans="2:6" ht="15" x14ac:dyDescent="0.2">
      <c r="B250" s="4">
        <v>240</v>
      </c>
      <c r="C250" s="7"/>
      <c r="D250" s="6"/>
      <c r="E250" s="15" t="s">
        <v>293</v>
      </c>
      <c r="F250" s="16"/>
    </row>
    <row r="251" spans="2:6" ht="15" x14ac:dyDescent="0.2">
      <c r="B251" s="4">
        <v>241</v>
      </c>
      <c r="C251" s="7"/>
      <c r="D251" s="6"/>
      <c r="E251" s="15" t="s">
        <v>294</v>
      </c>
      <c r="F251" s="16"/>
    </row>
    <row r="252" spans="2:6" ht="15" x14ac:dyDescent="0.2">
      <c r="B252" s="4">
        <v>242</v>
      </c>
      <c r="C252" s="7"/>
      <c r="D252" s="6"/>
      <c r="E252" s="15" t="s">
        <v>296</v>
      </c>
      <c r="F252" s="16"/>
    </row>
    <row r="253" spans="2:6" ht="15" x14ac:dyDescent="0.2">
      <c r="B253" s="4">
        <v>240</v>
      </c>
      <c r="C253" s="7"/>
      <c r="D253" s="6"/>
      <c r="E253" s="15" t="s">
        <v>297</v>
      </c>
      <c r="F253" s="16"/>
    </row>
    <row r="254" spans="2:6" ht="15" x14ac:dyDescent="0.2">
      <c r="B254" s="4">
        <v>241</v>
      </c>
      <c r="C254" s="7"/>
      <c r="D254" s="6"/>
      <c r="E254" s="15" t="s">
        <v>298</v>
      </c>
      <c r="F254" s="16"/>
    </row>
    <row r="255" spans="2:6" ht="15" x14ac:dyDescent="0.2">
      <c r="B255" s="4">
        <v>242</v>
      </c>
      <c r="C255" s="7"/>
      <c r="D255" s="6"/>
      <c r="E255" s="15" t="s">
        <v>299</v>
      </c>
      <c r="F255" s="16"/>
    </row>
    <row r="256" spans="2:6" ht="15" x14ac:dyDescent="0.2">
      <c r="B256" s="4">
        <v>240</v>
      </c>
      <c r="C256" s="7"/>
      <c r="D256" s="6"/>
      <c r="E256" s="15" t="s">
        <v>300</v>
      </c>
      <c r="F256" s="16"/>
    </row>
    <row r="257" spans="2:6" ht="15" x14ac:dyDescent="0.2">
      <c r="B257" s="4">
        <v>241</v>
      </c>
      <c r="C257" s="7"/>
      <c r="D257" s="6"/>
      <c r="E257" s="15" t="s">
        <v>301</v>
      </c>
      <c r="F257" s="16"/>
    </row>
    <row r="258" spans="2:6" ht="15" x14ac:dyDescent="0.2">
      <c r="B258" s="4">
        <v>242</v>
      </c>
      <c r="C258" s="7"/>
      <c r="D258" s="6"/>
      <c r="E258" s="15" t="s">
        <v>302</v>
      </c>
      <c r="F258" s="16"/>
    </row>
    <row r="259" spans="2:6" ht="15" x14ac:dyDescent="0.2">
      <c r="B259" s="4">
        <v>243</v>
      </c>
      <c r="C259" s="7"/>
      <c r="D259" s="6"/>
      <c r="E259" s="15" t="s">
        <v>303</v>
      </c>
      <c r="F259" s="16"/>
    </row>
    <row r="260" spans="2:6" ht="15" x14ac:dyDescent="0.2">
      <c r="B260" s="4">
        <v>244</v>
      </c>
      <c r="C260" s="7"/>
      <c r="D260" s="6"/>
      <c r="E260" s="15" t="s">
        <v>304</v>
      </c>
      <c r="F260" s="16"/>
    </row>
    <row r="261" spans="2:6" ht="15" x14ac:dyDescent="0.2">
      <c r="B261" s="4">
        <v>245</v>
      </c>
      <c r="C261" s="7"/>
      <c r="D261" s="6"/>
      <c r="E261" s="15" t="s">
        <v>305</v>
      </c>
      <c r="F261" s="16"/>
    </row>
    <row r="262" spans="2:6" ht="15" x14ac:dyDescent="0.2">
      <c r="B262" s="4">
        <v>246</v>
      </c>
      <c r="C262" s="7"/>
      <c r="D262" s="6"/>
      <c r="E262" s="15" t="s">
        <v>306</v>
      </c>
      <c r="F262" s="16"/>
    </row>
    <row r="263" spans="2:6" ht="15" x14ac:dyDescent="0.2">
      <c r="B263" s="4">
        <v>247</v>
      </c>
      <c r="C263" s="7"/>
      <c r="D263" s="6"/>
      <c r="E263" s="15" t="s">
        <v>307</v>
      </c>
      <c r="F263" s="16"/>
    </row>
    <row r="264" spans="2:6" ht="15" x14ac:dyDescent="0.2">
      <c r="B264" s="4">
        <v>248</v>
      </c>
      <c r="C264" s="7"/>
      <c r="D264" s="6"/>
      <c r="E264" s="15" t="s">
        <v>308</v>
      </c>
      <c r="F264" s="16"/>
    </row>
    <row r="265" spans="2:6" ht="15" x14ac:dyDescent="0.2">
      <c r="B265" s="4">
        <v>249</v>
      </c>
      <c r="C265" s="7"/>
      <c r="D265" s="6"/>
      <c r="E265" s="15" t="s">
        <v>309</v>
      </c>
      <c r="F265" s="16"/>
    </row>
    <row r="266" spans="2:6" ht="15" x14ac:dyDescent="0.2">
      <c r="B266" s="4">
        <v>250</v>
      </c>
      <c r="C266" s="7"/>
      <c r="D266" s="6"/>
      <c r="E266" s="15" t="s">
        <v>310</v>
      </c>
      <c r="F266" s="16"/>
    </row>
    <row r="267" spans="2:6" ht="15" x14ac:dyDescent="0.2">
      <c r="B267" s="4">
        <v>251</v>
      </c>
      <c r="C267" s="7"/>
      <c r="D267" s="6"/>
      <c r="E267" s="15" t="s">
        <v>311</v>
      </c>
      <c r="F267" s="16"/>
    </row>
    <row r="268" spans="2:6" ht="15" x14ac:dyDescent="0.2">
      <c r="B268" s="4">
        <v>252</v>
      </c>
      <c r="C268" s="7"/>
      <c r="D268" s="6"/>
      <c r="E268" s="15" t="s">
        <v>312</v>
      </c>
      <c r="F268" s="16"/>
    </row>
    <row r="269" spans="2:6" ht="15" x14ac:dyDescent="0.2">
      <c r="B269" s="4">
        <v>253</v>
      </c>
      <c r="C269" s="7"/>
      <c r="D269" s="6"/>
      <c r="E269" s="15" t="s">
        <v>313</v>
      </c>
      <c r="F269" s="16"/>
    </row>
    <row r="270" spans="2:6" ht="15" x14ac:dyDescent="0.2">
      <c r="B270" s="4">
        <v>254</v>
      </c>
      <c r="C270" s="7"/>
      <c r="D270" s="6"/>
      <c r="E270" s="15" t="s">
        <v>314</v>
      </c>
      <c r="F270" s="16"/>
    </row>
    <row r="271" spans="2:6" ht="15" x14ac:dyDescent="0.2">
      <c r="B271" s="4">
        <v>255</v>
      </c>
      <c r="C271" s="7"/>
      <c r="D271" s="6"/>
      <c r="E271" s="15" t="s">
        <v>315</v>
      </c>
      <c r="F271" s="16"/>
    </row>
    <row r="272" spans="2:6" ht="15" x14ac:dyDescent="0.2">
      <c r="B272" s="4">
        <v>256</v>
      </c>
      <c r="C272" s="7"/>
      <c r="D272" s="6"/>
      <c r="E272" s="15" t="s">
        <v>316</v>
      </c>
      <c r="F272" s="16"/>
    </row>
    <row r="273" spans="2:10" ht="15" x14ac:dyDescent="0.2">
      <c r="B273" s="4">
        <v>257</v>
      </c>
      <c r="C273" s="7"/>
      <c r="D273" s="6"/>
      <c r="E273" s="15" t="s">
        <v>317</v>
      </c>
      <c r="F273" s="16"/>
    </row>
    <row r="274" spans="2:10" ht="15" x14ac:dyDescent="0.2">
      <c r="B274" s="4">
        <v>258</v>
      </c>
      <c r="C274" s="7"/>
      <c r="D274" s="6"/>
      <c r="E274" s="15" t="s">
        <v>318</v>
      </c>
      <c r="F274" s="16"/>
    </row>
    <row r="275" spans="2:10" ht="15" x14ac:dyDescent="0.2">
      <c r="B275" s="4">
        <v>259</v>
      </c>
      <c r="C275" s="7"/>
      <c r="D275" s="6"/>
      <c r="E275" s="15" t="s">
        <v>319</v>
      </c>
      <c r="F275" s="16"/>
    </row>
    <row r="276" spans="2:10" ht="15.75" thickBot="1" x14ac:dyDescent="0.25">
      <c r="B276" s="4">
        <v>260</v>
      </c>
      <c r="C276" s="7"/>
      <c r="D276" s="6"/>
      <c r="E276" s="15" t="s">
        <v>320</v>
      </c>
      <c r="F276" s="16"/>
    </row>
    <row r="277" spans="2:10" ht="15.75" thickBot="1" x14ac:dyDescent="0.25">
      <c r="B277" s="4">
        <v>261</v>
      </c>
      <c r="C277" s="7"/>
      <c r="D277" s="6"/>
      <c r="E277" s="15" t="s">
        <v>321</v>
      </c>
      <c r="F277" s="16"/>
      <c r="H277" s="20">
        <v>39</v>
      </c>
      <c r="I277" s="21">
        <v>7500</v>
      </c>
      <c r="J277" s="28">
        <f>H277*I277</f>
        <v>292500</v>
      </c>
    </row>
    <row r="278" spans="2:10" ht="15.75" thickBot="1" x14ac:dyDescent="0.25">
      <c r="B278" s="4">
        <v>262</v>
      </c>
      <c r="C278" s="7"/>
      <c r="D278" s="6"/>
      <c r="E278" s="15" t="s">
        <v>322</v>
      </c>
      <c r="F278" s="16"/>
      <c r="H278" s="22">
        <v>8</v>
      </c>
      <c r="I278" s="29">
        <v>9915</v>
      </c>
      <c r="J278" s="28">
        <f>H278*I278</f>
        <v>79320</v>
      </c>
    </row>
    <row r="279" spans="2:10" ht="15.75" thickBot="1" x14ac:dyDescent="0.25">
      <c r="B279" s="4">
        <v>263</v>
      </c>
      <c r="C279" s="7"/>
      <c r="D279" s="6"/>
      <c r="E279" s="15" t="s">
        <v>323</v>
      </c>
      <c r="F279" s="16"/>
      <c r="H279" s="22">
        <v>4</v>
      </c>
      <c r="I279" s="29">
        <v>13300</v>
      </c>
      <c r="J279" s="28">
        <f>H279*I279</f>
        <v>53200</v>
      </c>
    </row>
    <row r="280" spans="2:10" ht="15" x14ac:dyDescent="0.2">
      <c r="B280" s="4">
        <v>264</v>
      </c>
      <c r="C280" s="7"/>
      <c r="D280" s="6"/>
      <c r="E280" s="15" t="s">
        <v>324</v>
      </c>
      <c r="F280" s="16"/>
      <c r="J280" s="24">
        <f>SUM(J277:J279)</f>
        <v>425020</v>
      </c>
    </row>
    <row r="281" spans="2:10" ht="15" x14ac:dyDescent="0.2">
      <c r="B281" s="4">
        <v>265</v>
      </c>
      <c r="C281" s="7"/>
      <c r="D281" s="6"/>
      <c r="E281" s="15" t="s">
        <v>327</v>
      </c>
      <c r="F281" s="16"/>
    </row>
    <row r="282" spans="2:10" ht="15" x14ac:dyDescent="0.2">
      <c r="B282" s="4">
        <v>266</v>
      </c>
      <c r="C282" s="7"/>
      <c r="D282" s="6"/>
      <c r="E282" s="15" t="s">
        <v>325</v>
      </c>
      <c r="F282" s="16"/>
    </row>
    <row r="283" spans="2:10" ht="15" x14ac:dyDescent="0.2">
      <c r="B283" s="4">
        <v>267</v>
      </c>
      <c r="C283" s="7"/>
      <c r="D283" s="6"/>
      <c r="E283" s="15" t="s">
        <v>326</v>
      </c>
      <c r="F283" s="16"/>
    </row>
    <row r="284" spans="2:10" ht="15" x14ac:dyDescent="0.2">
      <c r="B284" s="4">
        <v>268</v>
      </c>
      <c r="C284" s="7"/>
      <c r="D284" s="6"/>
      <c r="E284" s="15" t="s">
        <v>328</v>
      </c>
      <c r="F284" s="16"/>
    </row>
    <row r="285" spans="2:10" ht="15" x14ac:dyDescent="0.2">
      <c r="B285" s="4">
        <v>269</v>
      </c>
      <c r="C285" s="7"/>
      <c r="D285" s="6"/>
      <c r="E285" s="15" t="s">
        <v>329</v>
      </c>
      <c r="F285" s="16"/>
    </row>
    <row r="286" spans="2:10" ht="15" x14ac:dyDescent="0.2">
      <c r="B286" s="4">
        <v>270</v>
      </c>
      <c r="C286" s="7"/>
      <c r="D286" s="6"/>
      <c r="E286" s="15" t="s">
        <v>330</v>
      </c>
      <c r="F286" s="16"/>
    </row>
    <row r="287" spans="2:10" ht="15" x14ac:dyDescent="0.2">
      <c r="B287" s="4">
        <v>271</v>
      </c>
      <c r="C287" s="7"/>
      <c r="D287" s="6"/>
      <c r="E287" s="15" t="s">
        <v>331</v>
      </c>
      <c r="F287" s="16"/>
    </row>
    <row r="288" spans="2:10" ht="15" x14ac:dyDescent="0.2">
      <c r="B288" s="4">
        <v>272</v>
      </c>
      <c r="C288" s="7"/>
      <c r="D288" s="6"/>
      <c r="E288" s="15" t="s">
        <v>332</v>
      </c>
      <c r="F288" s="16"/>
    </row>
    <row r="289" spans="2:6" ht="15" x14ac:dyDescent="0.2">
      <c r="B289" s="4">
        <v>273</v>
      </c>
      <c r="C289" s="7"/>
      <c r="D289" s="6"/>
      <c r="E289" s="15" t="s">
        <v>333</v>
      </c>
      <c r="F289" s="16"/>
    </row>
    <row r="290" spans="2:6" ht="15" x14ac:dyDescent="0.2">
      <c r="B290" s="4">
        <v>274</v>
      </c>
      <c r="C290" s="7"/>
      <c r="D290" s="6"/>
      <c r="E290" s="15" t="s">
        <v>334</v>
      </c>
      <c r="F290" s="16"/>
    </row>
    <row r="291" spans="2:6" ht="15" x14ac:dyDescent="0.2">
      <c r="B291" s="4">
        <v>275</v>
      </c>
      <c r="C291" s="7"/>
      <c r="D291" s="6"/>
      <c r="E291" s="15" t="s">
        <v>335</v>
      </c>
      <c r="F291" s="16"/>
    </row>
    <row r="292" spans="2:6" ht="15" x14ac:dyDescent="0.2">
      <c r="B292" s="4">
        <v>276</v>
      </c>
      <c r="C292" s="7"/>
      <c r="D292" s="6"/>
      <c r="E292" s="15" t="s">
        <v>336</v>
      </c>
      <c r="F292" s="16"/>
    </row>
    <row r="293" spans="2:6" ht="15" x14ac:dyDescent="0.2">
      <c r="B293" s="4">
        <v>277</v>
      </c>
      <c r="C293" s="7"/>
      <c r="D293" s="6"/>
      <c r="E293" s="15" t="s">
        <v>337</v>
      </c>
      <c r="F293" s="16"/>
    </row>
    <row r="294" spans="2:6" ht="15" x14ac:dyDescent="0.2">
      <c r="B294" s="4">
        <v>278</v>
      </c>
      <c r="C294" s="7"/>
      <c r="D294" s="6"/>
      <c r="E294" s="15" t="s">
        <v>338</v>
      </c>
      <c r="F294" s="16"/>
    </row>
    <row r="295" spans="2:6" ht="15" x14ac:dyDescent="0.2">
      <c r="B295" s="4">
        <v>279</v>
      </c>
      <c r="C295" s="7"/>
      <c r="D295" s="6"/>
      <c r="E295" s="15" t="s">
        <v>339</v>
      </c>
      <c r="F295" s="16"/>
    </row>
    <row r="296" spans="2:6" ht="15" x14ac:dyDescent="0.2">
      <c r="B296" s="4">
        <v>280</v>
      </c>
      <c r="C296" s="7"/>
      <c r="D296" s="6"/>
      <c r="E296" s="15" t="s">
        <v>340</v>
      </c>
      <c r="F296" s="16"/>
    </row>
    <row r="297" spans="2:6" ht="15" x14ac:dyDescent="0.2">
      <c r="B297" s="4">
        <v>281</v>
      </c>
      <c r="C297" s="7"/>
      <c r="D297" s="6"/>
      <c r="E297" s="15" t="s">
        <v>341</v>
      </c>
      <c r="F297" s="16"/>
    </row>
    <row r="298" spans="2:6" ht="15" x14ac:dyDescent="0.2">
      <c r="B298" s="4">
        <v>282</v>
      </c>
      <c r="C298" s="7"/>
      <c r="D298" s="6"/>
      <c r="E298" s="15" t="s">
        <v>342</v>
      </c>
      <c r="F298" s="16"/>
    </row>
    <row r="299" spans="2:6" ht="15" x14ac:dyDescent="0.2">
      <c r="B299" s="4">
        <v>283</v>
      </c>
      <c r="C299" s="7"/>
      <c r="D299" s="6"/>
      <c r="E299" s="15" t="s">
        <v>343</v>
      </c>
      <c r="F299" s="16"/>
    </row>
    <row r="300" spans="2:6" ht="15" x14ac:dyDescent="0.2">
      <c r="B300" s="4">
        <v>284</v>
      </c>
      <c r="C300" s="7"/>
      <c r="D300" s="6"/>
      <c r="E300" s="15" t="s">
        <v>344</v>
      </c>
      <c r="F300" s="16"/>
    </row>
    <row r="301" spans="2:6" ht="15" x14ac:dyDescent="0.2">
      <c r="B301" s="4">
        <v>285</v>
      </c>
      <c r="C301" s="7"/>
      <c r="D301" s="6"/>
      <c r="E301" s="15" t="s">
        <v>345</v>
      </c>
      <c r="F301" s="16"/>
    </row>
    <row r="302" spans="2:6" ht="15" x14ac:dyDescent="0.2">
      <c r="B302" s="4">
        <v>286</v>
      </c>
      <c r="C302" s="7"/>
      <c r="D302" s="6"/>
      <c r="E302" s="15" t="s">
        <v>346</v>
      </c>
      <c r="F302" s="16"/>
    </row>
    <row r="303" spans="2:6" ht="15" x14ac:dyDescent="0.2">
      <c r="B303" s="4">
        <v>287</v>
      </c>
      <c r="C303" s="7"/>
      <c r="D303" s="6"/>
      <c r="E303" s="15" t="s">
        <v>347</v>
      </c>
      <c r="F303" s="16"/>
    </row>
    <row r="304" spans="2:6" ht="15" x14ac:dyDescent="0.2">
      <c r="B304" s="4">
        <v>288</v>
      </c>
      <c r="C304" s="7"/>
      <c r="D304" s="6"/>
      <c r="E304" s="15" t="s">
        <v>348</v>
      </c>
      <c r="F304" s="16"/>
    </row>
    <row r="305" spans="2:6" ht="15" x14ac:dyDescent="0.2">
      <c r="B305" s="4">
        <v>289</v>
      </c>
      <c r="C305" s="7"/>
      <c r="D305" s="6"/>
      <c r="E305" s="15" t="s">
        <v>349</v>
      </c>
      <c r="F305" s="16"/>
    </row>
    <row r="306" spans="2:6" ht="15" x14ac:dyDescent="0.2">
      <c r="B306" s="4">
        <v>290</v>
      </c>
      <c r="C306" s="7"/>
      <c r="D306" s="6"/>
      <c r="E306" s="15" t="s">
        <v>350</v>
      </c>
      <c r="F306" s="16"/>
    </row>
    <row r="307" spans="2:6" ht="15" x14ac:dyDescent="0.2">
      <c r="B307" s="4">
        <v>291</v>
      </c>
      <c r="C307" s="7"/>
      <c r="D307" s="6"/>
      <c r="E307" s="15" t="s">
        <v>351</v>
      </c>
      <c r="F307" s="16"/>
    </row>
    <row r="308" spans="2:6" ht="15" x14ac:dyDescent="0.2">
      <c r="B308" s="4">
        <v>292</v>
      </c>
      <c r="C308" s="7"/>
      <c r="D308" s="6"/>
      <c r="E308" s="15" t="s">
        <v>354</v>
      </c>
      <c r="F308" s="16"/>
    </row>
    <row r="309" spans="2:6" ht="15" x14ac:dyDescent="0.2">
      <c r="B309" s="4">
        <v>293</v>
      </c>
      <c r="C309" s="7"/>
      <c r="D309" s="6"/>
      <c r="E309" s="15" t="s">
        <v>355</v>
      </c>
      <c r="F309" s="16"/>
    </row>
    <row r="310" spans="2:6" ht="15" x14ac:dyDescent="0.2">
      <c r="B310" s="4">
        <v>294</v>
      </c>
      <c r="C310" s="7"/>
      <c r="D310" s="6"/>
      <c r="E310" s="15" t="s">
        <v>362</v>
      </c>
      <c r="F310" s="16"/>
    </row>
    <row r="311" spans="2:6" ht="15" x14ac:dyDescent="0.2">
      <c r="B311" s="4">
        <v>295</v>
      </c>
      <c r="C311" s="7"/>
      <c r="D311" s="6"/>
      <c r="E311" s="15" t="s">
        <v>373</v>
      </c>
      <c r="F311" s="16"/>
    </row>
    <row r="312" spans="2:6" ht="15" x14ac:dyDescent="0.2">
      <c r="B312" s="4">
        <v>296</v>
      </c>
      <c r="C312" s="7"/>
      <c r="D312" s="6"/>
      <c r="E312" s="15" t="s">
        <v>374</v>
      </c>
      <c r="F312" s="16"/>
    </row>
    <row r="313" spans="2:6" ht="15" x14ac:dyDescent="0.2">
      <c r="B313" s="4">
        <v>297</v>
      </c>
      <c r="C313" s="7"/>
      <c r="D313" s="6"/>
      <c r="E313" s="15" t="s">
        <v>375</v>
      </c>
      <c r="F313" s="16"/>
    </row>
    <row r="314" spans="2:6" ht="15" x14ac:dyDescent="0.2">
      <c r="B314" s="4">
        <v>298</v>
      </c>
      <c r="C314" s="7"/>
      <c r="D314" s="6"/>
      <c r="E314" s="15" t="s">
        <v>376</v>
      </c>
      <c r="F314" s="16"/>
    </row>
    <row r="315" spans="2:6" ht="15" x14ac:dyDescent="0.2">
      <c r="B315" s="4">
        <v>299</v>
      </c>
      <c r="C315" s="7"/>
      <c r="D315" s="6"/>
      <c r="E315" s="15" t="s">
        <v>378</v>
      </c>
      <c r="F315" s="16"/>
    </row>
    <row r="316" spans="2:6" ht="15" x14ac:dyDescent="0.2">
      <c r="B316" s="4">
        <v>300</v>
      </c>
      <c r="C316" s="7"/>
      <c r="D316" s="6"/>
      <c r="E316" s="15" t="s">
        <v>396</v>
      </c>
      <c r="F316" s="16"/>
    </row>
    <row r="317" spans="2:6" ht="15" x14ac:dyDescent="0.2">
      <c r="B317" s="4">
        <v>301</v>
      </c>
      <c r="C317" s="7"/>
      <c r="D317" s="6"/>
      <c r="E317" s="15" t="s">
        <v>397</v>
      </c>
      <c r="F317" s="16"/>
    </row>
    <row r="318" spans="2:6" ht="15" x14ac:dyDescent="0.2">
      <c r="B318" s="4">
        <v>302</v>
      </c>
      <c r="C318" s="7"/>
      <c r="D318" s="6"/>
      <c r="E318" s="15" t="s">
        <v>398</v>
      </c>
      <c r="F318" s="16"/>
    </row>
    <row r="319" spans="2:6" ht="15" x14ac:dyDescent="0.2">
      <c r="B319" s="4">
        <v>303</v>
      </c>
      <c r="C319" s="7"/>
      <c r="D319" s="6"/>
      <c r="E319" s="15" t="s">
        <v>399</v>
      </c>
      <c r="F319" s="16"/>
    </row>
    <row r="320" spans="2:6" ht="15" x14ac:dyDescent="0.2">
      <c r="B320" s="4">
        <v>304</v>
      </c>
      <c r="C320" s="7"/>
      <c r="D320" s="6"/>
      <c r="E320" s="15" t="s">
        <v>401</v>
      </c>
      <c r="F320" s="16"/>
    </row>
    <row r="321" spans="2:6" ht="15" x14ac:dyDescent="0.2">
      <c r="B321" s="4">
        <v>305</v>
      </c>
      <c r="C321" s="7"/>
      <c r="D321" s="6"/>
      <c r="E321" s="15" t="s">
        <v>400</v>
      </c>
      <c r="F321" s="16"/>
    </row>
    <row r="322" spans="2:6" ht="15" x14ac:dyDescent="0.2">
      <c r="B322" s="4">
        <v>306</v>
      </c>
      <c r="C322" s="7"/>
      <c r="D322" s="6"/>
      <c r="E322" s="15" t="s">
        <v>402</v>
      </c>
      <c r="F322" s="16"/>
    </row>
    <row r="323" spans="2:6" ht="15" x14ac:dyDescent="0.2">
      <c r="B323" s="4">
        <v>307</v>
      </c>
      <c r="C323" s="7"/>
      <c r="D323" s="6"/>
      <c r="E323" s="15" t="s">
        <v>403</v>
      </c>
      <c r="F323" s="16"/>
    </row>
    <row r="324" spans="2:6" ht="15" x14ac:dyDescent="0.2">
      <c r="B324" s="4">
        <v>308</v>
      </c>
      <c r="C324" s="7"/>
      <c r="D324" s="6"/>
      <c r="E324" s="15" t="s">
        <v>404</v>
      </c>
      <c r="F324" s="16"/>
    </row>
    <row r="325" spans="2:6" ht="15" x14ac:dyDescent="0.2">
      <c r="B325" s="4">
        <v>309</v>
      </c>
      <c r="C325" s="7"/>
      <c r="D325" s="6"/>
      <c r="E325" s="15" t="s">
        <v>405</v>
      </c>
      <c r="F325" s="16"/>
    </row>
    <row r="326" spans="2:6" ht="15" x14ac:dyDescent="0.2">
      <c r="B326" s="4">
        <v>310</v>
      </c>
      <c r="C326" s="7"/>
      <c r="D326" s="6"/>
      <c r="E326" s="15" t="s">
        <v>406</v>
      </c>
      <c r="F326" s="16"/>
    </row>
    <row r="327" spans="2:6" ht="15" x14ac:dyDescent="0.2">
      <c r="B327" s="4">
        <v>311</v>
      </c>
      <c r="C327" s="7"/>
      <c r="D327" s="6"/>
      <c r="E327" s="15" t="s">
        <v>407</v>
      </c>
      <c r="F327" s="16"/>
    </row>
    <row r="328" spans="2:6" ht="15" x14ac:dyDescent="0.2">
      <c r="B328" s="4">
        <v>312</v>
      </c>
      <c r="C328" s="7"/>
      <c r="D328" s="6"/>
      <c r="E328" s="15" t="s">
        <v>408</v>
      </c>
      <c r="F328" s="16"/>
    </row>
    <row r="329" spans="2:6" ht="15" x14ac:dyDescent="0.2">
      <c r="B329" s="4">
        <v>313</v>
      </c>
      <c r="C329" s="7"/>
      <c r="D329" s="6"/>
      <c r="E329" s="15" t="s">
        <v>409</v>
      </c>
      <c r="F329" s="16"/>
    </row>
    <row r="330" spans="2:6" ht="15" x14ac:dyDescent="0.2">
      <c r="B330" s="4">
        <v>314</v>
      </c>
      <c r="C330" s="7"/>
      <c r="D330" s="6"/>
      <c r="E330" s="15" t="s">
        <v>410</v>
      </c>
      <c r="F330" s="16"/>
    </row>
    <row r="331" spans="2:6" ht="15" x14ac:dyDescent="0.2">
      <c r="B331" s="4">
        <v>315</v>
      </c>
      <c r="C331" s="7"/>
      <c r="D331" s="6"/>
      <c r="E331" s="15" t="s">
        <v>411</v>
      </c>
      <c r="F331" s="16"/>
    </row>
    <row r="332" spans="2:6" ht="15" x14ac:dyDescent="0.2">
      <c r="B332" s="4">
        <v>316</v>
      </c>
      <c r="C332" s="7"/>
      <c r="D332" s="6"/>
      <c r="E332" s="15" t="s">
        <v>412</v>
      </c>
      <c r="F332" s="16"/>
    </row>
    <row r="333" spans="2:6" ht="15" x14ac:dyDescent="0.2">
      <c r="B333" s="4">
        <v>317</v>
      </c>
      <c r="C333" s="7"/>
      <c r="D333" s="6"/>
      <c r="E333" s="15" t="s">
        <v>413</v>
      </c>
      <c r="F333" s="16"/>
    </row>
    <row r="334" spans="2:6" ht="15" x14ac:dyDescent="0.2">
      <c r="B334" s="4">
        <v>318</v>
      </c>
      <c r="C334" s="7"/>
      <c r="D334" s="6"/>
      <c r="E334" s="15" t="s">
        <v>414</v>
      </c>
      <c r="F334" s="16"/>
    </row>
    <row r="335" spans="2:6" ht="15" x14ac:dyDescent="0.2">
      <c r="B335" s="4">
        <v>319</v>
      </c>
      <c r="C335" s="7"/>
      <c r="D335" s="6"/>
      <c r="E335" s="15" t="s">
        <v>415</v>
      </c>
      <c r="F335" s="16"/>
    </row>
    <row r="336" spans="2:6" ht="15" x14ac:dyDescent="0.2">
      <c r="B336" s="4">
        <v>320</v>
      </c>
      <c r="C336" s="7"/>
      <c r="D336" s="6"/>
      <c r="E336" s="15" t="s">
        <v>416</v>
      </c>
      <c r="F336" s="16"/>
    </row>
    <row r="337" spans="2:6" ht="15" x14ac:dyDescent="0.2">
      <c r="B337" s="4">
        <v>321</v>
      </c>
      <c r="C337" s="7"/>
      <c r="D337" s="6"/>
      <c r="E337" s="15" t="s">
        <v>417</v>
      </c>
      <c r="F337" s="16"/>
    </row>
    <row r="338" spans="2:6" ht="15" x14ac:dyDescent="0.2">
      <c r="B338" s="4">
        <v>322</v>
      </c>
      <c r="C338" s="7"/>
      <c r="D338" s="6"/>
      <c r="E338" s="15" t="s">
        <v>418</v>
      </c>
      <c r="F338" s="16"/>
    </row>
    <row r="339" spans="2:6" ht="15" x14ac:dyDescent="0.2">
      <c r="B339" s="4">
        <v>323</v>
      </c>
      <c r="C339" s="7"/>
      <c r="D339" s="6"/>
      <c r="E339" s="15" t="s">
        <v>419</v>
      </c>
      <c r="F339" s="16"/>
    </row>
    <row r="340" spans="2:6" ht="15" x14ac:dyDescent="0.2">
      <c r="B340" s="4">
        <v>324</v>
      </c>
      <c r="C340" s="7"/>
      <c r="D340" s="6"/>
      <c r="E340" s="15"/>
      <c r="F340" s="16"/>
    </row>
    <row r="341" spans="2:6" ht="15" x14ac:dyDescent="0.2">
      <c r="B341" s="4">
        <v>325</v>
      </c>
      <c r="C341" s="7"/>
      <c r="D341" s="6"/>
      <c r="E341" s="15"/>
      <c r="F341" s="16"/>
    </row>
    <row r="342" spans="2:6" ht="15" x14ac:dyDescent="0.2">
      <c r="B342" s="4">
        <v>326</v>
      </c>
      <c r="C342" s="7"/>
      <c r="D342" s="6"/>
      <c r="E342" s="15"/>
      <c r="F342" s="16"/>
    </row>
    <row r="343" spans="2:6" ht="15" x14ac:dyDescent="0.2">
      <c r="B343" s="4">
        <v>327</v>
      </c>
      <c r="C343" s="7"/>
      <c r="D343" s="6"/>
      <c r="E343" s="15"/>
      <c r="F343" s="16"/>
    </row>
    <row r="344" spans="2:6" ht="15" x14ac:dyDescent="0.2">
      <c r="B344" s="4">
        <v>328</v>
      </c>
      <c r="C344" s="7"/>
      <c r="D344" s="6"/>
      <c r="E344" s="15"/>
      <c r="F344" s="16"/>
    </row>
    <row r="345" spans="2:6" ht="15" x14ac:dyDescent="0.2">
      <c r="B345" s="4">
        <v>329</v>
      </c>
      <c r="C345" s="7"/>
      <c r="D345" s="6"/>
      <c r="E345" s="15"/>
      <c r="F345" s="16"/>
    </row>
    <row r="346" spans="2:6" ht="15" x14ac:dyDescent="0.2">
      <c r="B346" s="4">
        <v>330</v>
      </c>
      <c r="C346" s="7"/>
      <c r="D346" s="6"/>
      <c r="E346" s="15"/>
      <c r="F346" s="16"/>
    </row>
    <row r="347" spans="2:6" ht="15" x14ac:dyDescent="0.2">
      <c r="B347" s="4">
        <v>331</v>
      </c>
      <c r="C347" s="7"/>
      <c r="D347" s="6"/>
      <c r="E347" s="15"/>
      <c r="F347" s="16"/>
    </row>
    <row r="348" spans="2:6" ht="15" x14ac:dyDescent="0.2">
      <c r="B348" s="4">
        <v>332</v>
      </c>
      <c r="C348" s="7"/>
      <c r="D348" s="6"/>
      <c r="E348" s="15"/>
      <c r="F348" s="16"/>
    </row>
    <row r="349" spans="2:6" ht="15" x14ac:dyDescent="0.2">
      <c r="B349" s="4">
        <v>333</v>
      </c>
      <c r="C349" s="7"/>
      <c r="D349" s="6"/>
      <c r="E349" s="15"/>
      <c r="F349" s="16"/>
    </row>
    <row r="350" spans="2:6" ht="15" x14ac:dyDescent="0.2">
      <c r="B350" s="4">
        <v>334</v>
      </c>
      <c r="C350" s="7"/>
      <c r="D350" s="6"/>
      <c r="E350" s="15"/>
      <c r="F350" s="16"/>
    </row>
    <row r="351" spans="2:6" ht="15" x14ac:dyDescent="0.2">
      <c r="B351" s="4">
        <v>335</v>
      </c>
      <c r="C351" s="7"/>
      <c r="D351" s="6"/>
      <c r="E351" s="15"/>
      <c r="F351" s="16"/>
    </row>
    <row r="352" spans="2:6" ht="15" x14ac:dyDescent="0.2">
      <c r="B352" s="4">
        <v>336</v>
      </c>
      <c r="C352" s="7"/>
      <c r="D352" s="6"/>
      <c r="E352" s="15"/>
      <c r="F352" s="16"/>
    </row>
    <row r="353" spans="2:6" ht="15" x14ac:dyDescent="0.2">
      <c r="B353" s="4">
        <v>337</v>
      </c>
      <c r="C353" s="7"/>
      <c r="D353" s="6"/>
      <c r="E353" s="15"/>
      <c r="F353" s="16"/>
    </row>
    <row r="354" spans="2:6" ht="15" x14ac:dyDescent="0.2">
      <c r="B354" s="4">
        <v>338</v>
      </c>
      <c r="C354" s="7"/>
      <c r="D354" s="6"/>
      <c r="E354" s="15"/>
      <c r="F354" s="16"/>
    </row>
    <row r="355" spans="2:6" ht="15" x14ac:dyDescent="0.2">
      <c r="B355" s="4">
        <v>339</v>
      </c>
      <c r="C355" s="7"/>
      <c r="D355" s="6"/>
      <c r="E355" s="15"/>
      <c r="F355" s="16"/>
    </row>
    <row r="356" spans="2:6" ht="15" x14ac:dyDescent="0.2">
      <c r="B356" s="4">
        <v>340</v>
      </c>
      <c r="C356" s="7"/>
      <c r="D356" s="6"/>
      <c r="E356" s="15"/>
      <c r="F356" s="16"/>
    </row>
    <row r="357" spans="2:6" ht="15" x14ac:dyDescent="0.2">
      <c r="B357" s="4">
        <v>341</v>
      </c>
      <c r="C357" s="7"/>
      <c r="D357" s="6"/>
      <c r="E357" s="15"/>
      <c r="F357" s="16"/>
    </row>
    <row r="358" spans="2:6" ht="15" x14ac:dyDescent="0.2">
      <c r="B358" s="4">
        <v>342</v>
      </c>
      <c r="C358" s="7"/>
      <c r="D358" s="6"/>
      <c r="E358" s="15"/>
      <c r="F358" s="16"/>
    </row>
    <row r="359" spans="2:6" ht="15" x14ac:dyDescent="0.2">
      <c r="B359" s="4">
        <v>343</v>
      </c>
      <c r="C359" s="7"/>
      <c r="D359" s="6"/>
      <c r="E359" s="15"/>
      <c r="F359" s="16"/>
    </row>
    <row r="360" spans="2:6" ht="15" x14ac:dyDescent="0.2">
      <c r="B360" s="4">
        <v>344</v>
      </c>
      <c r="C360" s="7"/>
      <c r="D360" s="6"/>
      <c r="E360" s="15"/>
      <c r="F360" s="16"/>
    </row>
    <row r="361" spans="2:6" ht="15" x14ac:dyDescent="0.2">
      <c r="B361" s="4">
        <v>345</v>
      </c>
      <c r="C361" s="7"/>
      <c r="D361" s="6"/>
      <c r="E361" s="15"/>
      <c r="F361" s="16"/>
    </row>
    <row r="362" spans="2:6" ht="15" x14ac:dyDescent="0.2">
      <c r="B362" s="4">
        <v>346</v>
      </c>
      <c r="C362" s="7"/>
      <c r="D362" s="6"/>
      <c r="E362" s="15"/>
      <c r="F362" s="16"/>
    </row>
    <row r="363" spans="2:6" ht="15" x14ac:dyDescent="0.2">
      <c r="B363" s="4">
        <v>347</v>
      </c>
      <c r="C363" s="7"/>
      <c r="D363" s="6"/>
      <c r="E363" s="15"/>
      <c r="F363" s="16"/>
    </row>
    <row r="364" spans="2:6" ht="15" x14ac:dyDescent="0.2">
      <c r="B364" s="4">
        <v>348</v>
      </c>
      <c r="C364" s="7"/>
      <c r="D364" s="6"/>
      <c r="E364" s="15"/>
      <c r="F364" s="16"/>
    </row>
    <row r="365" spans="2:6" ht="15" x14ac:dyDescent="0.2">
      <c r="B365" s="4">
        <v>349</v>
      </c>
      <c r="C365" s="7"/>
      <c r="D365" s="6"/>
      <c r="E365" s="15"/>
      <c r="F365" s="16"/>
    </row>
    <row r="366" spans="2:6" ht="15" x14ac:dyDescent="0.2">
      <c r="B366" s="4">
        <v>350</v>
      </c>
      <c r="C366" s="7"/>
      <c r="D366" s="6"/>
      <c r="E366" s="15"/>
      <c r="F366" s="16"/>
    </row>
  </sheetData>
  <sortState xmlns:xlrd2="http://schemas.microsoft.com/office/spreadsheetml/2017/richdata2" ref="C3:C33">
    <sortCondition ref="C3"/>
  </sortState>
  <pageMargins left="0.3" right="0.23" top="0.75" bottom="0.75" header="0.3" footer="0.3"/>
  <pageSetup paperSize="9" scale="7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BEFD-C9C8-48B8-B28D-4070C6302D59}">
  <sheetPr codeName="Sheet540"/>
  <dimension ref="B3:I60"/>
  <sheetViews>
    <sheetView tabSelected="1" zoomScaleNormal="100" workbookViewId="0">
      <selection activeCell="C59" sqref="C59"/>
    </sheetView>
  </sheetViews>
  <sheetFormatPr defaultRowHeight="12.75" x14ac:dyDescent="0.2"/>
  <cols>
    <col min="2" max="2" width="8.140625" bestFit="1" customWidth="1"/>
    <col min="3" max="3" width="39.42578125" customWidth="1"/>
    <col min="4" max="4" width="19.42578125" bestFit="1" customWidth="1"/>
    <col min="5" max="5" width="11" bestFit="1" customWidth="1"/>
    <col min="6" max="6" width="22.28515625" bestFit="1" customWidth="1"/>
    <col min="7" max="7" width="17.42578125" bestFit="1" customWidth="1"/>
    <col min="8" max="8" width="57.140625" bestFit="1" customWidth="1"/>
    <col min="9" max="9" width="88.85546875" bestFit="1" customWidth="1"/>
  </cols>
  <sheetData>
    <row r="3" spans="2:9" x14ac:dyDescent="0.2">
      <c r="B3" t="s">
        <v>437</v>
      </c>
      <c r="C3" s="34" t="s">
        <v>420</v>
      </c>
      <c r="D3" t="s">
        <v>343</v>
      </c>
      <c r="E3" t="s">
        <v>13</v>
      </c>
      <c r="F3" t="s">
        <v>27</v>
      </c>
      <c r="G3" t="s">
        <v>2</v>
      </c>
      <c r="I3" t="s">
        <v>420</v>
      </c>
    </row>
    <row r="4" spans="2:9" x14ac:dyDescent="0.2">
      <c r="B4" t="s">
        <v>437</v>
      </c>
      <c r="C4" s="34" t="s">
        <v>421</v>
      </c>
      <c r="D4" t="s">
        <v>297</v>
      </c>
      <c r="E4" t="s">
        <v>14</v>
      </c>
      <c r="F4" t="s">
        <v>34</v>
      </c>
      <c r="G4" t="s">
        <v>2</v>
      </c>
      <c r="I4" t="s">
        <v>421</v>
      </c>
    </row>
    <row r="5" spans="2:9" x14ac:dyDescent="0.2">
      <c r="B5" t="s">
        <v>437</v>
      </c>
      <c r="C5" s="34" t="s">
        <v>422</v>
      </c>
      <c r="D5" t="s">
        <v>282</v>
      </c>
      <c r="E5" t="s">
        <v>13</v>
      </c>
      <c r="F5" t="s">
        <v>34</v>
      </c>
      <c r="G5" t="s">
        <v>29</v>
      </c>
      <c r="H5" t="s">
        <v>395</v>
      </c>
      <c r="I5" t="s">
        <v>422</v>
      </c>
    </row>
    <row r="6" spans="2:9" x14ac:dyDescent="0.2">
      <c r="B6" t="s">
        <v>437</v>
      </c>
      <c r="C6" s="34" t="s">
        <v>423</v>
      </c>
      <c r="D6" t="s">
        <v>321</v>
      </c>
      <c r="E6" t="s">
        <v>13</v>
      </c>
      <c r="F6" t="s">
        <v>48</v>
      </c>
      <c r="G6" t="s">
        <v>2</v>
      </c>
      <c r="I6" t="s">
        <v>423</v>
      </c>
    </row>
    <row r="7" spans="2:9" x14ac:dyDescent="0.2">
      <c r="B7" t="s">
        <v>438</v>
      </c>
      <c r="C7" s="34" t="s">
        <v>420</v>
      </c>
      <c r="D7" t="s">
        <v>343</v>
      </c>
      <c r="E7" t="s">
        <v>13</v>
      </c>
      <c r="F7" t="s">
        <v>27</v>
      </c>
      <c r="G7" t="s">
        <v>2</v>
      </c>
      <c r="I7" t="s">
        <v>420</v>
      </c>
    </row>
    <row r="8" spans="2:9" x14ac:dyDescent="0.2">
      <c r="B8" t="s">
        <v>438</v>
      </c>
      <c r="C8" s="34" t="s">
        <v>421</v>
      </c>
      <c r="D8" t="s">
        <v>297</v>
      </c>
      <c r="E8" t="s">
        <v>14</v>
      </c>
      <c r="F8" t="s">
        <v>34</v>
      </c>
      <c r="G8" t="s">
        <v>2</v>
      </c>
      <c r="I8" t="s">
        <v>421</v>
      </c>
    </row>
    <row r="9" spans="2:9" x14ac:dyDescent="0.2">
      <c r="B9" t="s">
        <v>438</v>
      </c>
      <c r="C9" s="34" t="s">
        <v>424</v>
      </c>
      <c r="D9" t="s">
        <v>281</v>
      </c>
      <c r="E9" t="s">
        <v>13</v>
      </c>
      <c r="F9" t="s">
        <v>48</v>
      </c>
      <c r="G9" t="s">
        <v>29</v>
      </c>
      <c r="H9" t="s">
        <v>391</v>
      </c>
      <c r="I9" t="s">
        <v>424</v>
      </c>
    </row>
    <row r="10" spans="2:9" x14ac:dyDescent="0.2">
      <c r="B10" t="s">
        <v>438</v>
      </c>
      <c r="C10" s="34" t="s">
        <v>422</v>
      </c>
      <c r="D10" t="s">
        <v>282</v>
      </c>
      <c r="E10" t="s">
        <v>13</v>
      </c>
      <c r="F10" t="s">
        <v>48</v>
      </c>
      <c r="G10" t="s">
        <v>29</v>
      </c>
      <c r="H10" t="s">
        <v>393</v>
      </c>
      <c r="I10" t="s">
        <v>422</v>
      </c>
    </row>
    <row r="11" spans="2:9" x14ac:dyDescent="0.2">
      <c r="B11" t="s">
        <v>438</v>
      </c>
      <c r="C11" s="34" t="s">
        <v>425</v>
      </c>
      <c r="D11" t="s">
        <v>164</v>
      </c>
      <c r="E11" t="s">
        <v>13</v>
      </c>
      <c r="F11" t="s">
        <v>34</v>
      </c>
      <c r="G11" t="s">
        <v>29</v>
      </c>
      <c r="H11" t="s">
        <v>394</v>
      </c>
      <c r="I11" t="s">
        <v>425</v>
      </c>
    </row>
    <row r="12" spans="2:9" x14ac:dyDescent="0.2">
      <c r="B12" t="s">
        <v>438</v>
      </c>
      <c r="C12" s="34" t="s">
        <v>423</v>
      </c>
      <c r="D12" t="s">
        <v>321</v>
      </c>
      <c r="E12" t="s">
        <v>13</v>
      </c>
      <c r="F12" t="s">
        <v>48</v>
      </c>
      <c r="G12" t="s">
        <v>2</v>
      </c>
      <c r="I12" t="s">
        <v>423</v>
      </c>
    </row>
    <row r="13" spans="2:9" x14ac:dyDescent="0.2">
      <c r="B13" t="s">
        <v>439</v>
      </c>
      <c r="C13" s="34" t="s">
        <v>420</v>
      </c>
      <c r="D13" t="s">
        <v>343</v>
      </c>
      <c r="E13" t="s">
        <v>13</v>
      </c>
      <c r="F13" t="s">
        <v>27</v>
      </c>
      <c r="G13" t="s">
        <v>2</v>
      </c>
      <c r="I13" t="s">
        <v>420</v>
      </c>
    </row>
    <row r="14" spans="2:9" x14ac:dyDescent="0.2">
      <c r="B14" t="s">
        <v>439</v>
      </c>
      <c r="C14" s="34" t="s">
        <v>421</v>
      </c>
      <c r="D14" t="s">
        <v>297</v>
      </c>
      <c r="E14" t="s">
        <v>14</v>
      </c>
      <c r="F14" t="s">
        <v>34</v>
      </c>
      <c r="G14" t="s">
        <v>2</v>
      </c>
      <c r="H14" t="s">
        <v>390</v>
      </c>
      <c r="I14" t="s">
        <v>421</v>
      </c>
    </row>
    <row r="15" spans="2:9" x14ac:dyDescent="0.2">
      <c r="B15" t="s">
        <v>439</v>
      </c>
      <c r="C15" s="34" t="s">
        <v>426</v>
      </c>
      <c r="D15" t="s">
        <v>344</v>
      </c>
      <c r="E15" t="s">
        <v>13</v>
      </c>
      <c r="F15" t="s">
        <v>48</v>
      </c>
      <c r="G15" t="s">
        <v>29</v>
      </c>
      <c r="H15" t="s">
        <v>392</v>
      </c>
      <c r="I15" t="s">
        <v>426</v>
      </c>
    </row>
    <row r="16" spans="2:9" x14ac:dyDescent="0.2">
      <c r="B16" t="s">
        <v>440</v>
      </c>
      <c r="C16" s="34" t="s">
        <v>420</v>
      </c>
      <c r="D16" t="s">
        <v>343</v>
      </c>
      <c r="E16" t="s">
        <v>13</v>
      </c>
      <c r="F16" t="s">
        <v>27</v>
      </c>
      <c r="G16" t="s">
        <v>2</v>
      </c>
      <c r="I16" t="s">
        <v>420</v>
      </c>
    </row>
    <row r="17" spans="2:9" x14ac:dyDescent="0.2">
      <c r="B17" t="s">
        <v>440</v>
      </c>
      <c r="C17" s="34" t="s">
        <v>423</v>
      </c>
      <c r="D17" t="s">
        <v>321</v>
      </c>
      <c r="E17" t="s">
        <v>13</v>
      </c>
      <c r="F17" t="s">
        <v>48</v>
      </c>
      <c r="G17" t="s">
        <v>29</v>
      </c>
      <c r="H17" t="s">
        <v>389</v>
      </c>
      <c r="I17" t="s">
        <v>423</v>
      </c>
    </row>
    <row r="18" spans="2:9" x14ac:dyDescent="0.2">
      <c r="B18" t="s">
        <v>440</v>
      </c>
      <c r="C18" s="34" t="s">
        <v>427</v>
      </c>
      <c r="D18" t="s">
        <v>38</v>
      </c>
      <c r="E18" t="s">
        <v>13</v>
      </c>
      <c r="F18" t="s">
        <v>34</v>
      </c>
      <c r="G18" t="s">
        <v>29</v>
      </c>
      <c r="H18" t="s">
        <v>387</v>
      </c>
      <c r="I18" t="s">
        <v>427</v>
      </c>
    </row>
    <row r="19" spans="2:9" x14ac:dyDescent="0.2">
      <c r="B19" t="s">
        <v>440</v>
      </c>
      <c r="C19" s="34" t="s">
        <v>426</v>
      </c>
      <c r="D19" t="s">
        <v>344</v>
      </c>
      <c r="E19" t="s">
        <v>13</v>
      </c>
      <c r="F19" t="s">
        <v>8</v>
      </c>
      <c r="G19" t="s">
        <v>29</v>
      </c>
      <c r="H19" t="s">
        <v>388</v>
      </c>
      <c r="I19" t="s">
        <v>426</v>
      </c>
    </row>
    <row r="20" spans="2:9" x14ac:dyDescent="0.2">
      <c r="B20" t="s">
        <v>441</v>
      </c>
      <c r="C20" s="34" t="s">
        <v>420</v>
      </c>
      <c r="D20" t="s">
        <v>343</v>
      </c>
      <c r="E20" t="s">
        <v>13</v>
      </c>
      <c r="F20" t="s">
        <v>27</v>
      </c>
      <c r="G20" t="s">
        <v>2</v>
      </c>
      <c r="I20" t="s">
        <v>420</v>
      </c>
    </row>
    <row r="21" spans="2:9" x14ac:dyDescent="0.2">
      <c r="B21" t="s">
        <v>441</v>
      </c>
      <c r="C21" s="34" t="s">
        <v>423</v>
      </c>
      <c r="D21" t="s">
        <v>321</v>
      </c>
      <c r="E21" t="s">
        <v>13</v>
      </c>
      <c r="F21" t="s">
        <v>48</v>
      </c>
      <c r="G21" t="s">
        <v>29</v>
      </c>
      <c r="H21" t="s">
        <v>384</v>
      </c>
      <c r="I21" t="s">
        <v>423</v>
      </c>
    </row>
    <row r="22" spans="2:9" x14ac:dyDescent="0.2">
      <c r="B22" t="s">
        <v>441</v>
      </c>
      <c r="C22" s="34" t="s">
        <v>425</v>
      </c>
      <c r="D22" t="s">
        <v>164</v>
      </c>
      <c r="E22" t="s">
        <v>13</v>
      </c>
      <c r="F22" t="s">
        <v>48</v>
      </c>
      <c r="G22" t="s">
        <v>29</v>
      </c>
      <c r="H22" t="s">
        <v>383</v>
      </c>
      <c r="I22" t="s">
        <v>425</v>
      </c>
    </row>
    <row r="23" spans="2:9" x14ac:dyDescent="0.2">
      <c r="B23" t="s">
        <v>441</v>
      </c>
      <c r="C23" s="34" t="s">
        <v>428</v>
      </c>
      <c r="D23" t="s">
        <v>297</v>
      </c>
      <c r="E23" t="s">
        <v>14</v>
      </c>
      <c r="F23" t="s">
        <v>28</v>
      </c>
      <c r="G23" t="s">
        <v>29</v>
      </c>
      <c r="H23" t="s">
        <v>382</v>
      </c>
      <c r="I23" t="s">
        <v>428</v>
      </c>
    </row>
    <row r="24" spans="2:9" x14ac:dyDescent="0.2">
      <c r="B24" t="s">
        <v>441</v>
      </c>
      <c r="C24" s="34" t="s">
        <v>426</v>
      </c>
      <c r="D24" t="s">
        <v>344</v>
      </c>
      <c r="E24" t="s">
        <v>13</v>
      </c>
      <c r="F24" t="s">
        <v>41</v>
      </c>
      <c r="G24" t="s">
        <v>29</v>
      </c>
      <c r="H24" t="s">
        <v>385</v>
      </c>
      <c r="I24" t="s">
        <v>426</v>
      </c>
    </row>
    <row r="25" spans="2:9" x14ac:dyDescent="0.2">
      <c r="B25" t="s">
        <v>441</v>
      </c>
      <c r="C25" s="34" t="s">
        <v>425</v>
      </c>
      <c r="D25" t="s">
        <v>164</v>
      </c>
      <c r="E25" t="s">
        <v>13</v>
      </c>
      <c r="F25" t="s">
        <v>41</v>
      </c>
      <c r="G25" t="s">
        <v>29</v>
      </c>
      <c r="H25" t="s">
        <v>386</v>
      </c>
      <c r="I25" t="s">
        <v>425</v>
      </c>
    </row>
    <row r="26" spans="2:9" x14ac:dyDescent="0.2">
      <c r="B26" t="s">
        <v>442</v>
      </c>
      <c r="C26" s="34" t="s">
        <v>420</v>
      </c>
      <c r="D26" t="s">
        <v>343</v>
      </c>
      <c r="E26" t="s">
        <v>13</v>
      </c>
      <c r="F26" t="s">
        <v>27</v>
      </c>
      <c r="G26" t="s">
        <v>2</v>
      </c>
      <c r="I26" t="s">
        <v>420</v>
      </c>
    </row>
    <row r="27" spans="2:9" x14ac:dyDescent="0.2">
      <c r="B27" t="s">
        <v>442</v>
      </c>
      <c r="C27" s="34" t="s">
        <v>423</v>
      </c>
      <c r="D27" t="s">
        <v>321</v>
      </c>
      <c r="E27" t="s">
        <v>13</v>
      </c>
      <c r="F27" t="s">
        <v>27</v>
      </c>
      <c r="G27" t="s">
        <v>2</v>
      </c>
      <c r="I27" t="s">
        <v>423</v>
      </c>
    </row>
    <row r="28" spans="2:9" x14ac:dyDescent="0.2">
      <c r="B28" t="s">
        <v>442</v>
      </c>
      <c r="C28" s="34" t="s">
        <v>429</v>
      </c>
      <c r="D28" t="s">
        <v>378</v>
      </c>
      <c r="E28" t="s">
        <v>13</v>
      </c>
      <c r="F28" t="s">
        <v>27</v>
      </c>
      <c r="G28" t="s">
        <v>29</v>
      </c>
      <c r="H28" t="s">
        <v>381</v>
      </c>
      <c r="I28" t="s">
        <v>429</v>
      </c>
    </row>
    <row r="29" spans="2:9" x14ac:dyDescent="0.2">
      <c r="B29" t="s">
        <v>442</v>
      </c>
      <c r="C29" s="34" t="s">
        <v>425</v>
      </c>
      <c r="D29" t="s">
        <v>164</v>
      </c>
      <c r="E29" t="s">
        <v>13</v>
      </c>
      <c r="F29" t="s">
        <v>41</v>
      </c>
      <c r="G29" t="s">
        <v>29</v>
      </c>
      <c r="H29" t="s">
        <v>379</v>
      </c>
      <c r="I29" t="s">
        <v>425</v>
      </c>
    </row>
    <row r="30" spans="2:9" x14ac:dyDescent="0.2">
      <c r="B30" t="s">
        <v>442</v>
      </c>
      <c r="C30" s="34" t="s">
        <v>425</v>
      </c>
      <c r="D30" t="s">
        <v>164</v>
      </c>
      <c r="E30" t="s">
        <v>13</v>
      </c>
      <c r="F30" t="s">
        <v>8</v>
      </c>
      <c r="G30" t="s">
        <v>29</v>
      </c>
      <c r="H30" t="s">
        <v>380</v>
      </c>
      <c r="I30" t="s">
        <v>425</v>
      </c>
    </row>
    <row r="31" spans="2:9" x14ac:dyDescent="0.2">
      <c r="B31" t="s">
        <v>443</v>
      </c>
      <c r="C31" s="34" t="s">
        <v>422</v>
      </c>
      <c r="D31" t="s">
        <v>282</v>
      </c>
      <c r="E31" t="s">
        <v>13</v>
      </c>
      <c r="F31" t="s">
        <v>34</v>
      </c>
      <c r="G31" t="s">
        <v>29</v>
      </c>
      <c r="H31" t="s">
        <v>370</v>
      </c>
      <c r="I31" t="s">
        <v>422</v>
      </c>
    </row>
    <row r="32" spans="2:9" x14ac:dyDescent="0.2">
      <c r="B32" t="s">
        <v>443</v>
      </c>
      <c r="C32" s="34" t="s">
        <v>428</v>
      </c>
      <c r="D32" t="s">
        <v>297</v>
      </c>
      <c r="E32" t="s">
        <v>14</v>
      </c>
      <c r="F32" t="s">
        <v>48</v>
      </c>
      <c r="G32" t="s">
        <v>29</v>
      </c>
      <c r="H32" t="s">
        <v>372</v>
      </c>
      <c r="I32" t="s">
        <v>428</v>
      </c>
    </row>
    <row r="33" spans="2:9" x14ac:dyDescent="0.2">
      <c r="B33" t="s">
        <v>443</v>
      </c>
      <c r="C33" s="34" t="s">
        <v>430</v>
      </c>
      <c r="D33" t="s">
        <v>56</v>
      </c>
      <c r="E33" t="s">
        <v>14</v>
      </c>
      <c r="F33" t="s">
        <v>27</v>
      </c>
      <c r="G33" t="s">
        <v>2</v>
      </c>
      <c r="I33" t="s">
        <v>430</v>
      </c>
    </row>
    <row r="34" spans="2:9" x14ac:dyDescent="0.2">
      <c r="B34" t="s">
        <v>443</v>
      </c>
      <c r="C34" s="34" t="s">
        <v>431</v>
      </c>
      <c r="D34" t="s">
        <v>38</v>
      </c>
      <c r="E34" t="s">
        <v>13</v>
      </c>
      <c r="F34" t="s">
        <v>34</v>
      </c>
      <c r="G34" t="s">
        <v>2</v>
      </c>
      <c r="I34" t="s">
        <v>431</v>
      </c>
    </row>
    <row r="35" spans="2:9" x14ac:dyDescent="0.2">
      <c r="B35" t="s">
        <v>443</v>
      </c>
      <c r="C35" s="34" t="s">
        <v>432</v>
      </c>
      <c r="D35" t="s">
        <v>281</v>
      </c>
      <c r="E35" t="s">
        <v>13</v>
      </c>
      <c r="F35" t="s">
        <v>34</v>
      </c>
      <c r="G35" t="s">
        <v>29</v>
      </c>
      <c r="H35" t="s">
        <v>371</v>
      </c>
      <c r="I35" t="s">
        <v>432</v>
      </c>
    </row>
    <row r="36" spans="2:9" x14ac:dyDescent="0.2">
      <c r="B36" t="s">
        <v>443</v>
      </c>
      <c r="C36" s="34" t="s">
        <v>420</v>
      </c>
      <c r="D36" t="s">
        <v>343</v>
      </c>
      <c r="E36" t="s">
        <v>13</v>
      </c>
      <c r="F36" t="s">
        <v>27</v>
      </c>
      <c r="G36" t="s">
        <v>2</v>
      </c>
      <c r="I36" t="s">
        <v>420</v>
      </c>
    </row>
    <row r="37" spans="2:9" x14ac:dyDescent="0.2">
      <c r="B37" t="s">
        <v>444</v>
      </c>
      <c r="C37" s="34" t="s">
        <v>426</v>
      </c>
      <c r="D37" t="s">
        <v>344</v>
      </c>
      <c r="E37" t="s">
        <v>13</v>
      </c>
      <c r="F37" t="s">
        <v>41</v>
      </c>
      <c r="G37" t="s">
        <v>2</v>
      </c>
      <c r="H37" t="s">
        <v>369</v>
      </c>
      <c r="I37" t="s">
        <v>426</v>
      </c>
    </row>
    <row r="38" spans="2:9" x14ac:dyDescent="0.2">
      <c r="B38" t="s">
        <v>444</v>
      </c>
      <c r="C38" s="34" t="s">
        <v>422</v>
      </c>
      <c r="D38" t="s">
        <v>282</v>
      </c>
      <c r="E38" t="s">
        <v>13</v>
      </c>
      <c r="F38" t="s">
        <v>34</v>
      </c>
      <c r="G38" t="s">
        <v>2</v>
      </c>
      <c r="I38" t="s">
        <v>422</v>
      </c>
    </row>
    <row r="39" spans="2:9" x14ac:dyDescent="0.2">
      <c r="B39" t="s">
        <v>444</v>
      </c>
      <c r="C39" s="34" t="s">
        <v>430</v>
      </c>
      <c r="D39" t="s">
        <v>56</v>
      </c>
      <c r="E39" t="s">
        <v>14</v>
      </c>
      <c r="F39" t="s">
        <v>27</v>
      </c>
      <c r="G39" t="s">
        <v>2</v>
      </c>
      <c r="H39" t="s">
        <v>368</v>
      </c>
      <c r="I39" t="s">
        <v>430</v>
      </c>
    </row>
    <row r="40" spans="2:9" x14ac:dyDescent="0.2">
      <c r="B40" t="s">
        <v>444</v>
      </c>
      <c r="C40" s="34" t="s">
        <v>431</v>
      </c>
      <c r="D40" t="s">
        <v>38</v>
      </c>
      <c r="E40" t="s">
        <v>13</v>
      </c>
      <c r="F40" t="s">
        <v>34</v>
      </c>
      <c r="G40" t="s">
        <v>2</v>
      </c>
      <c r="H40" t="s">
        <v>367</v>
      </c>
      <c r="I40" t="s">
        <v>431</v>
      </c>
    </row>
    <row r="41" spans="2:9" x14ac:dyDescent="0.2">
      <c r="B41" t="s">
        <v>444</v>
      </c>
      <c r="C41" s="34" t="s">
        <v>432</v>
      </c>
      <c r="D41" t="s">
        <v>281</v>
      </c>
      <c r="E41" t="s">
        <v>13</v>
      </c>
      <c r="F41" t="s">
        <v>34</v>
      </c>
      <c r="G41" t="s">
        <v>2</v>
      </c>
      <c r="I41" t="s">
        <v>432</v>
      </c>
    </row>
    <row r="42" spans="2:9" x14ac:dyDescent="0.2">
      <c r="B42" t="s">
        <v>445</v>
      </c>
      <c r="C42" s="34" t="s">
        <v>426</v>
      </c>
      <c r="D42" t="s">
        <v>344</v>
      </c>
      <c r="E42" t="s">
        <v>13</v>
      </c>
      <c r="F42" t="s">
        <v>34</v>
      </c>
      <c r="G42" t="s">
        <v>2</v>
      </c>
      <c r="I42" t="s">
        <v>426</v>
      </c>
    </row>
    <row r="43" spans="2:9" x14ac:dyDescent="0.2">
      <c r="B43" t="s">
        <v>445</v>
      </c>
      <c r="C43" s="34" t="s">
        <v>433</v>
      </c>
      <c r="D43" t="s">
        <v>362</v>
      </c>
      <c r="E43" t="s">
        <v>13</v>
      </c>
      <c r="F43" t="s">
        <v>27</v>
      </c>
      <c r="G43" t="s">
        <v>29</v>
      </c>
      <c r="H43" t="s">
        <v>363</v>
      </c>
      <c r="I43" t="s">
        <v>433</v>
      </c>
    </row>
    <row r="44" spans="2:9" x14ac:dyDescent="0.2">
      <c r="B44" t="s">
        <v>445</v>
      </c>
      <c r="C44" s="34" t="s">
        <v>422</v>
      </c>
      <c r="D44" t="s">
        <v>282</v>
      </c>
      <c r="E44" t="s">
        <v>13</v>
      </c>
      <c r="F44" t="s">
        <v>48</v>
      </c>
      <c r="G44" t="s">
        <v>2</v>
      </c>
      <c r="H44" t="s">
        <v>364</v>
      </c>
      <c r="I44" t="s">
        <v>422</v>
      </c>
    </row>
    <row r="45" spans="2:9" x14ac:dyDescent="0.2">
      <c r="B45" t="s">
        <v>445</v>
      </c>
      <c r="C45" s="34" t="s">
        <v>428</v>
      </c>
      <c r="D45" t="s">
        <v>297</v>
      </c>
      <c r="E45" t="s">
        <v>14</v>
      </c>
      <c r="F45" t="s">
        <v>48</v>
      </c>
      <c r="G45" t="s">
        <v>2</v>
      </c>
      <c r="I45" t="s">
        <v>428</v>
      </c>
    </row>
    <row r="46" spans="2:9" x14ac:dyDescent="0.2">
      <c r="B46" t="s">
        <v>445</v>
      </c>
      <c r="C46" s="34" t="s">
        <v>430</v>
      </c>
      <c r="D46" t="s">
        <v>56</v>
      </c>
      <c r="E46" t="s">
        <v>14</v>
      </c>
      <c r="F46" t="s">
        <v>48</v>
      </c>
      <c r="G46" t="s">
        <v>2</v>
      </c>
      <c r="I46" t="s">
        <v>430</v>
      </c>
    </row>
    <row r="47" spans="2:9" x14ac:dyDescent="0.2">
      <c r="B47" t="s">
        <v>446</v>
      </c>
      <c r="C47" s="34" t="s">
        <v>428</v>
      </c>
      <c r="D47" t="s">
        <v>297</v>
      </c>
      <c r="E47" t="s">
        <v>14</v>
      </c>
      <c r="F47" t="s">
        <v>48</v>
      </c>
      <c r="G47" t="s">
        <v>29</v>
      </c>
      <c r="H47" t="s">
        <v>366</v>
      </c>
      <c r="I47" t="s">
        <v>428</v>
      </c>
    </row>
    <row r="48" spans="2:9" x14ac:dyDescent="0.2">
      <c r="B48" t="s">
        <v>446</v>
      </c>
      <c r="C48" s="34" t="s">
        <v>426</v>
      </c>
      <c r="D48" t="s">
        <v>344</v>
      </c>
      <c r="E48" t="s">
        <v>13</v>
      </c>
      <c r="F48" t="s">
        <v>34</v>
      </c>
      <c r="G48" t="s">
        <v>2</v>
      </c>
      <c r="I48" t="s">
        <v>426</v>
      </c>
    </row>
    <row r="49" spans="2:9" x14ac:dyDescent="0.2">
      <c r="B49" t="s">
        <v>446</v>
      </c>
      <c r="C49" s="34" t="s">
        <v>423</v>
      </c>
      <c r="D49" t="s">
        <v>321</v>
      </c>
      <c r="E49" t="s">
        <v>13</v>
      </c>
      <c r="F49" t="s">
        <v>48</v>
      </c>
      <c r="G49" t="s">
        <v>29</v>
      </c>
      <c r="H49" t="s">
        <v>365</v>
      </c>
      <c r="I49" t="s">
        <v>423</v>
      </c>
    </row>
    <row r="50" spans="2:9" x14ac:dyDescent="0.2">
      <c r="B50" t="s">
        <v>447</v>
      </c>
      <c r="C50" s="34" t="s">
        <v>428</v>
      </c>
      <c r="D50" t="s">
        <v>297</v>
      </c>
      <c r="E50" t="s">
        <v>14</v>
      </c>
      <c r="F50" t="s">
        <v>48</v>
      </c>
      <c r="G50" t="s">
        <v>2</v>
      </c>
      <c r="H50" t="s">
        <v>361</v>
      </c>
      <c r="I50" t="s">
        <v>428</v>
      </c>
    </row>
    <row r="51" spans="2:9" x14ac:dyDescent="0.2">
      <c r="B51" t="s">
        <v>447</v>
      </c>
      <c r="C51" s="34" t="s">
        <v>425</v>
      </c>
      <c r="D51" t="s">
        <v>164</v>
      </c>
      <c r="E51" t="s">
        <v>13</v>
      </c>
      <c r="F51" t="s">
        <v>34</v>
      </c>
      <c r="G51" t="s">
        <v>29</v>
      </c>
      <c r="H51" t="s">
        <v>357</v>
      </c>
      <c r="I51" t="s">
        <v>425</v>
      </c>
    </row>
    <row r="52" spans="2:9" x14ac:dyDescent="0.2">
      <c r="B52" t="s">
        <v>447</v>
      </c>
      <c r="C52" s="34" t="s">
        <v>426</v>
      </c>
      <c r="D52" t="s">
        <v>344</v>
      </c>
      <c r="E52" t="s">
        <v>13</v>
      </c>
      <c r="F52" t="s">
        <v>34</v>
      </c>
      <c r="G52" t="s">
        <v>2</v>
      </c>
      <c r="I52" t="s">
        <v>426</v>
      </c>
    </row>
    <row r="53" spans="2:9" x14ac:dyDescent="0.2">
      <c r="B53" t="s">
        <v>447</v>
      </c>
      <c r="C53" s="34" t="s">
        <v>423</v>
      </c>
      <c r="D53" t="s">
        <v>321</v>
      </c>
      <c r="E53" t="s">
        <v>13</v>
      </c>
      <c r="F53" t="s">
        <v>48</v>
      </c>
      <c r="G53" t="s">
        <v>2</v>
      </c>
      <c r="H53" t="s">
        <v>360</v>
      </c>
      <c r="I53" t="s">
        <v>423</v>
      </c>
    </row>
    <row r="54" spans="2:9" x14ac:dyDescent="0.2">
      <c r="B54" t="s">
        <v>448</v>
      </c>
      <c r="C54" s="34" t="s">
        <v>428</v>
      </c>
      <c r="D54" t="s">
        <v>297</v>
      </c>
      <c r="E54" t="s">
        <v>14</v>
      </c>
      <c r="F54" t="s">
        <v>48</v>
      </c>
      <c r="G54" t="s">
        <v>2</v>
      </c>
      <c r="I54" t="s">
        <v>428</v>
      </c>
    </row>
    <row r="55" spans="2:9" x14ac:dyDescent="0.2">
      <c r="B55" t="s">
        <v>448</v>
      </c>
      <c r="C55" s="34" t="s">
        <v>425</v>
      </c>
      <c r="D55" t="s">
        <v>164</v>
      </c>
      <c r="E55" t="s">
        <v>13</v>
      </c>
      <c r="F55" t="s">
        <v>34</v>
      </c>
      <c r="G55" t="s">
        <v>29</v>
      </c>
      <c r="H55" t="s">
        <v>352</v>
      </c>
      <c r="I55" t="s">
        <v>425</v>
      </c>
    </row>
    <row r="56" spans="2:9" x14ac:dyDescent="0.2">
      <c r="B56" t="s">
        <v>448</v>
      </c>
      <c r="C56" s="34" t="s">
        <v>426</v>
      </c>
      <c r="D56" t="s">
        <v>344</v>
      </c>
      <c r="E56" t="s">
        <v>13</v>
      </c>
      <c r="F56" t="s">
        <v>34</v>
      </c>
      <c r="G56" t="s">
        <v>2</v>
      </c>
      <c r="I56" t="s">
        <v>426</v>
      </c>
    </row>
    <row r="57" spans="2:9" x14ac:dyDescent="0.2">
      <c r="B57" t="s">
        <v>448</v>
      </c>
      <c r="C57" s="34" t="s">
        <v>423</v>
      </c>
      <c r="D57" t="s">
        <v>321</v>
      </c>
      <c r="E57" t="s">
        <v>13</v>
      </c>
      <c r="F57" t="s">
        <v>48</v>
      </c>
      <c r="G57" t="s">
        <v>29</v>
      </c>
      <c r="H57" t="s">
        <v>353</v>
      </c>
      <c r="I57" t="s">
        <v>423</v>
      </c>
    </row>
    <row r="58" spans="2:9" x14ac:dyDescent="0.2">
      <c r="B58" t="s">
        <v>448</v>
      </c>
      <c r="C58" s="34" t="s">
        <v>434</v>
      </c>
      <c r="D58" t="s">
        <v>354</v>
      </c>
      <c r="E58" t="s">
        <v>13</v>
      </c>
      <c r="F58" t="s">
        <v>27</v>
      </c>
      <c r="G58" t="s">
        <v>29</v>
      </c>
      <c r="H58" t="s">
        <v>356</v>
      </c>
      <c r="I58" t="s">
        <v>434</v>
      </c>
    </row>
    <row r="59" spans="2:9" x14ac:dyDescent="0.2">
      <c r="B59" t="s">
        <v>448</v>
      </c>
      <c r="C59" s="34" t="s">
        <v>435</v>
      </c>
      <c r="D59" t="s">
        <v>355</v>
      </c>
      <c r="E59" t="s">
        <v>13</v>
      </c>
      <c r="F59" t="s">
        <v>27</v>
      </c>
      <c r="G59" t="s">
        <v>2</v>
      </c>
      <c r="H59" t="s">
        <v>358</v>
      </c>
      <c r="I59" t="s">
        <v>435</v>
      </c>
    </row>
    <row r="60" spans="2:9" x14ac:dyDescent="0.2">
      <c r="B60" t="s">
        <v>448</v>
      </c>
      <c r="C60" s="34" t="s">
        <v>436</v>
      </c>
      <c r="D60" t="s">
        <v>315</v>
      </c>
      <c r="E60" t="s">
        <v>13</v>
      </c>
      <c r="F60" t="s">
        <v>113</v>
      </c>
      <c r="G60" t="s">
        <v>29</v>
      </c>
      <c r="H60" t="s">
        <v>359</v>
      </c>
      <c r="I60" t="s">
        <v>436</v>
      </c>
    </row>
  </sheetData>
  <hyperlinks>
    <hyperlink ref="C3" r:id="rId1" tooltip="Click to follow the hyperlink" xr:uid="{3360198A-C0A4-4257-9FFA-5D5A0972E61C}"/>
    <hyperlink ref="C4" r:id="rId2" tooltip="Click to follow the hyperlink" xr:uid="{81B21A92-B00A-403D-A58C-C56B25BF6AFF}"/>
    <hyperlink ref="C5" r:id="rId3" tooltip="Click to follow the hyperlink" xr:uid="{36FC2DC9-1057-429E-8605-6B13312B68D7}"/>
    <hyperlink ref="C6" r:id="rId4" tooltip="Click to follow the hyperlink" xr:uid="{ECD18BDC-ED40-4407-849F-9F5A7849FFC1}"/>
    <hyperlink ref="C7" r:id="rId5" tooltip="Click to follow the hyperlink" xr:uid="{E62A9AD5-6C67-4B1F-AC11-A3879994CB5E}"/>
    <hyperlink ref="C8" r:id="rId6" tooltip="Click to follow the hyperlink" xr:uid="{5356E4FB-D85D-4B1F-98DD-A909529BBF3A}"/>
    <hyperlink ref="C9" r:id="rId7" tooltip="Click to follow the hyperlink" xr:uid="{EE07F6B6-B2A1-4B26-8F9F-5249F7B7CEBC}"/>
    <hyperlink ref="C10" r:id="rId8" tooltip="Click to follow the hyperlink" xr:uid="{549128B1-2CFD-4BCB-8450-602FD64D9F70}"/>
    <hyperlink ref="C11" r:id="rId9" tooltip="Click to follow the hyperlink" xr:uid="{FE2840B9-CA1D-4853-8238-74085FEB545D}"/>
    <hyperlink ref="C12" r:id="rId10" tooltip="Click to follow the hyperlink" xr:uid="{DA49896D-8364-45FE-AB94-2134F7DA4833}"/>
    <hyperlink ref="C13" r:id="rId11" tooltip="Click to follow the hyperlink" xr:uid="{14314593-3E3E-4A46-AC9F-1F9A916AE56D}"/>
    <hyperlink ref="C14" r:id="rId12" tooltip="Click to follow the hyperlink" xr:uid="{AB16EF2D-8F3F-418A-9377-232F0C85EA81}"/>
    <hyperlink ref="C15" r:id="rId13" tooltip="Click to follow the hyperlink" xr:uid="{A76D005C-33A3-4ABE-9B7D-368D545A69FE}"/>
    <hyperlink ref="C16" r:id="rId14" tooltip="Click to follow the hyperlink" xr:uid="{087D739C-4236-4CB2-B71E-FD3F1793419D}"/>
    <hyperlink ref="C17" r:id="rId15" tooltip="Click to follow the hyperlink" xr:uid="{34C16F32-7FA0-42F6-9973-A315786D58C5}"/>
    <hyperlink ref="C18" r:id="rId16" tooltip="Click to follow the hyperlink" xr:uid="{2012AE51-1E20-4793-9D0A-433FB7CB6F0D}"/>
    <hyperlink ref="C19" r:id="rId17" tooltip="Click to follow the hyperlink" xr:uid="{DDC76315-F21E-4B41-80AC-EC7C7C36F55A}"/>
    <hyperlink ref="C20" r:id="rId18" tooltip="Click to follow the hyperlink" xr:uid="{2016F44E-0BB0-47A1-A70D-2952BCA80568}"/>
    <hyperlink ref="C21" r:id="rId19" tooltip="Click to follow the hyperlink" xr:uid="{428AADC7-A264-4FAC-962C-63C87F62FE84}"/>
    <hyperlink ref="C22" r:id="rId20" tooltip="Click to follow the hyperlink" xr:uid="{CB1DD2C4-CE83-4479-ADEE-A786F1F822A1}"/>
    <hyperlink ref="C23" r:id="rId21" tooltip="Click to follow the hyperlink" xr:uid="{AAF8A302-AE9D-4CEF-B61B-4707A0716331}"/>
    <hyperlink ref="C24" r:id="rId22" tooltip="Click to follow the hyperlink" xr:uid="{A6EA029C-5866-418A-BE8F-DD59D676D702}"/>
    <hyperlink ref="C25" r:id="rId23" tooltip="Click to follow the hyperlink" xr:uid="{05B23DE7-0236-46F0-8349-F3CA3375F1E8}"/>
    <hyperlink ref="C26" r:id="rId24" tooltip="Click to follow the hyperlink" xr:uid="{B662B9B8-8922-4626-B9C2-7DEA9DAF1E9A}"/>
    <hyperlink ref="C27" r:id="rId25" tooltip="Click to follow the hyperlink" xr:uid="{031A7011-5E8C-4763-8770-ECFDD1CA15AC}"/>
    <hyperlink ref="C28" r:id="rId26" tooltip="Click to follow the hyperlink" xr:uid="{8675B302-8994-40D9-87FB-2D7559518063}"/>
    <hyperlink ref="C29" r:id="rId27" tooltip="Click to follow the hyperlink" xr:uid="{0BD13016-9755-45B1-B448-6DC649D162DA}"/>
    <hyperlink ref="C30" r:id="rId28" tooltip="Click to follow the hyperlink" xr:uid="{F4D526FD-FEAC-48AA-AFBD-BB8A7C441349}"/>
    <hyperlink ref="C31" r:id="rId29" tooltip="Click to follow the hyperlink" xr:uid="{0910066D-48D8-4718-8600-222142EDE919}"/>
    <hyperlink ref="C32" r:id="rId30" tooltip="Click to follow the hyperlink" xr:uid="{CDA7679A-F925-4698-8669-519F8C4517D2}"/>
    <hyperlink ref="C33" r:id="rId31" tooltip="Click to follow the hyperlink" xr:uid="{EA5EA36C-B2AD-4521-BC73-A5EE63637490}"/>
    <hyperlink ref="C34" r:id="rId32" tooltip="Click to follow the hyperlink" xr:uid="{328CCD7E-2F74-444B-998D-34A10025DA9B}"/>
    <hyperlink ref="C35" r:id="rId33" tooltip="Click to follow the hyperlink" xr:uid="{3021B109-0570-495A-BB7B-AB31F656CF26}"/>
    <hyperlink ref="C36" r:id="rId34" tooltip="Click to follow the hyperlink" xr:uid="{39DFA8B0-2DAD-4880-8432-1497F8EB0635}"/>
    <hyperlink ref="C37" r:id="rId35" tooltip="Click to follow the hyperlink" xr:uid="{FA367572-2335-4E34-A38D-19D019CF89DA}"/>
    <hyperlink ref="C38" r:id="rId36" tooltip="Click to follow the hyperlink" xr:uid="{DFB81C7E-99FF-4DA3-B762-8DFDF7594E42}"/>
    <hyperlink ref="C39" r:id="rId37" tooltip="Click to follow the hyperlink" xr:uid="{EC672F32-789F-458C-9483-761C13CB0ABD}"/>
    <hyperlink ref="C40" r:id="rId38" tooltip="Click to follow the hyperlink" xr:uid="{F1E2A3EB-9DA0-4B43-820D-60EC5CCF1B3A}"/>
    <hyperlink ref="C41" r:id="rId39" tooltip="Click to follow the hyperlink" xr:uid="{BC403B3A-425E-4503-A252-B6A407760967}"/>
    <hyperlink ref="C42" r:id="rId40" tooltip="Click to follow the hyperlink" xr:uid="{58DB3EBA-3702-41A1-AE20-CA5B277CB3CA}"/>
    <hyperlink ref="C43" r:id="rId41" tooltip="Click to follow the hyperlink" xr:uid="{424DA356-6CF5-40C7-8318-5BBBD4494938}"/>
    <hyperlink ref="C44" r:id="rId42" tooltip="Click to follow the hyperlink" xr:uid="{0EC5F233-638B-401D-83FA-C77172E140F9}"/>
    <hyperlink ref="C45" r:id="rId43" tooltip="Click to follow the hyperlink" xr:uid="{509D5AED-806C-4444-8D8A-C416A37C0EA5}"/>
    <hyperlink ref="C46" r:id="rId44" tooltip="Click to follow the hyperlink" xr:uid="{A3C27E73-D4EB-4C67-99B5-222A81B19A26}"/>
    <hyperlink ref="C47" r:id="rId45" tooltip="Click to follow the hyperlink" xr:uid="{292BDD77-9837-4C5F-A23A-CBCBD410E44D}"/>
    <hyperlink ref="C48" r:id="rId46" tooltip="Click to follow the hyperlink" xr:uid="{B2FFC19A-7150-44A7-8614-157FF7B81881}"/>
    <hyperlink ref="C49" r:id="rId47" tooltip="Click to follow the hyperlink" xr:uid="{6716860F-5415-4C21-A8C3-B3797C6AE975}"/>
    <hyperlink ref="C50" r:id="rId48" tooltip="Click to follow the hyperlink" xr:uid="{B921207E-D28A-4BDD-A726-CB103EB5B71E}"/>
    <hyperlink ref="C51" r:id="rId49" tooltip="Click to follow the hyperlink" xr:uid="{7F259C51-4D07-45D8-A053-B73CFEAF9D3B}"/>
    <hyperlink ref="C52" r:id="rId50" tooltip="Click to follow the hyperlink" xr:uid="{7E356DEC-EA0A-48C7-89A4-4C7EEA3D706F}"/>
    <hyperlink ref="C53" r:id="rId51" tooltip="Click to follow the hyperlink" xr:uid="{96A0C925-E791-4116-9593-876D649B1821}"/>
    <hyperlink ref="C54" r:id="rId52" tooltip="Click to follow the hyperlink" xr:uid="{7B7C5C6E-D00F-4A11-B880-AA934CA0E939}"/>
    <hyperlink ref="C55" r:id="rId53" tooltip="Click to follow the hyperlink" xr:uid="{C5CB3D2A-3098-4386-BF55-AFBA593E1D77}"/>
    <hyperlink ref="C56" r:id="rId54" tooltip="Click to follow the hyperlink" xr:uid="{771B1338-EB6E-4C21-B3FD-8A73258A250D}"/>
    <hyperlink ref="C57" r:id="rId55" tooltip="Click to follow the hyperlink" xr:uid="{D39C32C0-ACE8-4D07-B07F-B279FB5C7C81}"/>
    <hyperlink ref="C58" r:id="rId56" tooltip="Click to follow the hyperlink" xr:uid="{217C60DB-1400-4FD5-A5AD-63E41A864860}"/>
    <hyperlink ref="C59" r:id="rId57" tooltip="Click to follow the hyperlink" xr:uid="{733D2C2E-D5E5-429D-A20F-2111CFED5044}"/>
    <hyperlink ref="C60" r:id="rId58" tooltip="Click to follow the hyperlink" xr:uid="{A98E7E35-4765-4CED-A6AD-A3457E3DF6AC}"/>
  </hyperlinks>
  <pageMargins left="0.7" right="0.7" top="0.75" bottom="0.75" header="0.3" footer="0.3"/>
  <pageSetup orientation="portrait" r:id="rId5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9BF3-DF85-4ECF-B116-0E8442A9769D}">
  <sheetPr codeName="Sheet1075"/>
  <dimension ref="A1:K9"/>
  <sheetViews>
    <sheetView zoomScaleNormal="100" workbookViewId="0">
      <selection activeCell="D9" sqref="D9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30-12-22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343</v>
      </c>
      <c r="C3" s="9" t="s">
        <v>13</v>
      </c>
      <c r="D3" s="17" t="str">
        <f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ht="24" x14ac:dyDescent="0.2">
      <c r="A4" s="8">
        <f ca="1">IFERROR(OFFSET(A4,-1,0)+1,1)</f>
        <v>2</v>
      </c>
      <c r="B4" s="9" t="s">
        <v>297</v>
      </c>
      <c r="C4" s="9" t="s">
        <v>14</v>
      </c>
      <c r="D4" s="17" t="str">
        <f>B4</f>
        <v>City of Lights</v>
      </c>
      <c r="E4" s="12" t="s">
        <v>34</v>
      </c>
      <c r="F4" s="12" t="s">
        <v>2</v>
      </c>
      <c r="G4" s="19"/>
      <c r="K4" s="5" t="s">
        <v>421</v>
      </c>
    </row>
    <row r="5" spans="1:11" x14ac:dyDescent="0.2">
      <c r="A5" s="8">
        <f ca="1">IFERROR(OFFSET(A5,-1,0)+1,1)</f>
        <v>3</v>
      </c>
      <c r="B5" s="9" t="s">
        <v>282</v>
      </c>
      <c r="C5" s="9" t="s">
        <v>13</v>
      </c>
      <c r="D5" s="17" t="str">
        <f>B5</f>
        <v>Marsa Hotel ASGC</v>
      </c>
      <c r="E5" s="12" t="s">
        <v>34</v>
      </c>
      <c r="F5" s="12" t="s">
        <v>29</v>
      </c>
      <c r="G5" s="19" t="s">
        <v>395</v>
      </c>
      <c r="K5" s="5" t="s">
        <v>422</v>
      </c>
    </row>
    <row r="6" spans="1:11" ht="24" x14ac:dyDescent="0.2">
      <c r="A6" s="8">
        <f ca="1">IFERROR(OFFSET(A6,-1,0)+1,1)</f>
        <v>4</v>
      </c>
      <c r="B6" s="9" t="s">
        <v>321</v>
      </c>
      <c r="C6" s="9" t="s">
        <v>13</v>
      </c>
      <c r="D6" s="17" t="str">
        <f>B6</f>
        <v>Park Avenue 3 Azizi</v>
      </c>
      <c r="E6" s="12" t="s">
        <v>48</v>
      </c>
      <c r="F6" s="12" t="s">
        <v>2</v>
      </c>
      <c r="G6" s="19"/>
      <c r="K6" s="5" t="s">
        <v>423</v>
      </c>
    </row>
    <row r="7" spans="1:11" x14ac:dyDescent="0.2">
      <c r="K7" s="5" t="s">
        <v>423</v>
      </c>
    </row>
    <row r="8" spans="1:11" x14ac:dyDescent="0.2">
      <c r="K8" s="5" t="s">
        <v>423</v>
      </c>
    </row>
    <row r="9" spans="1:11" x14ac:dyDescent="0.2">
      <c r="K9" s="5" t="s">
        <v>423</v>
      </c>
    </row>
  </sheetData>
  <dataConsolidate link="1"/>
  <mergeCells count="1">
    <mergeCell ref="C1:F1"/>
  </mergeCells>
  <dataValidations disablePrompts="1" count="4">
    <dataValidation type="list" showInputMessage="1" showErrorMessage="1" sqref="E3:E6" xr:uid="{5EC3BED7-EA7C-4738-A917-BB0196FB7725}">
      <formula1>OFFSET(ACTIVITY,0,0,COUNTA(ACTIVITY),1)</formula1>
    </dataValidation>
    <dataValidation type="list" showInputMessage="1" showErrorMessage="1" sqref="F3:F6" xr:uid="{B30484E2-7FED-46A1-9BBD-4C41455FFAAB}">
      <formula1>OFFSET(STATUS,0,0,COUNTA(STATUS),1)</formula1>
    </dataValidation>
    <dataValidation type="list" allowBlank="1" showInputMessage="1" showErrorMessage="1" sqref="C3:C6" xr:uid="{C5A36F76-44BF-449B-8580-64FA4A0E5811}">
      <formula1>OFFSET(LOCATION,0,0,COUNTA(LOCATION),1)</formula1>
    </dataValidation>
    <dataValidation type="list" allowBlank="1" showInputMessage="1" showErrorMessage="1" sqref="B3:B6" xr:uid="{2E83AC27-830B-4356-A476-C549B877D4F2}">
      <formula1>OFFSET(PROJECT,0,0,COUNTA(PROJECT),1)</formula1>
    </dataValidation>
  </dataValidations>
  <hyperlinks>
    <hyperlink ref="D3" r:id="rId1" display="\\cclserver\DATA\Q 2020\CCL STRENGTHENING\Dubai\2022\R1.5447.22 Nirvana @ Palm Jumeirah" xr:uid="{C14DAA38-7514-484D-AEB5-5209AA708EB1}"/>
    <hyperlink ref="D4" r:id="rId2" display="\\cclserver\DATA\P 2020\03 CR Projects\06-22-CR-017 Addax Tower" xr:uid="{8DD46F33-9E61-4793-B274-EEBDCCD1E09F}"/>
    <hyperlink ref="D5" r:id="rId3" display="\\cclserver\DATA\P 2020\03 CR Projects\06-21-CR-005 Marsa Al Arab\Construction phase" xr:uid="{23952EC2-8403-4617-8FF8-F46174819E3B}"/>
    <hyperlink ref="D6" r:id="rId4" display="\\cclserver\DATA\P 2020\03 CR Projects\06-22-CR-011 Park Avenue 3 (Azizi)" xr:uid="{7EBA02C4-5B23-4D00-A31E-77E7C5A95A84}"/>
  </hyperlinks>
  <pageMargins left="0.3" right="0.23" top="0.54" bottom="0.33" header="0.3" footer="0.21"/>
  <pageSetup paperSize="9" orientation="landscape" r:id="rId5"/>
  <headerFooter>
    <oddHeader>&amp;LDAILY WORK BRIEF&amp;CCCL GULF&amp;RR and S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E7194-CB6A-4479-AC9F-3BA5C576F397}">
  <sheetPr codeName="Sheet1074"/>
  <dimension ref="A1:K13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29-12-22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t="shared" ref="A3:A8" ca="1" si="0">IFERROR(OFFSET(A3,-1,0)+1,1)</f>
        <v>1</v>
      </c>
      <c r="B3" s="9" t="s">
        <v>343</v>
      </c>
      <c r="C3" s="9" t="s">
        <v>13</v>
      </c>
      <c r="D3" s="17" t="str">
        <f t="shared" ref="D3:D8" si="1"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ht="24" x14ac:dyDescent="0.2">
      <c r="A4" s="8">
        <f t="shared" ca="1" si="0"/>
        <v>2</v>
      </c>
      <c r="B4" s="9" t="s">
        <v>297</v>
      </c>
      <c r="C4" s="9" t="s">
        <v>14</v>
      </c>
      <c r="D4" s="17" t="str">
        <f t="shared" si="1"/>
        <v>City of Lights</v>
      </c>
      <c r="E4" s="12" t="s">
        <v>34</v>
      </c>
      <c r="F4" s="12" t="s">
        <v>2</v>
      </c>
      <c r="G4" s="19"/>
      <c r="K4" s="5" t="s">
        <v>421</v>
      </c>
    </row>
    <row r="5" spans="1:11" x14ac:dyDescent="0.2">
      <c r="A5" s="8">
        <f t="shared" ca="1" si="0"/>
        <v>3</v>
      </c>
      <c r="B5" s="9" t="s">
        <v>281</v>
      </c>
      <c r="C5" s="9" t="s">
        <v>13</v>
      </c>
      <c r="D5" s="17" t="str">
        <f t="shared" si="1"/>
        <v>Profile Tower</v>
      </c>
      <c r="E5" s="12" t="s">
        <v>48</v>
      </c>
      <c r="F5" s="12" t="s">
        <v>29</v>
      </c>
      <c r="G5" s="19" t="s">
        <v>391</v>
      </c>
      <c r="K5" s="5" t="s">
        <v>424</v>
      </c>
    </row>
    <row r="6" spans="1:11" x14ac:dyDescent="0.2">
      <c r="A6" s="8">
        <f t="shared" ca="1" si="0"/>
        <v>4</v>
      </c>
      <c r="B6" s="9" t="s">
        <v>282</v>
      </c>
      <c r="C6" s="9" t="s">
        <v>13</v>
      </c>
      <c r="D6" s="17" t="str">
        <f t="shared" si="1"/>
        <v>Marsa Hotel ASGC</v>
      </c>
      <c r="E6" s="12" t="s">
        <v>48</v>
      </c>
      <c r="F6" s="12" t="s">
        <v>29</v>
      </c>
      <c r="G6" s="19" t="s">
        <v>393</v>
      </c>
      <c r="K6" s="5" t="s">
        <v>422</v>
      </c>
    </row>
    <row r="7" spans="1:11" x14ac:dyDescent="0.2">
      <c r="A7" s="8">
        <f t="shared" ca="1" si="0"/>
        <v>5</v>
      </c>
      <c r="B7" s="9" t="s">
        <v>164</v>
      </c>
      <c r="C7" s="9" t="s">
        <v>13</v>
      </c>
      <c r="D7" s="17" t="str">
        <f t="shared" si="1"/>
        <v>ME DO RE JLT</v>
      </c>
      <c r="E7" s="12" t="s">
        <v>34</v>
      </c>
      <c r="F7" s="12" t="s">
        <v>29</v>
      </c>
      <c r="G7" s="19" t="s">
        <v>394</v>
      </c>
      <c r="K7" s="5" t="s">
        <v>425</v>
      </c>
    </row>
    <row r="8" spans="1:11" ht="24" x14ac:dyDescent="0.2">
      <c r="A8" s="8">
        <f t="shared" ca="1" si="0"/>
        <v>6</v>
      </c>
      <c r="B8" s="9" t="s">
        <v>321</v>
      </c>
      <c r="C8" s="9" t="s">
        <v>13</v>
      </c>
      <c r="D8" s="17" t="str">
        <f t="shared" si="1"/>
        <v>Park Avenue 3 Azizi</v>
      </c>
      <c r="E8" s="12" t="s">
        <v>48</v>
      </c>
      <c r="F8" s="12" t="s">
        <v>2</v>
      </c>
      <c r="G8" s="19"/>
      <c r="K8" s="5" t="s">
        <v>423</v>
      </c>
    </row>
    <row r="9" spans="1:11" x14ac:dyDescent="0.2">
      <c r="K9" s="5" t="s">
        <v>423</v>
      </c>
    </row>
    <row r="10" spans="1:11" x14ac:dyDescent="0.2">
      <c r="K10" s="5" t="s">
        <v>423</v>
      </c>
    </row>
    <row r="11" spans="1:11" x14ac:dyDescent="0.2">
      <c r="K11" s="5" t="s">
        <v>423</v>
      </c>
    </row>
    <row r="12" spans="1:11" x14ac:dyDescent="0.2">
      <c r="K12" s="5" t="s">
        <v>423</v>
      </c>
    </row>
    <row r="13" spans="1:11" x14ac:dyDescent="0.2">
      <c r="K13" s="5" t="s">
        <v>423</v>
      </c>
    </row>
  </sheetData>
  <dataConsolidate link="1"/>
  <mergeCells count="1">
    <mergeCell ref="C1:F1"/>
  </mergeCells>
  <dataValidations count="4">
    <dataValidation type="list" allowBlank="1" showInputMessage="1" showErrorMessage="1" sqref="B3:B8" xr:uid="{477335FC-8895-43EF-9E69-13647E995ECA}">
      <formula1>OFFSET(PROJECT,0,0,COUNTA(PROJECT),1)</formula1>
    </dataValidation>
    <dataValidation type="list" allowBlank="1" showInputMessage="1" showErrorMessage="1" sqref="C3:C8" xr:uid="{C7068A52-403B-4ED1-82F5-FA38B58DA610}">
      <formula1>OFFSET(LOCATION,0,0,COUNTA(LOCATION),1)</formula1>
    </dataValidation>
    <dataValidation type="list" showInputMessage="1" showErrorMessage="1" sqref="F3:F8" xr:uid="{35812634-7C35-47DE-87EF-643899E65DB1}">
      <formula1>OFFSET(STATUS,0,0,COUNTA(STATUS),1)</formula1>
    </dataValidation>
    <dataValidation type="list" showInputMessage="1" showErrorMessage="1" sqref="E3:E8" xr:uid="{6C1BB646-314A-43B7-82DA-A537048F7B08}">
      <formula1>OFFSET(ACTIVITY,0,0,COUNTA(ACTIVITY),1)</formula1>
    </dataValidation>
  </dataValidations>
  <hyperlinks>
    <hyperlink ref="D3" r:id="rId1" display="\\cclserver\DATA\Q 2020\CCL STRENGTHENING\Dubai\2022\R1.5447.22 Nirvana @ Palm Jumeirah" xr:uid="{BC5BCCDB-76CD-4895-9CB2-2AA192551CF2}"/>
    <hyperlink ref="D4" r:id="rId2" display="\\cclserver\DATA\P 2020\03 CR Projects\06-22-CR-017 Addax Tower" xr:uid="{F6E301AA-E334-4EB6-8C86-55D362985F45}"/>
    <hyperlink ref="D5" r:id="rId3" display="\\cclserver\DATA\P 2020\01 Dubai\06-14-BU-004 Profile Residence\Construction Phase\CR\" xr:uid="{5DFEEB11-6BD3-464F-8B70-110873907199}"/>
    <hyperlink ref="D6" r:id="rId4" display="\\cclserver\DATA\P 2020\03 CR Projects\06-21-CR-005 Marsa Al Arab\Construction phase" xr:uid="{86206071-C15B-4436-85CD-2045548C92E7}"/>
    <hyperlink ref="D7" r:id="rId5" display="\\cclserver\DATA\P 2020\03 CR Projects\06-20-CR-002 MEDORE Tower\Construction Phase\" xr:uid="{A3E89A01-3D5F-430B-84A1-5E750F5FCAD1}"/>
    <hyperlink ref="D8" r:id="rId6" display="\\cclserver\DATA\P 2020\03 CR Projects\06-22-CR-011 Park Avenue 3 (Azizi)" xr:uid="{8964B5EB-BFC5-4456-9162-299F9E9D7DE1}"/>
  </hyperlinks>
  <pageMargins left="0.3" right="0.23" top="0.54" bottom="0.33" header="0.3" footer="0.21"/>
  <pageSetup paperSize="9" orientation="landscape" r:id="rId7"/>
  <headerFooter>
    <oddHeader>&amp;LDAILY WORK BRIEF&amp;CCCL GULF&amp;RR and S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BF51A-F8D9-4EC6-A63D-04B9DA65871A}">
  <sheetPr codeName="Sheet1073"/>
  <dimension ref="A1:K7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28-12-22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343</v>
      </c>
      <c r="C3" s="9" t="s">
        <v>13</v>
      </c>
      <c r="D3" s="17" t="str">
        <f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ht="24" x14ac:dyDescent="0.2">
      <c r="A4" s="8">
        <f ca="1">IFERROR(OFFSET(A4,-1,0)+1,1)</f>
        <v>2</v>
      </c>
      <c r="B4" s="9" t="s">
        <v>297</v>
      </c>
      <c r="C4" s="9" t="s">
        <v>14</v>
      </c>
      <c r="D4" s="17" t="str">
        <f>B4</f>
        <v>City of Lights</v>
      </c>
      <c r="E4" s="12" t="s">
        <v>34</v>
      </c>
      <c r="F4" s="12" t="s">
        <v>2</v>
      </c>
      <c r="G4" s="19" t="s">
        <v>390</v>
      </c>
      <c r="K4" s="5" t="s">
        <v>421</v>
      </c>
    </row>
    <row r="5" spans="1:11" x14ac:dyDescent="0.2">
      <c r="A5" s="8">
        <f ca="1">IFERROR(OFFSET(A5,-1,0)+1,1)</f>
        <v>3</v>
      </c>
      <c r="B5" s="9" t="s">
        <v>344</v>
      </c>
      <c r="C5" s="9" t="s">
        <v>13</v>
      </c>
      <c r="D5" s="17" t="str">
        <f>B5</f>
        <v>Saudi German Mirdiff</v>
      </c>
      <c r="E5" s="12" t="s">
        <v>48</v>
      </c>
      <c r="F5" s="12" t="s">
        <v>29</v>
      </c>
      <c r="G5" s="19" t="s">
        <v>392</v>
      </c>
      <c r="K5" s="5" t="s">
        <v>426</v>
      </c>
    </row>
    <row r="6" spans="1:11" x14ac:dyDescent="0.2">
      <c r="K6" s="5" t="s">
        <v>426</v>
      </c>
    </row>
    <row r="7" spans="1:11" x14ac:dyDescent="0.2">
      <c r="K7" s="5" t="s">
        <v>426</v>
      </c>
    </row>
  </sheetData>
  <dataConsolidate link="1"/>
  <mergeCells count="1">
    <mergeCell ref="C1:F1"/>
  </mergeCells>
  <dataValidations count="4">
    <dataValidation type="list" showInputMessage="1" showErrorMessage="1" sqref="E3:E5" xr:uid="{81D09A66-7C73-4FBB-9FA6-28641AE5F841}">
      <formula1>OFFSET(ACTIVITY,0,0,COUNTA(ACTIVITY),1)</formula1>
    </dataValidation>
    <dataValidation type="list" showInputMessage="1" showErrorMessage="1" sqref="F3:F5" xr:uid="{F026ECC0-1609-4426-B8CD-73EFD08E9F29}">
      <formula1>OFFSET(STATUS,0,0,COUNTA(STATUS),1)</formula1>
    </dataValidation>
    <dataValidation type="list" allowBlank="1" showInputMessage="1" showErrorMessage="1" sqref="C3:C5" xr:uid="{E8A20966-263D-4E94-A836-8B9E71C7F36C}">
      <formula1>OFFSET(LOCATION,0,0,COUNTA(LOCATION),1)</formula1>
    </dataValidation>
    <dataValidation type="list" allowBlank="1" showInputMessage="1" showErrorMessage="1" sqref="B3:B5" xr:uid="{9D24F3BB-E56A-447B-BBDE-81CF53A06A35}">
      <formula1>OFFSET(PROJECT,0,0,COUNTA(PROJECT),1)</formula1>
    </dataValidation>
  </dataValidations>
  <hyperlinks>
    <hyperlink ref="D3" r:id="rId1" display="\\cclserver\DATA\Q 2020\CCL STRENGTHENING\Dubai\2022\R1.5447.22 Nirvana @ Palm Jumeirah" xr:uid="{DA1FD009-BDF9-40F0-BF9C-A4AD9119A33F}"/>
    <hyperlink ref="D4" r:id="rId2" display="\\cclserver\DATA\P 2020\03 CR Projects\06-22-CR-017 Addax Tower" xr:uid="{82E38AC0-823A-4A0E-AEEC-401997D49B75}"/>
    <hyperlink ref="D5" r:id="rId3" display="\\cclserver\DATA\P 2020\03 CR Projects\06-22-CR-014 Saudi German Hospital Mirdif" xr:uid="{7BAA8A52-2B73-4322-B4F1-BC703F940B85}"/>
  </hyperlinks>
  <pageMargins left="0.3" right="0.23" top="0.54" bottom="0.33" header="0.3" footer="0.21"/>
  <pageSetup paperSize="9" orientation="landscape" r:id="rId4"/>
  <headerFooter>
    <oddHeader>&amp;LDAILY WORK BRIEF&amp;CCCL GULF&amp;RR and S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0372-B506-44E5-87FF-E1F7E10C3DAD}">
  <sheetPr codeName="Sheet1072"/>
  <dimension ref="A1:K9"/>
  <sheetViews>
    <sheetView zoomScaleNormal="100" workbookViewId="0">
      <selection activeCell="K9" sqref="K9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27-12-22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343</v>
      </c>
      <c r="C3" s="9" t="s">
        <v>13</v>
      </c>
      <c r="D3" s="17" t="str">
        <f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x14ac:dyDescent="0.2">
      <c r="A4" s="8">
        <f ca="1">IFERROR(OFFSET(A4,-1,0)+1,1)</f>
        <v>2</v>
      </c>
      <c r="B4" s="9" t="s">
        <v>321</v>
      </c>
      <c r="C4" s="9" t="s">
        <v>13</v>
      </c>
      <c r="D4" s="17" t="str">
        <f>B4</f>
        <v>Park Avenue 3 Azizi</v>
      </c>
      <c r="E4" s="12" t="s">
        <v>48</v>
      </c>
      <c r="F4" s="12" t="s">
        <v>29</v>
      </c>
      <c r="G4" s="19" t="s">
        <v>389</v>
      </c>
      <c r="K4" s="5" t="s">
        <v>423</v>
      </c>
    </row>
    <row r="5" spans="1:11" x14ac:dyDescent="0.2">
      <c r="A5" s="8">
        <f ca="1">IFERROR(OFFSET(A5,-1,0)+1,1)</f>
        <v>3</v>
      </c>
      <c r="B5" s="9" t="s">
        <v>38</v>
      </c>
      <c r="C5" s="9" t="s">
        <v>13</v>
      </c>
      <c r="D5" s="17" t="str">
        <f>B5</f>
        <v>OPERATIONS</v>
      </c>
      <c r="E5" s="12" t="s">
        <v>34</v>
      </c>
      <c r="F5" s="12" t="s">
        <v>29</v>
      </c>
      <c r="G5" s="19" t="s">
        <v>387</v>
      </c>
      <c r="K5" s="5" t="s">
        <v>427</v>
      </c>
    </row>
    <row r="6" spans="1:11" x14ac:dyDescent="0.2">
      <c r="A6" s="8">
        <f ca="1">IFERROR(OFFSET(A6,-1,0)+1,1)</f>
        <v>4</v>
      </c>
      <c r="B6" s="9" t="s">
        <v>344</v>
      </c>
      <c r="C6" s="9" t="s">
        <v>13</v>
      </c>
      <c r="D6" s="17" t="str">
        <f>B6</f>
        <v>Saudi German Mirdiff</v>
      </c>
      <c r="E6" s="12" t="s">
        <v>8</v>
      </c>
      <c r="F6" s="12" t="s">
        <v>29</v>
      </c>
      <c r="G6" s="19" t="s">
        <v>388</v>
      </c>
      <c r="K6" s="5" t="s">
        <v>426</v>
      </c>
    </row>
    <row r="7" spans="1:11" x14ac:dyDescent="0.2">
      <c r="K7" s="5" t="s">
        <v>426</v>
      </c>
    </row>
    <row r="8" spans="1:11" x14ac:dyDescent="0.2">
      <c r="K8" s="5" t="s">
        <v>426</v>
      </c>
    </row>
    <row r="9" spans="1:11" x14ac:dyDescent="0.2">
      <c r="K9" s="5" t="s">
        <v>426</v>
      </c>
    </row>
  </sheetData>
  <dataConsolidate link="1"/>
  <mergeCells count="1">
    <mergeCell ref="C1:F1"/>
  </mergeCells>
  <dataValidations count="4">
    <dataValidation type="list" allowBlank="1" showInputMessage="1" showErrorMessage="1" sqref="B3:B6" xr:uid="{CAB03BE6-0A4C-48F0-98DF-97109BDA10E6}">
      <formula1>OFFSET(PROJECT,0,0,COUNTA(PROJECT),1)</formula1>
    </dataValidation>
    <dataValidation type="list" allowBlank="1" showInputMessage="1" showErrorMessage="1" sqref="C3:C6" xr:uid="{3F4B013F-6CF6-4D1C-BFD9-D48DB566EB23}">
      <formula1>OFFSET(LOCATION,0,0,COUNTA(LOCATION),1)</formula1>
    </dataValidation>
    <dataValidation type="list" showInputMessage="1" showErrorMessage="1" sqref="F3:F6" xr:uid="{36CC09D8-5E99-4477-A584-B8E023193C6C}">
      <formula1>OFFSET(STATUS,0,0,COUNTA(STATUS),1)</formula1>
    </dataValidation>
    <dataValidation type="list" showInputMessage="1" showErrorMessage="1" sqref="E3:E6" xr:uid="{0A58049C-A366-44F6-9898-757D3A58D6FB}">
      <formula1>OFFSET(ACTIVITY,0,0,COUNTA(ACTIVITY),1)</formula1>
    </dataValidation>
  </dataValidations>
  <hyperlinks>
    <hyperlink ref="D3" r:id="rId1" display="\\cclserver\DATA\Q 2020\CCL STRENGTHENING\Dubai\2022\R1.5447.22 Nirvana @ Palm Jumeirah" xr:uid="{7CBD5ABF-3C6D-4D1B-B897-D2BE4555095C}"/>
    <hyperlink ref="D4" r:id="rId2" display="\\cclserver\DATA\P 2020\03 CR Projects\06-22-CR-011 Park Avenue 3 (Azizi)" xr:uid="{C5030823-0BDF-452B-99C3-61524B857E47}"/>
    <hyperlink ref="D5" r:id="rId3" display="D:\OPERATIONS\1. ARCHIVES\31. CCL OFFICE" xr:uid="{4819CC05-14F8-4F05-8679-35CF33E98852}"/>
    <hyperlink ref="D6" r:id="rId4" display="\\cclserver\DATA\P 2020\03 CR Projects\06-22-CR-014 Saudi German Hospital Mirdif" xr:uid="{0181CAEA-6B3A-4066-BEE2-43315268C4DB}"/>
  </hyperlinks>
  <pageMargins left="0.3" right="0.23" top="0.54" bottom="0.33" header="0.3" footer="0.21"/>
  <pageSetup paperSize="9" orientation="landscape" r:id="rId5"/>
  <headerFooter>
    <oddHeader>&amp;LDAILY WORK BRIEF&amp;CCCL GULF&amp;RR and 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9908B-407F-4083-BC90-C39F5F249E7D}">
  <sheetPr codeName="Sheet1071"/>
  <dimension ref="A1:K13"/>
  <sheetViews>
    <sheetView zoomScaleNormal="100" workbookViewId="0">
      <selection activeCell="K5" sqref="K5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26-12-22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t="shared" ref="A3:A8" ca="1" si="0">IFERROR(OFFSET(A3,-1,0)+1,1)</f>
        <v>1</v>
      </c>
      <c r="B3" s="9" t="s">
        <v>343</v>
      </c>
      <c r="C3" s="9" t="s">
        <v>13</v>
      </c>
      <c r="D3" s="17" t="str">
        <f t="shared" ref="D3:D8" si="1"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x14ac:dyDescent="0.2">
      <c r="A4" s="8">
        <f t="shared" ca="1" si="0"/>
        <v>2</v>
      </c>
      <c r="B4" s="9" t="s">
        <v>321</v>
      </c>
      <c r="C4" s="9" t="s">
        <v>13</v>
      </c>
      <c r="D4" s="17" t="str">
        <f t="shared" si="1"/>
        <v>Park Avenue 3 Azizi</v>
      </c>
      <c r="E4" s="12" t="s">
        <v>48</v>
      </c>
      <c r="F4" s="12" t="s">
        <v>29</v>
      </c>
      <c r="G4" s="19" t="s">
        <v>384</v>
      </c>
      <c r="K4" s="5" t="s">
        <v>423</v>
      </c>
    </row>
    <row r="5" spans="1:11" x14ac:dyDescent="0.2">
      <c r="A5" s="8">
        <f t="shared" ca="1" si="0"/>
        <v>3</v>
      </c>
      <c r="B5" s="9" t="s">
        <v>164</v>
      </c>
      <c r="C5" s="9" t="s">
        <v>13</v>
      </c>
      <c r="D5" s="17" t="str">
        <f t="shared" si="1"/>
        <v>ME DO RE JLT</v>
      </c>
      <c r="E5" s="12" t="s">
        <v>48</v>
      </c>
      <c r="F5" s="12" t="s">
        <v>29</v>
      </c>
      <c r="G5" s="19" t="s">
        <v>383</v>
      </c>
      <c r="K5" s="5" t="s">
        <v>425</v>
      </c>
    </row>
    <row r="6" spans="1:11" x14ac:dyDescent="0.2">
      <c r="A6" s="8">
        <f t="shared" ca="1" si="0"/>
        <v>4</v>
      </c>
      <c r="B6" s="9" t="s">
        <v>297</v>
      </c>
      <c r="C6" s="9" t="s">
        <v>14</v>
      </c>
      <c r="D6" s="17" t="str">
        <f t="shared" si="1"/>
        <v>City of Lights</v>
      </c>
      <c r="E6" s="12" t="s">
        <v>28</v>
      </c>
      <c r="F6" s="12" t="s">
        <v>29</v>
      </c>
      <c r="G6" s="19" t="s">
        <v>382</v>
      </c>
      <c r="K6" s="5" t="s">
        <v>428</v>
      </c>
    </row>
    <row r="7" spans="1:11" x14ac:dyDescent="0.2">
      <c r="A7" s="8">
        <f ca="1">IFERROR(OFFSET(A7,-1,0)+1,1)</f>
        <v>5</v>
      </c>
      <c r="B7" s="9" t="s">
        <v>344</v>
      </c>
      <c r="C7" s="9" t="s">
        <v>13</v>
      </c>
      <c r="D7" s="17" t="str">
        <f t="shared" si="1"/>
        <v>Saudi German Mirdiff</v>
      </c>
      <c r="E7" s="12" t="s">
        <v>41</v>
      </c>
      <c r="F7" s="12" t="s">
        <v>29</v>
      </c>
      <c r="G7" s="19" t="s">
        <v>385</v>
      </c>
      <c r="K7" s="5" t="s">
        <v>426</v>
      </c>
    </row>
    <row r="8" spans="1:11" x14ac:dyDescent="0.2">
      <c r="A8" s="8">
        <f t="shared" ca="1" si="0"/>
        <v>6</v>
      </c>
      <c r="B8" s="9" t="s">
        <v>164</v>
      </c>
      <c r="C8" s="9" t="s">
        <v>13</v>
      </c>
      <c r="D8" s="17" t="str">
        <f t="shared" si="1"/>
        <v>ME DO RE JLT</v>
      </c>
      <c r="E8" s="12" t="s">
        <v>41</v>
      </c>
      <c r="F8" s="12" t="s">
        <v>29</v>
      </c>
      <c r="G8" s="19" t="s">
        <v>386</v>
      </c>
      <c r="K8" s="5" t="s">
        <v>425</v>
      </c>
    </row>
    <row r="9" spans="1:11" x14ac:dyDescent="0.2">
      <c r="K9" s="5" t="s">
        <v>425</v>
      </c>
    </row>
    <row r="10" spans="1:11" x14ac:dyDescent="0.2">
      <c r="K10" s="5" t="s">
        <v>425</v>
      </c>
    </row>
    <row r="11" spans="1:11" x14ac:dyDescent="0.2">
      <c r="K11" s="5" t="s">
        <v>425</v>
      </c>
    </row>
    <row r="12" spans="1:11" x14ac:dyDescent="0.2">
      <c r="K12" s="5" t="s">
        <v>425</v>
      </c>
    </row>
    <row r="13" spans="1:11" x14ac:dyDescent="0.2">
      <c r="K13" s="5" t="s">
        <v>425</v>
      </c>
    </row>
  </sheetData>
  <dataConsolidate link="1"/>
  <mergeCells count="1">
    <mergeCell ref="C1:F1"/>
  </mergeCells>
  <dataValidations count="4">
    <dataValidation type="list" showInputMessage="1" showErrorMessage="1" sqref="E3:E8" xr:uid="{81452F04-2371-42DE-B453-72B6ED417F3D}">
      <formula1>OFFSET(ACTIVITY,0,0,COUNTA(ACTIVITY),1)</formula1>
    </dataValidation>
    <dataValidation type="list" showInputMessage="1" showErrorMessage="1" sqref="F3:F8" xr:uid="{FDEA11A8-0CB0-4721-929A-742D63D5C413}">
      <formula1>OFFSET(STATUS,0,0,COUNTA(STATUS),1)</formula1>
    </dataValidation>
    <dataValidation type="list" allowBlank="1" showInputMessage="1" showErrorMessage="1" sqref="C3:C8" xr:uid="{7E00F6FC-C7E0-47E3-8C88-A5C0ED6629FE}">
      <formula1>OFFSET(LOCATION,0,0,COUNTA(LOCATION),1)</formula1>
    </dataValidation>
    <dataValidation type="list" allowBlank="1" showInputMessage="1" showErrorMessage="1" sqref="B3:B8" xr:uid="{11772830-E979-41C9-9AF8-A355AE2F2FBE}">
      <formula1>OFFSET(PROJECT,0,0,COUNTA(PROJECT),1)</formula1>
    </dataValidation>
  </dataValidations>
  <hyperlinks>
    <hyperlink ref="D3" r:id="rId1" display="\\cclserver\DATA\Q 2020\CCL STRENGTHENING\Dubai\2022\R1.5447.22 Nirvana @ Palm Jumeirah" xr:uid="{355AD8D9-64E5-4656-8E7E-CA48CB31F4D1}"/>
    <hyperlink ref="D4" r:id="rId2" display="\\cclserver\DATA\P 2020\03 CR Projects\06-22-CR-011 Park Avenue 3 (Azizi)" xr:uid="{0180BE13-6F6C-4C5A-8F3E-1164C87F2084}"/>
    <hyperlink ref="D5" r:id="rId3" display="\\cclserver\DATA\P 2020\03 CR Projects\06-20-CR-002 MEDORE Tower\Construction Phase\" xr:uid="{BDA15D74-42C8-4DE4-9111-CEFFBF47B816}"/>
    <hyperlink ref="D6" r:id="rId4" display="\\cclserver\DATA\P 2020\03 CR Projects\06-21-CR-014 Addax Tower (city of lights)\Construction Phase" xr:uid="{226BDE62-DD34-42F6-AEA4-FFB23EA893DA}"/>
    <hyperlink ref="D7" r:id="rId5" display="\\cclserver\DATA\P 2020\03 CR Projects\06-22-CR-014 Saudi German Hospital Mirdif" xr:uid="{6FC61045-BB14-42D1-B6A5-9FD6FD6F808A}"/>
    <hyperlink ref="D8" r:id="rId6" display="\\cclserver\DATA\P 2020\03 CR Projects\06-20-CR-002 MEDORE Tower\Construction Phase\" xr:uid="{490F4C17-A5C3-4390-832F-252E9848443C}"/>
  </hyperlinks>
  <pageMargins left="0.3" right="0.23" top="0.54" bottom="0.33" header="0.3" footer="0.21"/>
  <pageSetup paperSize="9" orientation="landscape" r:id="rId7"/>
  <headerFooter>
    <oddHeader>&amp;LDAILY WORK BRIEF&amp;CCCL GULF&amp;RR and 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ECCC-B439-4530-AA9D-A027892C793E}">
  <sheetPr codeName="Sheet1070"/>
  <dimension ref="A1:K11"/>
  <sheetViews>
    <sheetView zoomScaleNormal="100" workbookViewId="0">
      <selection activeCell="K10" sqref="K10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25-12-22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343</v>
      </c>
      <c r="C3" s="9" t="s">
        <v>13</v>
      </c>
      <c r="D3" s="17" t="str">
        <f>B3</f>
        <v>Nirvana Palm</v>
      </c>
      <c r="E3" s="12" t="s">
        <v>27</v>
      </c>
      <c r="F3" s="12" t="s">
        <v>2</v>
      </c>
      <c r="G3" s="19"/>
      <c r="K3" s="5" t="s">
        <v>420</v>
      </c>
    </row>
    <row r="4" spans="1:11" ht="24" x14ac:dyDescent="0.2">
      <c r="A4" s="8">
        <f ca="1">IFERROR(OFFSET(A4,-1,0)+1,1)</f>
        <v>2</v>
      </c>
      <c r="B4" s="9" t="s">
        <v>321</v>
      </c>
      <c r="C4" s="9" t="s">
        <v>13</v>
      </c>
      <c r="D4" s="17" t="str">
        <f>B4</f>
        <v>Park Avenue 3 Azizi</v>
      </c>
      <c r="E4" s="12" t="s">
        <v>27</v>
      </c>
      <c r="F4" s="12" t="s">
        <v>2</v>
      </c>
      <c r="G4" s="19"/>
      <c r="K4" s="5" t="s">
        <v>423</v>
      </c>
    </row>
    <row r="5" spans="1:11" x14ac:dyDescent="0.2">
      <c r="A5" s="8">
        <f ca="1">IFERROR(OFFSET(A5,-1,0)+1,1)</f>
        <v>3</v>
      </c>
      <c r="B5" s="9" t="s">
        <v>378</v>
      </c>
      <c r="C5" s="9" t="s">
        <v>13</v>
      </c>
      <c r="D5" s="17" t="str">
        <f>B5</f>
        <v>Maples 2 Lootah</v>
      </c>
      <c r="E5" s="12" t="s">
        <v>27</v>
      </c>
      <c r="F5" s="12" t="s">
        <v>29</v>
      </c>
      <c r="G5" s="19" t="s">
        <v>381</v>
      </c>
      <c r="K5" s="5" t="s">
        <v>429</v>
      </c>
    </row>
    <row r="6" spans="1:11" x14ac:dyDescent="0.2">
      <c r="A6" s="8">
        <f ca="1">IFERROR(OFFSET(A6,-1,0)+1,1)</f>
        <v>4</v>
      </c>
      <c r="B6" s="9" t="s">
        <v>164</v>
      </c>
      <c r="C6" s="9" t="s">
        <v>13</v>
      </c>
      <c r="D6" s="17" t="str">
        <f>B6</f>
        <v>ME DO RE JLT</v>
      </c>
      <c r="E6" s="12" t="s">
        <v>41</v>
      </c>
      <c r="F6" s="12" t="s">
        <v>29</v>
      </c>
      <c r="G6" s="19" t="s">
        <v>379</v>
      </c>
      <c r="K6" s="5" t="s">
        <v>425</v>
      </c>
    </row>
    <row r="7" spans="1:11" x14ac:dyDescent="0.2">
      <c r="A7" s="8">
        <f ca="1">IFERROR(OFFSET(A7,-1,0)+1,1)</f>
        <v>5</v>
      </c>
      <c r="B7" s="9" t="s">
        <v>164</v>
      </c>
      <c r="C7" s="9" t="s">
        <v>13</v>
      </c>
      <c r="D7" s="17" t="str">
        <f>B7</f>
        <v>ME DO RE JLT</v>
      </c>
      <c r="E7" s="12" t="s">
        <v>8</v>
      </c>
      <c r="F7" s="12" t="s">
        <v>29</v>
      </c>
      <c r="G7" s="19" t="s">
        <v>380</v>
      </c>
      <c r="K7" s="5" t="s">
        <v>425</v>
      </c>
    </row>
    <row r="8" spans="1:11" x14ac:dyDescent="0.2">
      <c r="K8" s="5" t="s">
        <v>425</v>
      </c>
    </row>
    <row r="9" spans="1:11" x14ac:dyDescent="0.2">
      <c r="K9" s="5" t="s">
        <v>425</v>
      </c>
    </row>
    <row r="10" spans="1:11" x14ac:dyDescent="0.2">
      <c r="K10" s="5" t="s">
        <v>425</v>
      </c>
    </row>
    <row r="11" spans="1:11" x14ac:dyDescent="0.2">
      <c r="K11" s="5" t="s">
        <v>425</v>
      </c>
    </row>
  </sheetData>
  <dataConsolidate link="1"/>
  <mergeCells count="1">
    <mergeCell ref="C1:F1"/>
  </mergeCells>
  <dataValidations count="4">
    <dataValidation type="list" allowBlank="1" showInputMessage="1" showErrorMessage="1" sqref="B3:B7" xr:uid="{C1342CF3-C1D5-4DA8-953E-33B5D6C35F4D}">
      <formula1>OFFSET(PROJECT,0,0,COUNTA(PROJECT),1)</formula1>
    </dataValidation>
    <dataValidation type="list" allowBlank="1" showInputMessage="1" showErrorMessage="1" sqref="C3:C7" xr:uid="{CBAA4F28-6D59-439E-8B46-3CE036653458}">
      <formula1>OFFSET(LOCATION,0,0,COUNTA(LOCATION),1)</formula1>
    </dataValidation>
    <dataValidation type="list" showInputMessage="1" showErrorMessage="1" sqref="F3:F7" xr:uid="{2FCB618E-9C97-4ED0-BE18-B55194666B7D}">
      <formula1>OFFSET(STATUS,0,0,COUNTA(STATUS),1)</formula1>
    </dataValidation>
    <dataValidation type="list" showInputMessage="1" showErrorMessage="1" sqref="E3:E7" xr:uid="{D8A5051F-A809-414D-B68D-0E6FDA30694F}">
      <formula1>OFFSET(ACTIVITY,0,0,COUNTA(ACTIVITY),1)</formula1>
    </dataValidation>
  </dataValidations>
  <hyperlinks>
    <hyperlink ref="D3" r:id="rId1" display="\\cclserver\DATA\Q 2020\CCL STRENGTHENING\Dubai\2022\R1.5447.22 Nirvana @ Palm Jumeirah" xr:uid="{D2E8969D-8F55-49CA-A536-A02E71006BAD}"/>
    <hyperlink ref="D4" r:id="rId2" display="\\cclserver\DATA\P 2020\03 CR Projects\06-22-CR-011 Park Avenue 3 (Azizi)" xr:uid="{1909B0BF-070A-47F3-90D4-820FC2FE548D}"/>
    <hyperlink ref="D5" r:id="rId3" display="\\cclserver\DATA\Q 2020\CCL STRENGTHENING\Dubai\2022\R1.5503.22 Maple 2 Bldg" xr:uid="{F3A79112-59E5-4099-8CD1-A14BD66CD8A2}"/>
    <hyperlink ref="D6" r:id="rId4" display="\\cclserver\DATA\P 2020\03 CR Projects\06-20-CR-002 MEDORE Tower\Construction Phase\" xr:uid="{E436F345-2231-40AA-BDE4-33CF831DDDA3}"/>
    <hyperlink ref="D7" r:id="rId5" display="\\cclserver\DATA\P 2020\03 CR Projects\06-20-CR-002 MEDORE Tower\Construction Phase\" xr:uid="{97B42825-4410-42C7-94AA-6E9BFE1F36B6}"/>
  </hyperlinks>
  <pageMargins left="0.3" right="0.23" top="0.54" bottom="0.33" header="0.3" footer="0.21"/>
  <pageSetup paperSize="9" orientation="landscape" r:id="rId6"/>
  <headerFooter>
    <oddHeader>&amp;LDAILY WORK BRIEF&amp;CCCL GULF&amp;RR and S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F2ABD-55FF-4F13-AE33-D082161DE3FA}">
  <sheetPr codeName="Sheet1050"/>
  <dimension ref="A1:K13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29-11-22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x14ac:dyDescent="0.2">
      <c r="A3" s="8">
        <f t="shared" ref="A3:A8" ca="1" si="0">IFERROR(OFFSET(A3,-1,0)+1,1)</f>
        <v>1</v>
      </c>
      <c r="B3" s="9" t="s">
        <v>282</v>
      </c>
      <c r="C3" s="9" t="s">
        <v>13</v>
      </c>
      <c r="D3" s="17" t="str">
        <f t="shared" ref="D3:D8" si="1">B3</f>
        <v>Marsa Hotel ASGC</v>
      </c>
      <c r="E3" s="12" t="s">
        <v>34</v>
      </c>
      <c r="F3" s="12" t="s">
        <v>29</v>
      </c>
      <c r="G3" s="19" t="s">
        <v>370</v>
      </c>
      <c r="K3" s="5" t="s">
        <v>422</v>
      </c>
    </row>
    <row r="4" spans="1:11" x14ac:dyDescent="0.2">
      <c r="A4" s="8">
        <f t="shared" ca="1" si="0"/>
        <v>2</v>
      </c>
      <c r="B4" s="9" t="s">
        <v>297</v>
      </c>
      <c r="C4" s="9" t="s">
        <v>14</v>
      </c>
      <c r="D4" s="17" t="str">
        <f t="shared" si="1"/>
        <v>City of Lights</v>
      </c>
      <c r="E4" s="12" t="s">
        <v>48</v>
      </c>
      <c r="F4" s="12" t="s">
        <v>29</v>
      </c>
      <c r="G4" s="19" t="s">
        <v>372</v>
      </c>
      <c r="K4" s="5" t="s">
        <v>428</v>
      </c>
    </row>
    <row r="5" spans="1:11" ht="24" x14ac:dyDescent="0.2">
      <c r="A5" s="8">
        <f t="shared" ca="1" si="0"/>
        <v>3</v>
      </c>
      <c r="B5" s="9" t="s">
        <v>56</v>
      </c>
      <c r="C5" s="9" t="s">
        <v>14</v>
      </c>
      <c r="D5" s="17" t="str">
        <f t="shared" si="1"/>
        <v>KIZAD</v>
      </c>
      <c r="E5" s="12" t="s">
        <v>27</v>
      </c>
      <c r="F5" s="12" t="s">
        <v>2</v>
      </c>
      <c r="G5" s="19"/>
      <c r="K5" s="5" t="s">
        <v>430</v>
      </c>
    </row>
    <row r="6" spans="1:11" ht="24" x14ac:dyDescent="0.2">
      <c r="A6" s="8">
        <f t="shared" ca="1" si="0"/>
        <v>4</v>
      </c>
      <c r="B6" s="9" t="s">
        <v>38</v>
      </c>
      <c r="C6" s="9" t="s">
        <v>13</v>
      </c>
      <c r="D6" s="17" t="str">
        <f t="shared" si="1"/>
        <v>OPERATIONS</v>
      </c>
      <c r="E6" s="12" t="s">
        <v>34</v>
      </c>
      <c r="F6" s="12" t="s">
        <v>2</v>
      </c>
      <c r="G6" s="19"/>
      <c r="K6" s="5" t="s">
        <v>431</v>
      </c>
    </row>
    <row r="7" spans="1:11" x14ac:dyDescent="0.2">
      <c r="A7" s="8">
        <f t="shared" ca="1" si="0"/>
        <v>5</v>
      </c>
      <c r="B7" s="9" t="s">
        <v>281</v>
      </c>
      <c r="C7" s="9" t="s">
        <v>13</v>
      </c>
      <c r="D7" s="17" t="str">
        <f t="shared" si="1"/>
        <v>Profile Tower</v>
      </c>
      <c r="E7" s="12" t="s">
        <v>34</v>
      </c>
      <c r="F7" s="12" t="s">
        <v>29</v>
      </c>
      <c r="G7" s="19" t="s">
        <v>371</v>
      </c>
      <c r="K7" s="5" t="s">
        <v>432</v>
      </c>
    </row>
    <row r="8" spans="1:11" ht="24" x14ac:dyDescent="0.2">
      <c r="A8" s="8">
        <f t="shared" ca="1" si="0"/>
        <v>6</v>
      </c>
      <c r="B8" s="9" t="s">
        <v>343</v>
      </c>
      <c r="C8" s="9" t="s">
        <v>13</v>
      </c>
      <c r="D8" s="17" t="str">
        <f t="shared" si="1"/>
        <v>Nirvana Palm</v>
      </c>
      <c r="E8" s="12" t="s">
        <v>27</v>
      </c>
      <c r="F8" s="12" t="s">
        <v>2</v>
      </c>
      <c r="G8" s="19"/>
      <c r="K8" s="5" t="s">
        <v>420</v>
      </c>
    </row>
    <row r="9" spans="1:11" x14ac:dyDescent="0.2">
      <c r="K9" s="5" t="s">
        <v>420</v>
      </c>
    </row>
    <row r="10" spans="1:11" x14ac:dyDescent="0.2">
      <c r="K10" s="5" t="s">
        <v>420</v>
      </c>
    </row>
    <row r="11" spans="1:11" x14ac:dyDescent="0.2">
      <c r="K11" s="5" t="s">
        <v>420</v>
      </c>
    </row>
    <row r="12" spans="1:11" x14ac:dyDescent="0.2">
      <c r="K12" s="5" t="s">
        <v>420</v>
      </c>
    </row>
    <row r="13" spans="1:11" x14ac:dyDescent="0.2">
      <c r="K13" s="5" t="s">
        <v>420</v>
      </c>
    </row>
  </sheetData>
  <dataConsolidate link="1"/>
  <mergeCells count="1">
    <mergeCell ref="C1:F1"/>
  </mergeCells>
  <dataValidations count="4">
    <dataValidation type="list" allowBlank="1" showInputMessage="1" showErrorMessage="1" sqref="B3:B8" xr:uid="{4C5549B0-61FA-427F-A8B2-ADF46831BC19}">
      <formula1>OFFSET(PROJECT,0,0,COUNTA(PROJECT),1)</formula1>
    </dataValidation>
    <dataValidation type="list" allowBlank="1" showInputMessage="1" showErrorMessage="1" sqref="C3:C8" xr:uid="{D46E5323-41D8-47B9-AA76-7A6565EF0244}">
      <formula1>OFFSET(LOCATION,0,0,COUNTA(LOCATION),1)</formula1>
    </dataValidation>
    <dataValidation type="list" showInputMessage="1" showErrorMessage="1" sqref="F3:F8" xr:uid="{45547DE0-B861-408F-90B8-EDF1D28E9F59}">
      <formula1>OFFSET(STATUS,0,0,COUNTA(STATUS),1)</formula1>
    </dataValidation>
    <dataValidation type="list" showInputMessage="1" showErrorMessage="1" sqref="E3:E8" xr:uid="{114663A8-55D0-4F69-A6A7-F371B4A85D30}">
      <formula1>OFFSET(ACTIVITY,0,0,COUNTA(ACTIVITY),1)</formula1>
    </dataValidation>
  </dataValidations>
  <hyperlinks>
    <hyperlink ref="D3" r:id="rId1" display="\\cclserver\DATA\P 2020\03 CR Projects\06-21-CR-005 Marsa Al Arab\Construction phase" xr:uid="{383B9CB1-ABF2-4799-B8B5-1B4DB29BC686}"/>
    <hyperlink ref="D4" r:id="rId2" display="\\cclserver\DATA\P 2020\03 CR Projects\06-21-CR-014 Addax Tower (city of lights)\Construction Phase" xr:uid="{8BA88369-32DB-41D1-9708-5750D59FDE4A}"/>
    <hyperlink ref="D5" r:id="rId3" display="\\cclserver\DATA\P 2020\03 CR Projects\06-17-BU-018 NFPC Mega Plant\Construction Phase\Qtn" xr:uid="{72DFF66A-DFBE-45F8-9C5C-A7197DD3610D}"/>
    <hyperlink ref="D6" r:id="rId4" display="D:\OPERATIONS\2. CCL Prequalification R &amp; S\9. Consultant LIST + CCL Brochure 2022" xr:uid="{CD85E553-86DD-4EA6-AE67-C2DB97419F22}"/>
    <hyperlink ref="D7" r:id="rId5" display="\\cclserver\DATA\P 2020\01 Dubai\06-14-BU-004 Profile Residence\Construction Phase\CR" xr:uid="{6631CCB0-58E8-4D9D-9C8F-A0553A17F3A9}"/>
    <hyperlink ref="D8" r:id="rId6" display="\\cclserver\DATA\Q 2020\CCL STRENGTHENING\Dubai\2022\R1.5447.22 Nirvana @ Palm Jumeirah" xr:uid="{78E0A852-3D17-47C4-968A-7BEA6EC3BD17}"/>
  </hyperlinks>
  <pageMargins left="0.3" right="0.23" top="0.54" bottom="0.33" header="0.3" footer="0.21"/>
  <pageSetup paperSize="9" orientation="landscape" r:id="rId7"/>
  <headerFooter>
    <oddHeader>&amp;LDAILY WORK BRIEF&amp;CCCL GULF&amp;RR and S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50B3B-D7E8-4B16-873E-57CA6D07E764}">
  <sheetPr codeName="Sheet1049"/>
  <dimension ref="A1:K11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28-11-22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344</v>
      </c>
      <c r="C3" s="9" t="s">
        <v>13</v>
      </c>
      <c r="D3" s="17" t="str">
        <f>B3</f>
        <v>Saudi German Mirdiff</v>
      </c>
      <c r="E3" s="12" t="s">
        <v>41</v>
      </c>
      <c r="F3" s="12" t="s">
        <v>2</v>
      </c>
      <c r="G3" s="19" t="s">
        <v>369</v>
      </c>
      <c r="K3" s="5" t="s">
        <v>426</v>
      </c>
    </row>
    <row r="4" spans="1:11" ht="24" x14ac:dyDescent="0.2">
      <c r="A4" s="8">
        <f ca="1">IFERROR(OFFSET(A4,-1,0)+1,1)</f>
        <v>2</v>
      </c>
      <c r="B4" s="9" t="s">
        <v>282</v>
      </c>
      <c r="C4" s="9" t="s">
        <v>13</v>
      </c>
      <c r="D4" s="17" t="str">
        <f>B4</f>
        <v>Marsa Hotel ASGC</v>
      </c>
      <c r="E4" s="12" t="s">
        <v>34</v>
      </c>
      <c r="F4" s="12" t="s">
        <v>2</v>
      </c>
      <c r="G4" s="19"/>
      <c r="K4" s="5" t="s">
        <v>422</v>
      </c>
    </row>
    <row r="5" spans="1:11" ht="24" x14ac:dyDescent="0.2">
      <c r="A5" s="8">
        <f ca="1">IFERROR(OFFSET(A5,-1,0)+1,1)</f>
        <v>3</v>
      </c>
      <c r="B5" s="9" t="s">
        <v>56</v>
      </c>
      <c r="C5" s="9" t="s">
        <v>14</v>
      </c>
      <c r="D5" s="17" t="str">
        <f>B5</f>
        <v>KIZAD</v>
      </c>
      <c r="E5" s="12" t="s">
        <v>27</v>
      </c>
      <c r="F5" s="12" t="s">
        <v>2</v>
      </c>
      <c r="G5" s="19" t="s">
        <v>368</v>
      </c>
      <c r="K5" s="5" t="s">
        <v>430</v>
      </c>
    </row>
    <row r="6" spans="1:11" ht="24" x14ac:dyDescent="0.2">
      <c r="A6" s="8">
        <f ca="1">IFERROR(OFFSET(A6,-1,0)+1,1)</f>
        <v>4</v>
      </c>
      <c r="B6" s="9" t="s">
        <v>38</v>
      </c>
      <c r="C6" s="9" t="s">
        <v>13</v>
      </c>
      <c r="D6" s="17" t="str">
        <f>B6</f>
        <v>OPERATIONS</v>
      </c>
      <c r="E6" s="12" t="s">
        <v>34</v>
      </c>
      <c r="F6" s="12" t="s">
        <v>2</v>
      </c>
      <c r="G6" s="19" t="s">
        <v>367</v>
      </c>
      <c r="K6" s="5" t="s">
        <v>431</v>
      </c>
    </row>
    <row r="7" spans="1:11" ht="24" x14ac:dyDescent="0.2">
      <c r="A7" s="8">
        <f ca="1">IFERROR(OFFSET(A7,-1,0)+1,1)</f>
        <v>5</v>
      </c>
      <c r="B7" s="9" t="s">
        <v>281</v>
      </c>
      <c r="C7" s="9" t="s">
        <v>13</v>
      </c>
      <c r="D7" s="17" t="str">
        <f>B7</f>
        <v>Profile Tower</v>
      </c>
      <c r="E7" s="12" t="s">
        <v>34</v>
      </c>
      <c r="F7" s="12" t="s">
        <v>2</v>
      </c>
      <c r="G7" s="19"/>
      <c r="K7" s="5" t="s">
        <v>432</v>
      </c>
    </row>
    <row r="8" spans="1:11" x14ac:dyDescent="0.2">
      <c r="K8" s="5" t="s">
        <v>432</v>
      </c>
    </row>
    <row r="9" spans="1:11" x14ac:dyDescent="0.2">
      <c r="K9" s="5" t="s">
        <v>432</v>
      </c>
    </row>
    <row r="10" spans="1:11" x14ac:dyDescent="0.2">
      <c r="K10" s="5" t="s">
        <v>432</v>
      </c>
    </row>
    <row r="11" spans="1:11" x14ac:dyDescent="0.2">
      <c r="K11" s="5" t="s">
        <v>432</v>
      </c>
    </row>
  </sheetData>
  <dataConsolidate link="1"/>
  <mergeCells count="1">
    <mergeCell ref="C1:F1"/>
  </mergeCells>
  <dataValidations count="4">
    <dataValidation type="list" showInputMessage="1" showErrorMessage="1" sqref="E3:E7" xr:uid="{9ACCF5A1-9494-4787-AA7B-EB4437128288}">
      <formula1>OFFSET(ACTIVITY,0,0,COUNTA(ACTIVITY),1)</formula1>
    </dataValidation>
    <dataValidation type="list" showInputMessage="1" showErrorMessage="1" sqref="F3:F7" xr:uid="{5C1588DE-3E5C-4A63-9667-0D02FD36DAA0}">
      <formula1>OFFSET(STATUS,0,0,COUNTA(STATUS),1)</formula1>
    </dataValidation>
    <dataValidation type="list" allowBlank="1" showInputMessage="1" showErrorMessage="1" sqref="C3:C7" xr:uid="{56A0C2DD-E56C-4237-B285-A214529B72C1}">
      <formula1>OFFSET(LOCATION,0,0,COUNTA(LOCATION),1)</formula1>
    </dataValidation>
    <dataValidation type="list" allowBlank="1" showInputMessage="1" showErrorMessage="1" sqref="B3:B7" xr:uid="{D3B761C5-182D-42F8-8D09-A2F7A071571C}">
      <formula1>OFFSET(PROJECT,0,0,COUNTA(PROJECT),1)</formula1>
    </dataValidation>
  </dataValidations>
  <hyperlinks>
    <hyperlink ref="D3" r:id="rId1" display="\\cclserver\DATA\P 2020\03 CR Projects\06-22-CR-014 Saudi German Hospital Mirdif" xr:uid="{1F1EE362-D126-4664-9845-F46C42E42DEF}"/>
    <hyperlink ref="D4" r:id="rId2" display="\\cclserver\DATA\P 2020\03 CR Projects\06-21-CR-005 Marsa Al Arab\Construction phase" xr:uid="{7FD5A268-E4D7-49D2-97F7-9E1E5B0EA739}"/>
    <hyperlink ref="D5" r:id="rId3" display="\\cclserver\DATA\P 2020\03 CR Projects\06-17-BU-018 NFPC Mega Plant\Construction Phase\Qtn" xr:uid="{4F40B61F-27FC-4859-9575-DD7B1803BA59}"/>
    <hyperlink ref="D6" r:id="rId4" display="D:\OPERATIONS\2. CCL Prequalification R &amp; S\9. Consultant LIST + CCL Brochure 2022" xr:uid="{90CCC9E0-55FE-4DC6-97B3-2704D8E6C081}"/>
    <hyperlink ref="D7" r:id="rId5" display="\\cclserver\DATA\P 2020\01 Dubai\06-14-BU-004 Profile Residence\Construction Phase\CR" xr:uid="{2D0345F9-DD39-42A0-93AD-3F925EAB8F6E}"/>
  </hyperlinks>
  <pageMargins left="0.3" right="0.23" top="0.54" bottom="0.33" header="0.3" footer="0.21"/>
  <pageSetup paperSize="9" orientation="landscape" r:id="rId6"/>
  <headerFooter>
    <oddHeader>&amp;LDAILY WORK BRIEF&amp;CCCL GULF&amp;RR and S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8A2E-B8B6-451D-9233-A6FBE9737289}">
  <sheetPr codeName="Sheet1048"/>
  <dimension ref="A1:K11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27-11-22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344</v>
      </c>
      <c r="C3" s="9" t="s">
        <v>13</v>
      </c>
      <c r="D3" s="17" t="str">
        <f>B3</f>
        <v>Saudi German Mirdiff</v>
      </c>
      <c r="E3" s="12" t="s">
        <v>34</v>
      </c>
      <c r="F3" s="12" t="s">
        <v>2</v>
      </c>
      <c r="G3" s="19"/>
      <c r="K3" s="5" t="s">
        <v>426</v>
      </c>
    </row>
    <row r="4" spans="1:11" x14ac:dyDescent="0.2">
      <c r="A4" s="8">
        <f ca="1">IFERROR(OFFSET(A4,-1,0)+1,1)</f>
        <v>2</v>
      </c>
      <c r="B4" s="9" t="s">
        <v>362</v>
      </c>
      <c r="C4" s="9" t="s">
        <v>13</v>
      </c>
      <c r="D4" s="17" t="str">
        <f>B4</f>
        <v>Water Reservoir Hatta</v>
      </c>
      <c r="E4" s="12" t="s">
        <v>27</v>
      </c>
      <c r="F4" s="12" t="s">
        <v>29</v>
      </c>
      <c r="G4" s="19" t="s">
        <v>363</v>
      </c>
      <c r="K4" s="5" t="s">
        <v>433</v>
      </c>
    </row>
    <row r="5" spans="1:11" ht="24" x14ac:dyDescent="0.2">
      <c r="A5" s="8">
        <f ca="1">IFERROR(OFFSET(A5,-1,0)+1,1)</f>
        <v>3</v>
      </c>
      <c r="B5" s="9" t="s">
        <v>282</v>
      </c>
      <c r="C5" s="9" t="s">
        <v>13</v>
      </c>
      <c r="D5" s="17" t="str">
        <f>B5</f>
        <v>Marsa Hotel ASGC</v>
      </c>
      <c r="E5" s="12" t="s">
        <v>48</v>
      </c>
      <c r="F5" s="12" t="s">
        <v>2</v>
      </c>
      <c r="G5" s="19" t="s">
        <v>364</v>
      </c>
      <c r="K5" s="5" t="s">
        <v>422</v>
      </c>
    </row>
    <row r="6" spans="1:11" ht="24" x14ac:dyDescent="0.2">
      <c r="A6" s="8">
        <f ca="1">IFERROR(OFFSET(A6,-1,0)+1,1)</f>
        <v>4</v>
      </c>
      <c r="B6" s="9" t="s">
        <v>297</v>
      </c>
      <c r="C6" s="9" t="s">
        <v>14</v>
      </c>
      <c r="D6" s="17" t="str">
        <f>B6</f>
        <v>City of Lights</v>
      </c>
      <c r="E6" s="12" t="s">
        <v>48</v>
      </c>
      <c r="F6" s="12" t="s">
        <v>2</v>
      </c>
      <c r="G6" s="19"/>
      <c r="K6" s="5" t="s">
        <v>428</v>
      </c>
    </row>
    <row r="7" spans="1:11" ht="24" x14ac:dyDescent="0.2">
      <c r="A7" s="8">
        <f ca="1">IFERROR(OFFSET(A7,-1,0)+1,1)</f>
        <v>5</v>
      </c>
      <c r="B7" s="9" t="s">
        <v>56</v>
      </c>
      <c r="C7" s="9" t="s">
        <v>14</v>
      </c>
      <c r="D7" s="17" t="str">
        <f>B7</f>
        <v>KIZAD</v>
      </c>
      <c r="E7" s="12" t="s">
        <v>48</v>
      </c>
      <c r="F7" s="12" t="s">
        <v>2</v>
      </c>
      <c r="G7" s="19"/>
      <c r="K7" s="5" t="s">
        <v>430</v>
      </c>
    </row>
    <row r="8" spans="1:11" x14ac:dyDescent="0.2">
      <c r="K8" s="5" t="s">
        <v>430</v>
      </c>
    </row>
    <row r="9" spans="1:11" x14ac:dyDescent="0.2">
      <c r="K9" s="5" t="s">
        <v>430</v>
      </c>
    </row>
    <row r="10" spans="1:11" x14ac:dyDescent="0.2">
      <c r="K10" s="5" t="s">
        <v>430</v>
      </c>
    </row>
    <row r="11" spans="1:11" x14ac:dyDescent="0.2">
      <c r="K11" s="5" t="s">
        <v>430</v>
      </c>
    </row>
  </sheetData>
  <dataConsolidate link="1"/>
  <mergeCells count="1">
    <mergeCell ref="C1:F1"/>
  </mergeCells>
  <dataValidations count="4">
    <dataValidation type="list" allowBlank="1" showInputMessage="1" showErrorMessage="1" sqref="B3:B7" xr:uid="{98C1CFA8-A434-45B6-9D39-2CFE442E872A}">
      <formula1>OFFSET(PROJECT,0,0,COUNTA(PROJECT),1)</formula1>
    </dataValidation>
    <dataValidation type="list" allowBlank="1" showInputMessage="1" showErrorMessage="1" sqref="C3:C7" xr:uid="{105F316D-0CB9-458B-AE6F-AF540211CF20}">
      <formula1>OFFSET(LOCATION,0,0,COUNTA(LOCATION),1)</formula1>
    </dataValidation>
    <dataValidation type="list" showInputMessage="1" showErrorMessage="1" sqref="F3:F7" xr:uid="{331637CB-5B42-453F-96C5-23AE0408874A}">
      <formula1>OFFSET(STATUS,0,0,COUNTA(STATUS),1)</formula1>
    </dataValidation>
    <dataValidation type="list" showInputMessage="1" showErrorMessage="1" sqref="E3:E7" xr:uid="{53131DC4-1842-4CA5-9D7D-D36A2626B378}">
      <formula1>OFFSET(ACTIVITY,0,0,COUNTA(ACTIVITY),1)</formula1>
    </dataValidation>
  </dataValidations>
  <hyperlinks>
    <hyperlink ref="D3" r:id="rId1" display="\\cclserver\DATA\P 2020\03 CR Projects\06-22-CR-014 Saudi German Hospital Mirdif" xr:uid="{44222B59-9912-4E2E-B951-A5A3FC2F9A24}"/>
    <hyperlink ref="D4" r:id="rId2" display="\\cclserver\DATA\Q 2020\CCL STRENGTHENING\Dubai\2022\R1.5490.22 Water Resevoir" xr:uid="{44F2CAEC-6238-4392-A924-16306B867AA3}"/>
    <hyperlink ref="D5" r:id="rId3" display="\\cclserver\DATA\P 2020\03 CR Projects\06-21-CR-005 Marsa Al Arab\Construction phase" xr:uid="{349DD803-E0BE-418C-8190-5F4AAA6ADF93}"/>
    <hyperlink ref="D6" r:id="rId4" display="\\cclserver\DATA\P 2020\03 CR Projects\06-21-CR-014 Addax Tower (city of lights)\Construction Phase" xr:uid="{40104468-47F9-4F18-A6F5-C8548C5938F0}"/>
    <hyperlink ref="D7" r:id="rId5" display="\\cclserver\DATA\P 2020\03 CR Projects\06-17-BU-018 NFPC Mega Plant\Construction Phase\Qtn" xr:uid="{2D3E0B53-BB38-4D2F-A0EE-EFA615209F5F}"/>
  </hyperlinks>
  <pageMargins left="0.3" right="0.23" top="0.54" bottom="0.33" header="0.3" footer="0.21"/>
  <pageSetup paperSize="9" orientation="landscape" r:id="rId6"/>
  <headerFooter>
    <oddHeader>&amp;LDAILY WORK BRIEF&amp;CCCL GULF&amp;RR and S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671C-EF9A-426F-8082-387B28EEAB97}">
  <sheetPr codeName="Sheet1047"/>
  <dimension ref="A1:K7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25-11-22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x14ac:dyDescent="0.2">
      <c r="A3" s="8">
        <f ca="1">IFERROR(OFFSET(A3,-1,0)+1,1)</f>
        <v>1</v>
      </c>
      <c r="B3" s="9" t="s">
        <v>297</v>
      </c>
      <c r="C3" s="9" t="s">
        <v>14</v>
      </c>
      <c r="D3" s="17" t="str">
        <f>B3</f>
        <v>City of Lights</v>
      </c>
      <c r="E3" s="12" t="s">
        <v>48</v>
      </c>
      <c r="F3" s="12" t="s">
        <v>29</v>
      </c>
      <c r="G3" s="19" t="s">
        <v>366</v>
      </c>
      <c r="K3" s="5" t="s">
        <v>428</v>
      </c>
    </row>
    <row r="4" spans="1:11" ht="24" x14ac:dyDescent="0.2">
      <c r="A4" s="8">
        <f ca="1">IFERROR(OFFSET(A4,-1,0)+1,1)</f>
        <v>2</v>
      </c>
      <c r="B4" s="9" t="s">
        <v>344</v>
      </c>
      <c r="C4" s="9" t="s">
        <v>13</v>
      </c>
      <c r="D4" s="17" t="str">
        <f>B4</f>
        <v>Saudi German Mirdiff</v>
      </c>
      <c r="E4" s="12" t="s">
        <v>34</v>
      </c>
      <c r="F4" s="12" t="s">
        <v>2</v>
      </c>
      <c r="G4" s="19"/>
      <c r="K4" s="5" t="s">
        <v>426</v>
      </c>
    </row>
    <row r="5" spans="1:11" x14ac:dyDescent="0.2">
      <c r="A5" s="8">
        <f ca="1">IFERROR(OFFSET(A5,-1,0)+1,1)</f>
        <v>3</v>
      </c>
      <c r="B5" s="9" t="s">
        <v>321</v>
      </c>
      <c r="C5" s="9" t="s">
        <v>13</v>
      </c>
      <c r="D5" s="17" t="str">
        <f>B5</f>
        <v>Park Avenue 3 Azizi</v>
      </c>
      <c r="E5" s="12" t="s">
        <v>48</v>
      </c>
      <c r="F5" s="12" t="s">
        <v>29</v>
      </c>
      <c r="G5" s="19" t="s">
        <v>365</v>
      </c>
      <c r="K5" s="5" t="s">
        <v>423</v>
      </c>
    </row>
    <row r="6" spans="1:11" x14ac:dyDescent="0.2">
      <c r="K6" s="5" t="s">
        <v>423</v>
      </c>
    </row>
    <row r="7" spans="1:11" x14ac:dyDescent="0.2">
      <c r="K7" s="5" t="s">
        <v>423</v>
      </c>
    </row>
  </sheetData>
  <dataConsolidate link="1"/>
  <mergeCells count="1">
    <mergeCell ref="C1:F1"/>
  </mergeCells>
  <dataValidations count="4">
    <dataValidation type="list" showInputMessage="1" showErrorMessage="1" sqref="E3:E5" xr:uid="{36EF39E2-183D-450A-9CD9-70EABEAE6BCD}">
      <formula1>OFFSET(ACTIVITY,0,0,COUNTA(ACTIVITY),1)</formula1>
    </dataValidation>
    <dataValidation type="list" showInputMessage="1" showErrorMessage="1" sqref="F3:F5" xr:uid="{416A0307-60AB-4118-B043-F2C98CFCD315}">
      <formula1>OFFSET(STATUS,0,0,COUNTA(STATUS),1)</formula1>
    </dataValidation>
    <dataValidation type="list" allowBlank="1" showInputMessage="1" showErrorMessage="1" sqref="C3:C5" xr:uid="{2A48EAB4-6508-457D-ADA4-5E28CE33039B}">
      <formula1>OFFSET(LOCATION,0,0,COUNTA(LOCATION),1)</formula1>
    </dataValidation>
    <dataValidation type="list" allowBlank="1" showInputMessage="1" showErrorMessage="1" sqref="B3:B5" xr:uid="{FD402A8C-50B0-46E5-B758-A527315B5E00}">
      <formula1>OFFSET(PROJECT,0,0,COUNTA(PROJECT),1)</formula1>
    </dataValidation>
  </dataValidations>
  <hyperlinks>
    <hyperlink ref="D3" r:id="rId1" display="\\cclserver\DATA\P 2020\03 CR Projects\06-21-CR-014 Addax Tower (city of lights)\Construction Phase" xr:uid="{C8F15687-8AC4-4AFF-95C7-12E590808AF0}"/>
    <hyperlink ref="D4" r:id="rId2" display="\\cclserver\DATA\P 2020\03 CR Projects\06-22-CR-014 Saudi German Hospital Mirdif" xr:uid="{5C3303D5-616C-4DA4-9E7B-7FA16B15CEC1}"/>
    <hyperlink ref="D5" r:id="rId3" display="\\cclserver\DATA\P 2020\03 CR Projects\06-22-CR-011 Park Avenue 3 (Azizi)" xr:uid="{83905D44-4EA9-4740-824E-1A1BA4284A3A}"/>
  </hyperlinks>
  <pageMargins left="0.3" right="0.23" top="0.54" bottom="0.33" header="0.3" footer="0.21"/>
  <pageSetup paperSize="9" orientation="landscape" r:id="rId4"/>
  <headerFooter>
    <oddHeader>&amp;LDAILY WORK BRIEF&amp;CCCL GULF&amp;RR and S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06D8F-E856-4FC4-A5BD-34015028A06A}">
  <sheetPr codeName="Sheet1046"/>
  <dimension ref="A1:K9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24-11-22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ca="1">IFERROR(OFFSET(A3,-1,0)+1,1)</f>
        <v>1</v>
      </c>
      <c r="B3" s="9" t="s">
        <v>297</v>
      </c>
      <c r="C3" s="9" t="s">
        <v>14</v>
      </c>
      <c r="D3" s="17" t="str">
        <f>B3</f>
        <v>City of Lights</v>
      </c>
      <c r="E3" s="12" t="s">
        <v>48</v>
      </c>
      <c r="F3" s="12" t="s">
        <v>2</v>
      </c>
      <c r="G3" s="19" t="s">
        <v>361</v>
      </c>
      <c r="K3" s="5" t="s">
        <v>428</v>
      </c>
    </row>
    <row r="4" spans="1:11" x14ac:dyDescent="0.2">
      <c r="A4" s="8">
        <f ca="1">IFERROR(OFFSET(A4,-1,0)+1,1)</f>
        <v>2</v>
      </c>
      <c r="B4" s="9" t="s">
        <v>164</v>
      </c>
      <c r="C4" s="9" t="s">
        <v>13</v>
      </c>
      <c r="D4" s="17" t="str">
        <f>B4</f>
        <v>ME DO RE JLT</v>
      </c>
      <c r="E4" s="12" t="s">
        <v>34</v>
      </c>
      <c r="F4" s="12" t="s">
        <v>29</v>
      </c>
      <c r="G4" s="19" t="s">
        <v>357</v>
      </c>
      <c r="K4" s="5" t="s">
        <v>425</v>
      </c>
    </row>
    <row r="5" spans="1:11" ht="24" x14ac:dyDescent="0.2">
      <c r="A5" s="8">
        <f ca="1">IFERROR(OFFSET(A5,-1,0)+1,1)</f>
        <v>3</v>
      </c>
      <c r="B5" s="9" t="s">
        <v>344</v>
      </c>
      <c r="C5" s="9" t="s">
        <v>13</v>
      </c>
      <c r="D5" s="17" t="str">
        <f>B5</f>
        <v>Saudi German Mirdiff</v>
      </c>
      <c r="E5" s="12" t="s">
        <v>34</v>
      </c>
      <c r="F5" s="12" t="s">
        <v>2</v>
      </c>
      <c r="G5" s="19"/>
      <c r="K5" s="5" t="s">
        <v>426</v>
      </c>
    </row>
    <row r="6" spans="1:11" ht="24" x14ac:dyDescent="0.2">
      <c r="A6" s="8">
        <f ca="1">IFERROR(OFFSET(A6,-1,0)+1,1)</f>
        <v>4</v>
      </c>
      <c r="B6" s="9" t="s">
        <v>321</v>
      </c>
      <c r="C6" s="9" t="s">
        <v>13</v>
      </c>
      <c r="D6" s="17" t="str">
        <f>B6</f>
        <v>Park Avenue 3 Azizi</v>
      </c>
      <c r="E6" s="12" t="s">
        <v>48</v>
      </c>
      <c r="F6" s="12" t="s">
        <v>2</v>
      </c>
      <c r="G6" s="19" t="s">
        <v>360</v>
      </c>
      <c r="K6" s="5" t="s">
        <v>423</v>
      </c>
    </row>
    <row r="7" spans="1:11" x14ac:dyDescent="0.2">
      <c r="K7" s="5" t="s">
        <v>423</v>
      </c>
    </row>
    <row r="8" spans="1:11" x14ac:dyDescent="0.2">
      <c r="K8" s="5" t="s">
        <v>423</v>
      </c>
    </row>
    <row r="9" spans="1:11" x14ac:dyDescent="0.2">
      <c r="K9" s="5" t="s">
        <v>423</v>
      </c>
    </row>
  </sheetData>
  <dataConsolidate link="1"/>
  <mergeCells count="1">
    <mergeCell ref="C1:F1"/>
  </mergeCells>
  <dataValidations count="4">
    <dataValidation type="list" allowBlank="1" showInputMessage="1" showErrorMessage="1" sqref="B3:B6" xr:uid="{89333D95-24F8-4C35-8082-72324F5E5C26}">
      <formula1>OFFSET(PROJECT,0,0,COUNTA(PROJECT),1)</formula1>
    </dataValidation>
    <dataValidation type="list" allowBlank="1" showInputMessage="1" showErrorMessage="1" sqref="C3:C6" xr:uid="{407792A7-C591-4701-B2D9-34961871D578}">
      <formula1>OFFSET(LOCATION,0,0,COUNTA(LOCATION),1)</formula1>
    </dataValidation>
    <dataValidation type="list" showInputMessage="1" showErrorMessage="1" sqref="F3:F6" xr:uid="{96066D22-3E43-42F6-9860-B5E391BE3509}">
      <formula1>OFFSET(STATUS,0,0,COUNTA(STATUS),1)</formula1>
    </dataValidation>
    <dataValidation type="list" showInputMessage="1" showErrorMessage="1" sqref="E3:E6" xr:uid="{A3CAA5A3-9E8A-498B-A5F3-0609F4E0D4AE}">
      <formula1>OFFSET(ACTIVITY,0,0,COUNTA(ACTIVITY),1)</formula1>
    </dataValidation>
  </dataValidations>
  <hyperlinks>
    <hyperlink ref="D3" r:id="rId1" display="\\cclserver\DATA\P 2020\03 CR Projects\06-21-CR-014 Addax Tower (city of lights)\Construction Phase" xr:uid="{9903D8AE-6A2D-4DE2-B19E-68F09B15E7F6}"/>
    <hyperlink ref="D4" r:id="rId2" display="\\cclserver\DATA\P 2020\03 CR Projects\06-20-CR-002 MEDORE Tower\Construction Phase\" xr:uid="{7A74D67E-8C6B-44B2-A94C-E7D39B5C8455}"/>
    <hyperlink ref="D5" r:id="rId3" display="\\cclserver\DATA\P 2020\03 CR Projects\06-22-CR-014 Saudi German Hospital Mirdif" xr:uid="{CDDFB826-05DA-48D2-824C-1C33A43653E9}"/>
    <hyperlink ref="D6" r:id="rId4" display="\\cclserver\DATA\P 2020\03 CR Projects\06-22-CR-011 Park Avenue 3 (Azizi)" xr:uid="{22164EEC-9CC9-4C42-96A3-30F6F03F484F}"/>
  </hyperlinks>
  <pageMargins left="0.3" right="0.23" top="0.54" bottom="0.33" header="0.3" footer="0.21"/>
  <pageSetup paperSize="9" orientation="landscape" r:id="rId5"/>
  <headerFooter>
    <oddHeader>&amp;LDAILY WORK BRIEF&amp;CCCL GULF&amp;RR and S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C59CE-2589-40F9-800B-6AE4627A7235}">
  <sheetPr codeName="Sheet1045"/>
  <dimension ref="A1:K15"/>
  <sheetViews>
    <sheetView zoomScaleNormal="100" workbookViewId="0">
      <selection activeCell="K1" sqref="K1:K1048576"/>
    </sheetView>
  </sheetViews>
  <sheetFormatPr defaultRowHeight="14.25" x14ac:dyDescent="0.2"/>
  <cols>
    <col min="1" max="1" width="6.28515625" style="5" bestFit="1" customWidth="1"/>
    <col min="2" max="2" width="26.140625" style="5" customWidth="1"/>
    <col min="3" max="3" width="12" style="5" customWidth="1"/>
    <col min="4" max="4" width="31.28515625" style="18" customWidth="1"/>
    <col min="5" max="5" width="21.140625" style="5" bestFit="1" customWidth="1"/>
    <col min="6" max="6" width="12.28515625" style="5" customWidth="1"/>
    <col min="7" max="7" width="62.140625" style="5" customWidth="1"/>
    <col min="8" max="8" width="10.42578125" style="5" bestFit="1" customWidth="1"/>
    <col min="9" max="16384" width="9.140625" style="5"/>
  </cols>
  <sheetData>
    <row r="1" spans="1:11" ht="18.75" customHeight="1" x14ac:dyDescent="0.2">
      <c r="A1" s="10" t="s">
        <v>1</v>
      </c>
      <c r="B1" s="11" t="str">
        <f ca="1">RIGHT(CELL("filename",A1),LEN(CELL("filename",A1))-FIND("]",CELL("filename",A1)))</f>
        <v>23-11-22</v>
      </c>
      <c r="C1" s="31"/>
      <c r="D1" s="32"/>
      <c r="E1" s="32"/>
      <c r="F1" s="33"/>
    </row>
    <row r="2" spans="1:11" ht="18.75" customHeight="1" x14ac:dyDescent="0.2">
      <c r="A2" s="13" t="s">
        <v>0</v>
      </c>
      <c r="B2" s="13" t="s">
        <v>6</v>
      </c>
      <c r="C2" s="13" t="s">
        <v>11</v>
      </c>
      <c r="D2" s="13" t="s">
        <v>7</v>
      </c>
      <c r="E2" s="14" t="s">
        <v>3</v>
      </c>
      <c r="F2" s="14" t="s">
        <v>5</v>
      </c>
      <c r="G2" s="14" t="s">
        <v>54</v>
      </c>
    </row>
    <row r="3" spans="1:11" ht="24" x14ac:dyDescent="0.2">
      <c r="A3" s="8">
        <f t="shared" ref="A3:A9" ca="1" si="0">IFERROR(OFFSET(A3,-1,0)+1,1)</f>
        <v>1</v>
      </c>
      <c r="B3" s="9" t="s">
        <v>297</v>
      </c>
      <c r="C3" s="9" t="s">
        <v>14</v>
      </c>
      <c r="D3" s="17" t="str">
        <f t="shared" ref="D3:D9" si="1">B3</f>
        <v>City of Lights</v>
      </c>
      <c r="E3" s="12" t="s">
        <v>48</v>
      </c>
      <c r="F3" s="12" t="s">
        <v>2</v>
      </c>
      <c r="G3" s="19"/>
      <c r="K3" s="5" t="s">
        <v>428</v>
      </c>
    </row>
    <row r="4" spans="1:11" x14ac:dyDescent="0.2">
      <c r="A4" s="8">
        <f t="shared" ca="1" si="0"/>
        <v>2</v>
      </c>
      <c r="B4" s="9" t="s">
        <v>164</v>
      </c>
      <c r="C4" s="9" t="s">
        <v>13</v>
      </c>
      <c r="D4" s="17" t="str">
        <f t="shared" si="1"/>
        <v>ME DO RE JLT</v>
      </c>
      <c r="E4" s="12" t="s">
        <v>34</v>
      </c>
      <c r="F4" s="12" t="s">
        <v>29</v>
      </c>
      <c r="G4" s="19" t="s">
        <v>352</v>
      </c>
      <c r="K4" s="5" t="s">
        <v>425</v>
      </c>
    </row>
    <row r="5" spans="1:11" ht="24" x14ac:dyDescent="0.2">
      <c r="A5" s="8">
        <f t="shared" ca="1" si="0"/>
        <v>3</v>
      </c>
      <c r="B5" s="9" t="s">
        <v>344</v>
      </c>
      <c r="C5" s="9" t="s">
        <v>13</v>
      </c>
      <c r="D5" s="17" t="str">
        <f t="shared" si="1"/>
        <v>Saudi German Mirdiff</v>
      </c>
      <c r="E5" s="12" t="s">
        <v>34</v>
      </c>
      <c r="F5" s="12" t="s">
        <v>2</v>
      </c>
      <c r="G5" s="19"/>
      <c r="K5" s="5" t="s">
        <v>426</v>
      </c>
    </row>
    <row r="6" spans="1:11" x14ac:dyDescent="0.2">
      <c r="A6" s="8">
        <f t="shared" ca="1" si="0"/>
        <v>4</v>
      </c>
      <c r="B6" s="9" t="s">
        <v>321</v>
      </c>
      <c r="C6" s="9" t="s">
        <v>13</v>
      </c>
      <c r="D6" s="17" t="str">
        <f t="shared" si="1"/>
        <v>Park Avenue 3 Azizi</v>
      </c>
      <c r="E6" s="12" t="s">
        <v>48</v>
      </c>
      <c r="F6" s="12" t="s">
        <v>29</v>
      </c>
      <c r="G6" s="19" t="s">
        <v>353</v>
      </c>
      <c r="K6" s="5" t="s">
        <v>423</v>
      </c>
    </row>
    <row r="7" spans="1:11" x14ac:dyDescent="0.2">
      <c r="A7" s="8">
        <f t="shared" ca="1" si="0"/>
        <v>5</v>
      </c>
      <c r="B7" s="9" t="s">
        <v>354</v>
      </c>
      <c r="C7" s="9" t="s">
        <v>13</v>
      </c>
      <c r="D7" s="17" t="str">
        <f t="shared" si="1"/>
        <v>Roof Restaurant</v>
      </c>
      <c r="E7" s="12" t="s">
        <v>27</v>
      </c>
      <c r="F7" s="12" t="s">
        <v>29</v>
      </c>
      <c r="G7" s="19" t="s">
        <v>356</v>
      </c>
      <c r="K7" s="5" t="s">
        <v>434</v>
      </c>
    </row>
    <row r="8" spans="1:11" ht="24" x14ac:dyDescent="0.2">
      <c r="A8" s="8">
        <f t="shared" ca="1" si="0"/>
        <v>6</v>
      </c>
      <c r="B8" s="9" t="s">
        <v>355</v>
      </c>
      <c r="C8" s="9" t="s">
        <v>13</v>
      </c>
      <c r="D8" s="17" t="str">
        <f t="shared" si="1"/>
        <v>DIB Dubai</v>
      </c>
      <c r="E8" s="12" t="s">
        <v>27</v>
      </c>
      <c r="F8" s="12" t="s">
        <v>2</v>
      </c>
      <c r="G8" s="19" t="s">
        <v>358</v>
      </c>
      <c r="K8" s="5" t="s">
        <v>435</v>
      </c>
    </row>
    <row r="9" spans="1:11" x14ac:dyDescent="0.2">
      <c r="A9" s="8">
        <f t="shared" ca="1" si="0"/>
        <v>7</v>
      </c>
      <c r="B9" s="9" t="s">
        <v>315</v>
      </c>
      <c r="C9" s="9" t="s">
        <v>13</v>
      </c>
      <c r="D9" s="17" t="str">
        <f t="shared" si="1"/>
        <v>Mosque Ghayathi</v>
      </c>
      <c r="E9" s="12" t="s">
        <v>113</v>
      </c>
      <c r="F9" s="12" t="s">
        <v>29</v>
      </c>
      <c r="G9" s="19" t="s">
        <v>359</v>
      </c>
      <c r="K9" s="5" t="s">
        <v>436</v>
      </c>
    </row>
    <row r="10" spans="1:11" x14ac:dyDescent="0.2">
      <c r="K10" s="5" t="s">
        <v>436</v>
      </c>
    </row>
    <row r="11" spans="1:11" x14ac:dyDescent="0.2">
      <c r="K11" s="5" t="s">
        <v>436</v>
      </c>
    </row>
    <row r="12" spans="1:11" x14ac:dyDescent="0.2">
      <c r="K12" s="5" t="s">
        <v>436</v>
      </c>
    </row>
    <row r="13" spans="1:11" x14ac:dyDescent="0.2">
      <c r="K13" s="5" t="s">
        <v>436</v>
      </c>
    </row>
    <row r="14" spans="1:11" x14ac:dyDescent="0.2">
      <c r="K14" s="5" t="s">
        <v>436</v>
      </c>
    </row>
    <row r="15" spans="1:11" x14ac:dyDescent="0.2">
      <c r="K15" s="5" t="s">
        <v>436</v>
      </c>
    </row>
  </sheetData>
  <dataConsolidate link="1"/>
  <mergeCells count="1">
    <mergeCell ref="C1:F1"/>
  </mergeCells>
  <dataValidations count="4">
    <dataValidation type="list" showInputMessage="1" showErrorMessage="1" sqref="E3:E9" xr:uid="{2DC30EFD-0BE2-4FE1-B97A-EED325CECDE2}">
      <formula1>OFFSET(ACTIVITY,0,0,COUNTA(ACTIVITY),1)</formula1>
    </dataValidation>
    <dataValidation type="list" showInputMessage="1" showErrorMessage="1" sqref="F3:F9" xr:uid="{8E1C2B9E-A73A-4B44-AEF9-F3E221EF58B4}">
      <formula1>OFFSET(STATUS,0,0,COUNTA(STATUS),1)</formula1>
    </dataValidation>
    <dataValidation type="list" allowBlank="1" showInputMessage="1" showErrorMessage="1" sqref="C3:C9" xr:uid="{C043F2BD-7154-4B73-8855-533D9952A61D}">
      <formula1>OFFSET(LOCATION,0,0,COUNTA(LOCATION),1)</formula1>
    </dataValidation>
    <dataValidation type="list" allowBlank="1" showInputMessage="1" showErrorMessage="1" sqref="B3:B9" xr:uid="{F00C0FBF-2667-496C-B42C-72F756442BE7}">
      <formula1>OFFSET(PROJECT,0,0,COUNTA(PROJECT),1)</formula1>
    </dataValidation>
  </dataValidations>
  <hyperlinks>
    <hyperlink ref="D3" r:id="rId1" display="\\cclserver\DATA\P 2020\03 CR Projects\06-21-CR-014 Addax Tower (city of lights)\Construction Phase" xr:uid="{54B7AE8B-51F9-4725-92B6-8DB0623C7157}"/>
    <hyperlink ref="D4" r:id="rId2" display="\\cclserver\DATA\P 2020\03 CR Projects\06-20-CR-002 MEDORE Tower\Construction Phase\" xr:uid="{784949A4-0536-4563-8B87-00D52ECBF83F}"/>
    <hyperlink ref="D5" r:id="rId3" display="\\cclserver\DATA\P 2020\03 CR Projects\06-22-CR-014 Saudi German Hospital Mirdif" xr:uid="{0F44DC1E-21C7-4EF7-AB51-7FB761858BC3}"/>
    <hyperlink ref="D6" r:id="rId4" display="\\cclserver\DATA\P 2020\03 CR Projects\06-22-CR-011 Park Avenue 3 (Azizi)" xr:uid="{A6285C52-683F-4B65-87FE-03E2398C52B9}"/>
    <hyperlink ref="D7" r:id="rId5" display="\\cclserver\DATA\Q 2020\CCL STRENGTHENING\Dubai\2022\R1.5489.22 Bank G+2 @ Mirdiff" xr:uid="{D6F8F186-9984-445A-8BC0-85F527F8781A}"/>
    <hyperlink ref="D8" r:id="rId6" display="\\cclserver\DATA\Q 2020\CCL STRENGTHENING\Dubai\2022\R1.5487.22 DIB" xr:uid="{39E3F7DE-8C66-4BF3-943C-FCAD1B97A770}"/>
    <hyperlink ref="D9" r:id="rId7" display="\\cclserver\DATA\P 2020\03 CR Projects\06-22-CR-006 Prayer hall Al-Quoz (Towers United)" xr:uid="{2F6BD819-3A8A-4BB8-8A4A-46BDA1BAE3BB}"/>
  </hyperlinks>
  <pageMargins left="0.3" right="0.23" top="0.54" bottom="0.33" header="0.3" footer="0.21"/>
  <pageSetup paperSize="9" orientation="landscape" r:id="rId8"/>
  <headerFooter>
    <oddHeader>&amp;LDAILY WORK BRIEF&amp;CCCL GULF&amp;RR and S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06767E-D935-454C-9511-554F360A70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Data</vt:lpstr>
      <vt:lpstr>Summary</vt:lpstr>
      <vt:lpstr>30-12-22</vt:lpstr>
      <vt:lpstr>29-12-22</vt:lpstr>
      <vt:lpstr>28-12-22</vt:lpstr>
      <vt:lpstr>27-12-22</vt:lpstr>
      <vt:lpstr>26-12-22</vt:lpstr>
      <vt:lpstr>25-12-22</vt:lpstr>
      <vt:lpstr>29-11-22</vt:lpstr>
      <vt:lpstr>28-11-22</vt:lpstr>
      <vt:lpstr>27-11-22</vt:lpstr>
      <vt:lpstr>25-11-22</vt:lpstr>
      <vt:lpstr>24-11-22</vt:lpstr>
      <vt:lpstr>23-11-22</vt:lpstr>
      <vt:lpstr>ACTIVITY</vt:lpstr>
      <vt:lpstr>LOCATION</vt:lpstr>
      <vt:lpstr>PROJECT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2022-09-25T08:47:47Z</cp:lastPrinted>
  <dcterms:created xsi:type="dcterms:W3CDTF">2018-06-26T07:14:30Z</dcterms:created>
  <dcterms:modified xsi:type="dcterms:W3CDTF">2023-05-21T14:24:50Z</dcterms:modified>
</cp:coreProperties>
</file>