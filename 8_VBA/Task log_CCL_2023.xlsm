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hidePivotFieldList="1" defaultThemeVersion="124226"/>
  <mc:AlternateContent xmlns:mc="http://schemas.openxmlformats.org/markup-compatibility/2006">
    <mc:Choice Requires="x15">
      <x15ac:absPath xmlns:x15ac="http://schemas.microsoft.com/office/spreadsheetml/2010/11/ac" url="C:\Users\SYED\Desktop\"/>
    </mc:Choice>
  </mc:AlternateContent>
  <xr:revisionPtr revIDLastSave="0" documentId="13_ncr:1_{9D08BB11-B237-4EC1-91C1-AD5251C6A8E1}" xr6:coauthVersionLast="47" xr6:coauthVersionMax="47" xr10:uidLastSave="{00000000-0000-0000-0000-000000000000}"/>
  <bookViews>
    <workbookView xWindow="-120" yWindow="-120" windowWidth="25440" windowHeight="15390" tabRatio="649" firstSheet="1" activeTab="9" xr2:uid="{00000000-000D-0000-FFFF-FFFF00000000}"/>
  </bookViews>
  <sheets>
    <sheet name="ref_summary" sheetId="1525" state="hidden" r:id="rId1"/>
    <sheet name="Common" sheetId="533" r:id="rId2"/>
    <sheet name="YEAR - 2023" sheetId="2166" r:id="rId3"/>
    <sheet name="Summary" sheetId="1709" r:id="rId4"/>
    <sheet name="Follow-up" sheetId="1694" state="hidden" r:id="rId5"/>
    <sheet name="DB" sheetId="1523" state="hidden" r:id="rId6"/>
    <sheet name="Space" sheetId="1701" state="hidden" r:id="rId7"/>
    <sheet name="Skills" sheetId="1746" r:id="rId8"/>
    <sheet name="Data" sheetId="205" r:id="rId9"/>
    <sheet name="2023-15-05" sheetId="2165" r:id="rId10"/>
    <sheet name="14-05-23" sheetId="2164" r:id="rId11"/>
    <sheet name="11-05-23" sheetId="2163" r:id="rId12"/>
    <sheet name="10-05-23" sheetId="2162" r:id="rId13"/>
    <sheet name="09-05-23" sheetId="2161" r:id="rId14"/>
    <sheet name="08-05-23" sheetId="2160" r:id="rId15"/>
    <sheet name="07-05-23" sheetId="2159" r:id="rId16"/>
    <sheet name="04-05-23" sheetId="2158" r:id="rId17"/>
    <sheet name="03-05-23" sheetId="2157" r:id="rId18"/>
    <sheet name="02-05-23" sheetId="2156" r:id="rId19"/>
    <sheet name="01-05-23" sheetId="2155" r:id="rId20"/>
  </sheets>
  <definedNames>
    <definedName name="_xlnm._FilterDatabase" localSheetId="19" hidden="1">'01-05-23'!$B$2:$F$2</definedName>
    <definedName name="_xlnm._FilterDatabase" localSheetId="18" hidden="1">'02-05-23'!$B$2:$F$2</definedName>
    <definedName name="_xlnm._FilterDatabase" localSheetId="17" hidden="1">'03-05-23'!$B$2:$F$2</definedName>
    <definedName name="_xlnm._FilterDatabase" localSheetId="16" hidden="1">'04-05-23'!$B$2:$F$2</definedName>
    <definedName name="_xlnm._FilterDatabase" localSheetId="15" hidden="1">'07-05-23'!$B$2:$F$2</definedName>
    <definedName name="_xlnm._FilterDatabase" localSheetId="14" hidden="1">'08-05-23'!$B$2:$F$2</definedName>
    <definedName name="_xlnm._FilterDatabase" localSheetId="13" hidden="1">'09-05-23'!$B$2:$F$2</definedName>
    <definedName name="_xlnm._FilterDatabase" localSheetId="12" hidden="1">'10-05-23'!$B$2:$F$2</definedName>
    <definedName name="_xlnm._FilterDatabase" localSheetId="11" hidden="1">'11-05-23'!$B$2:$F$2</definedName>
    <definedName name="_xlnm._FilterDatabase" localSheetId="10" hidden="1">'14-05-23'!$B$2:$F$2</definedName>
    <definedName name="_xlnm._FilterDatabase" localSheetId="9" hidden="1">'2023-15-05'!$B$2:$F$2</definedName>
    <definedName name="_xlnm._FilterDatabase" localSheetId="1" hidden="1">Common!#REF!</definedName>
    <definedName name="_xlnm._FilterDatabase" localSheetId="8" hidden="1">Data!$B$2:$D$4</definedName>
    <definedName name="_xlnm._FilterDatabase" localSheetId="2" hidden="1">'YEAR - 2023'!$B$5:$G$721</definedName>
    <definedName name="ACTIVITY">Data!$C$3:$C$35</definedName>
    <definedName name="LOCATION">Data!$F$3:$F$23</definedName>
    <definedName name="PROJECT">Data!$E$3:$E$350</definedName>
    <definedName name="STATUS">Data!$D$3:$D$23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65" l="1"/>
  <c r="D4" i="2165"/>
  <c r="D8" i="2165"/>
  <c r="D7" i="2165"/>
  <c r="D6" i="2165"/>
  <c r="D5" i="2165"/>
  <c r="D3" i="2165"/>
  <c r="A3" i="2165"/>
  <c r="B1" i="2165"/>
  <c r="D9" i="2164"/>
  <c r="A4" i="2165" l="1"/>
  <c r="A5" i="2165" s="1"/>
  <c r="A6" i="2165" s="1"/>
  <c r="A7" i="2165" s="1"/>
  <c r="A8" i="2165" s="1"/>
  <c r="A9" i="2165" s="1"/>
  <c r="D8" i="2164"/>
  <c r="D7" i="2164"/>
  <c r="D6" i="2164" l="1"/>
  <c r="D5" i="2164" l="1"/>
  <c r="D4" i="2164"/>
  <c r="D3" i="2164"/>
  <c r="A3" i="2164"/>
  <c r="A4" i="2164" s="1"/>
  <c r="A5" i="2164" s="1"/>
  <c r="A6" i="2164" s="1"/>
  <c r="A7" i="2164" s="1"/>
  <c r="A8" i="2164" s="1"/>
  <c r="A9" i="2164" s="1"/>
  <c r="B1" i="2164"/>
  <c r="D5" i="2163"/>
  <c r="D4" i="2163" l="1"/>
  <c r="D3" i="2163"/>
  <c r="A3" i="2163"/>
  <c r="A4" i="2163" s="1"/>
  <c r="A5" i="2163" s="1"/>
  <c r="B1" i="2163"/>
  <c r="D6" i="2162"/>
  <c r="D5" i="2162" l="1"/>
  <c r="D4" i="2162"/>
  <c r="D3" i="2162"/>
  <c r="A3" i="2162"/>
  <c r="A4" i="2162" s="1"/>
  <c r="A5" i="2162" s="1"/>
  <c r="A6" i="2162" s="1"/>
  <c r="B1" i="2162"/>
  <c r="D9" i="2161"/>
  <c r="D8" i="2161"/>
  <c r="D5" i="2161" l="1"/>
  <c r="D7" i="2161" l="1"/>
  <c r="D7" i="2160"/>
  <c r="D6" i="2161"/>
  <c r="D4" i="2161" l="1"/>
  <c r="D3" i="2161"/>
  <c r="A3" i="2161"/>
  <c r="A4" i="2161" s="1"/>
  <c r="B1" i="2161"/>
  <c r="D6" i="2160"/>
  <c r="D5" i="2160"/>
  <c r="D4" i="2160"/>
  <c r="D3" i="2160"/>
  <c r="A3" i="2160"/>
  <c r="A4" i="2160" s="1"/>
  <c r="A5" i="2160" s="1"/>
  <c r="A6" i="2160" s="1"/>
  <c r="A7" i="2160" s="1"/>
  <c r="B1" i="2160"/>
  <c r="A5" i="2161" l="1"/>
  <c r="A6" i="2161" s="1"/>
  <c r="A7" i="2161" s="1"/>
  <c r="A8" i="2161" s="1"/>
  <c r="A9" i="2161" s="1"/>
  <c r="D8" i="2159"/>
  <c r="D7" i="2159"/>
  <c r="D6" i="2159" l="1"/>
  <c r="D5" i="2159" l="1"/>
  <c r="D4" i="2159"/>
  <c r="D3" i="2159"/>
  <c r="A3" i="2159"/>
  <c r="A4" i="2159" s="1"/>
  <c r="A5" i="2159" s="1"/>
  <c r="A6" i="2159" s="1"/>
  <c r="A7" i="2159" s="1"/>
  <c r="A8" i="2159" s="1"/>
  <c r="B1" i="2159"/>
  <c r="D5" i="2158"/>
  <c r="D4" i="2158"/>
  <c r="D3" i="2158"/>
  <c r="A3" i="2158"/>
  <c r="A4" i="2158" s="1"/>
  <c r="A5" i="2158" s="1"/>
  <c r="B1" i="2158"/>
  <c r="D7" i="2157"/>
  <c r="D6" i="2157"/>
  <c r="D5" i="2157" l="1"/>
  <c r="D4" i="2157"/>
  <c r="D3" i="2157"/>
  <c r="A3" i="2157"/>
  <c r="A4" i="2157" s="1"/>
  <c r="A5" i="2157" s="1"/>
  <c r="A6" i="2157" s="1"/>
  <c r="A7" i="2157" s="1"/>
  <c r="B1" i="2157"/>
  <c r="D6" i="2156"/>
  <c r="D8" i="2156"/>
  <c r="D7" i="2156"/>
  <c r="D5" i="2156"/>
  <c r="D4" i="2156"/>
  <c r="D3" i="2156"/>
  <c r="A3" i="2156"/>
  <c r="A4" i="2156" s="1"/>
  <c r="A5" i="2156" s="1"/>
  <c r="A6" i="2156" s="1"/>
  <c r="B1" i="2156"/>
  <c r="D7" i="2155"/>
  <c r="D6" i="2155"/>
  <c r="D5" i="2155"/>
  <c r="D4" i="2155"/>
  <c r="D3" i="2155"/>
  <c r="A3" i="2155"/>
  <c r="A4" i="2155" s="1"/>
  <c r="A5" i="2155" s="1"/>
  <c r="A6" i="2155" s="1"/>
  <c r="A7" i="2155" s="1"/>
  <c r="B1" i="2155"/>
  <c r="A7" i="2156" l="1"/>
  <c r="A8" i="2156" s="1"/>
  <c r="J279" i="205" l="1"/>
  <c r="J278" i="205"/>
  <c r="J280" i="205" s="1"/>
  <c r="J277" i="205"/>
  <c r="K8" i="1701" l="1"/>
  <c r="M8" i="1701"/>
  <c r="M7" i="1701"/>
  <c r="N7" i="1701" s="1"/>
  <c r="K7" i="1701"/>
  <c r="K6" i="1701"/>
  <c r="K9" i="1701" l="1"/>
  <c r="E17" i="1701" l="1"/>
  <c r="D17" i="1701"/>
  <c r="E19" i="1701" l="1"/>
  <c r="J224" i="205" l="1"/>
  <c r="K224" i="205" s="1"/>
  <c r="K225" i="205" s="1"/>
  <c r="K226" i="205" s="1"/>
  <c r="L219" i="205" l="1"/>
  <c r="L218" i="205"/>
  <c r="L217" i="205"/>
  <c r="L216" i="205"/>
  <c r="L220" i="205" l="1"/>
  <c r="B4" i="1523" l="1"/>
  <c r="B5" i="1523" s="1"/>
  <c r="B6" i="1523" s="1"/>
  <c r="B7" i="1523" s="1"/>
  <c r="B8" i="1523" s="1"/>
  <c r="B9" i="1523" s="1"/>
  <c r="B10" i="1523" s="1"/>
  <c r="B11" i="1523" s="1"/>
  <c r="B12" i="1523" s="1"/>
  <c r="B13" i="1523" s="1"/>
  <c r="B14" i="1523" s="1"/>
  <c r="B15" i="1523" s="1"/>
  <c r="B16" i="1523" s="1"/>
  <c r="B17" i="1523" s="1"/>
  <c r="B18" i="1523" s="1"/>
  <c r="B19" i="1523" s="1"/>
  <c r="B20" i="1523" s="1"/>
  <c r="B21" i="1523" s="1"/>
  <c r="B22" i="1523" s="1"/>
  <c r="B23" i="1523" s="1"/>
  <c r="B24" i="1523" s="1"/>
  <c r="B25" i="1523" s="1"/>
  <c r="B26" i="1523" s="1"/>
  <c r="B27" i="1523" s="1"/>
  <c r="B28" i="1523" s="1"/>
  <c r="B29" i="1523" s="1"/>
  <c r="B30" i="1523" s="1"/>
  <c r="B31" i="1523" s="1"/>
  <c r="B32" i="1523" s="1"/>
  <c r="B33" i="1523" s="1"/>
  <c r="B34" i="1523" s="1"/>
  <c r="B35" i="1523" s="1"/>
  <c r="B36" i="1523" s="1"/>
  <c r="B37" i="1523" s="1"/>
  <c r="B38" i="1523" s="1"/>
  <c r="B39" i="1523" s="1"/>
  <c r="B40" i="1523" s="1"/>
  <c r="B41" i="1523" s="1"/>
  <c r="B42" i="1523" s="1"/>
  <c r="B43" i="1523" s="1"/>
  <c r="B44" i="1523" s="1"/>
  <c r="B45" i="1523" s="1"/>
  <c r="B46" i="1523" s="1"/>
  <c r="B47" i="1523" s="1"/>
  <c r="B48" i="1523" s="1"/>
  <c r="B49" i="1523" s="1"/>
  <c r="B50" i="1523" s="1"/>
  <c r="B51" i="1523" s="1"/>
  <c r="B52" i="1523" s="1"/>
  <c r="B53" i="1523" s="1"/>
  <c r="B54" i="1523" s="1"/>
  <c r="B55" i="1523" s="1"/>
  <c r="B56" i="1523" s="1"/>
  <c r="B57" i="1523" s="1"/>
  <c r="B58" i="1523" s="1"/>
  <c r="B59" i="1523" s="1"/>
  <c r="B60" i="1523" s="1"/>
  <c r="B61" i="1523" s="1"/>
  <c r="B62" i="1523" s="1"/>
  <c r="B63" i="1523" s="1"/>
  <c r="B64" i="1523" s="1"/>
  <c r="B65" i="1523" s="1"/>
  <c r="B66" i="1523" s="1"/>
  <c r="B67" i="1523" s="1"/>
  <c r="B68" i="1523" s="1"/>
  <c r="B69" i="1523" s="1"/>
  <c r="B70" i="1523" s="1"/>
  <c r="B71" i="1523" s="1"/>
  <c r="B72" i="1523" s="1"/>
  <c r="B73" i="1523" s="1"/>
  <c r="B74" i="1523" s="1"/>
  <c r="B75" i="1523" s="1"/>
  <c r="B76" i="1523" s="1"/>
  <c r="B77" i="1523" s="1"/>
  <c r="B78" i="1523" s="1"/>
  <c r="B79" i="1523" s="1"/>
  <c r="B80" i="1523" s="1"/>
  <c r="B81" i="1523" s="1"/>
  <c r="B82" i="1523" s="1"/>
  <c r="B83" i="1523" s="1"/>
  <c r="B84" i="1523" s="1"/>
  <c r="B85" i="1523" s="1"/>
  <c r="B86" i="1523" s="1"/>
  <c r="B87" i="1523" s="1"/>
  <c r="B88" i="1523" s="1"/>
  <c r="B89" i="1523" s="1"/>
  <c r="B90" i="1523" s="1"/>
  <c r="B91" i="1523" s="1"/>
  <c r="B92" i="1523" s="1"/>
  <c r="B93" i="1523" s="1"/>
  <c r="B94" i="1523" s="1"/>
  <c r="B95" i="1523" s="1"/>
  <c r="B96" i="1523" s="1"/>
  <c r="B97" i="1523" s="1"/>
  <c r="B98" i="1523" s="1"/>
  <c r="B99" i="1523" s="1"/>
  <c r="B100" i="1523" s="1"/>
  <c r="B101" i="1523" s="1"/>
  <c r="B102" i="1523" s="1"/>
  <c r="B103" i="1523" s="1"/>
  <c r="B104" i="1523" s="1"/>
  <c r="B105" i="1523" s="1"/>
  <c r="B106" i="1523" s="1"/>
  <c r="B107" i="1523" s="1"/>
  <c r="B108" i="1523" s="1"/>
  <c r="B109" i="1523" s="1"/>
  <c r="B110" i="1523" s="1"/>
  <c r="B111" i="1523" s="1"/>
  <c r="B112" i="1523" s="1"/>
  <c r="B113" i="1523" s="1"/>
  <c r="B114" i="1523" s="1"/>
  <c r="B115" i="1523" s="1"/>
  <c r="B116" i="1523" s="1"/>
  <c r="B117" i="1523" s="1"/>
  <c r="B118" i="1523" s="1"/>
  <c r="B119" i="1523" s="1"/>
  <c r="B120" i="1523" s="1"/>
  <c r="B121" i="1523" s="1"/>
  <c r="B122" i="1523" s="1"/>
  <c r="B123" i="1523" s="1"/>
  <c r="B124" i="1523" s="1"/>
  <c r="B125" i="1523" s="1"/>
  <c r="B126" i="1523" s="1"/>
  <c r="B127" i="1523" s="1"/>
  <c r="B128" i="1523" s="1"/>
  <c r="B129" i="1523" s="1"/>
  <c r="B130" i="1523" s="1"/>
  <c r="B131" i="1523" s="1"/>
  <c r="B132" i="1523" s="1"/>
  <c r="B133" i="1523" s="1"/>
  <c r="B134" i="1523" s="1"/>
  <c r="B135" i="1523" s="1"/>
  <c r="B136" i="1523" s="1"/>
  <c r="B137" i="1523" s="1"/>
  <c r="B138" i="1523" s="1"/>
  <c r="B139" i="1523" s="1"/>
  <c r="B140" i="1523" s="1"/>
  <c r="B141" i="1523" s="1"/>
  <c r="B142" i="1523" s="1"/>
  <c r="B143" i="1523" s="1"/>
  <c r="B144" i="1523" s="1"/>
  <c r="B145" i="1523" s="1"/>
  <c r="B146" i="1523" s="1"/>
  <c r="B147" i="1523" s="1"/>
  <c r="B148" i="1523" s="1"/>
  <c r="B149" i="1523" s="1"/>
  <c r="B150" i="1523" s="1"/>
  <c r="B151" i="1523" s="1"/>
  <c r="B152" i="1523" s="1"/>
  <c r="B153" i="1523" s="1"/>
  <c r="B154" i="1523" s="1"/>
  <c r="B155" i="1523" s="1"/>
  <c r="B156" i="1523" s="1"/>
  <c r="B157" i="1523" s="1"/>
  <c r="B158" i="1523" s="1"/>
  <c r="B159" i="1523" s="1"/>
  <c r="B160" i="1523" s="1"/>
  <c r="B161" i="1523" s="1"/>
  <c r="B162" i="1523" s="1"/>
  <c r="B163" i="1523" s="1"/>
  <c r="B164" i="1523" s="1"/>
  <c r="B165" i="1523" s="1"/>
  <c r="B166" i="1523" s="1"/>
  <c r="B167" i="1523" s="1"/>
  <c r="B168" i="1523" s="1"/>
  <c r="B169" i="1523" s="1"/>
  <c r="B170" i="1523" s="1"/>
  <c r="B171" i="1523" s="1"/>
  <c r="B172" i="1523" s="1"/>
  <c r="B173" i="1523" s="1"/>
  <c r="B174" i="1523" s="1"/>
  <c r="B175" i="1523" s="1"/>
  <c r="B176" i="1523" s="1"/>
  <c r="B177" i="1523" s="1"/>
  <c r="B178" i="1523" s="1"/>
  <c r="B179" i="1523" s="1"/>
  <c r="B180" i="1523" s="1"/>
  <c r="B181" i="1523" s="1"/>
  <c r="B182" i="1523" s="1"/>
  <c r="B183" i="1523" s="1"/>
  <c r="B184" i="1523" s="1"/>
  <c r="B185" i="1523" s="1"/>
  <c r="B186" i="1523" s="1"/>
  <c r="B187" i="1523" s="1"/>
  <c r="B188" i="1523" s="1"/>
  <c r="B189" i="1523" s="1"/>
  <c r="B190" i="1523" s="1"/>
  <c r="B191" i="1523" s="1"/>
  <c r="B192" i="1523" s="1"/>
  <c r="B193" i="1523" s="1"/>
  <c r="B194" i="1523" s="1"/>
  <c r="B195" i="1523" s="1"/>
  <c r="B196" i="1523" s="1"/>
  <c r="B197" i="1523" s="1"/>
  <c r="B198" i="1523" s="1"/>
  <c r="B199" i="1523" s="1"/>
  <c r="B200" i="1523" s="1"/>
  <c r="B201" i="1523" s="1"/>
  <c r="B202" i="1523" s="1"/>
  <c r="B203" i="1523" s="1"/>
  <c r="B204" i="1523" s="1"/>
  <c r="B205" i="1523" s="1"/>
  <c r="B206" i="1523" s="1"/>
  <c r="B207" i="1523" s="1"/>
  <c r="B208" i="1523" s="1"/>
  <c r="B209" i="1523" s="1"/>
  <c r="B210" i="1523" s="1"/>
  <c r="B211" i="1523" s="1"/>
  <c r="B212" i="1523" s="1"/>
  <c r="B213" i="1523" s="1"/>
  <c r="B214" i="1523" s="1"/>
  <c r="B215" i="1523" s="1"/>
  <c r="B216" i="1523" s="1"/>
  <c r="B217" i="1523" s="1"/>
  <c r="B218" i="1523" s="1"/>
  <c r="B219" i="1523" s="1"/>
  <c r="B220" i="1523" s="1"/>
  <c r="B221" i="1523" s="1"/>
  <c r="B222" i="1523" s="1"/>
  <c r="B223" i="1523" s="1"/>
  <c r="B224" i="1523" s="1"/>
  <c r="B225" i="1523" s="1"/>
  <c r="B226" i="1523" s="1"/>
  <c r="B227" i="1523" s="1"/>
  <c r="B228" i="1523" s="1"/>
  <c r="B229" i="1523" s="1"/>
  <c r="B230" i="1523" s="1"/>
  <c r="B231" i="1523" s="1"/>
  <c r="B232" i="1523" s="1"/>
  <c r="B233" i="1523" s="1"/>
  <c r="B234" i="1523" s="1"/>
  <c r="B235" i="1523" s="1"/>
  <c r="B236" i="1523" s="1"/>
  <c r="B237" i="1523" s="1"/>
  <c r="B238" i="1523" s="1"/>
  <c r="B239" i="1523" s="1"/>
  <c r="B240" i="1523" s="1"/>
  <c r="B241" i="1523" s="1"/>
  <c r="B242" i="1523" s="1"/>
  <c r="B243" i="1523" s="1"/>
  <c r="B244" i="1523" s="1"/>
  <c r="B245" i="1523" s="1"/>
  <c r="B246" i="1523" s="1"/>
  <c r="B247" i="1523" s="1"/>
  <c r="B248" i="1523" s="1"/>
  <c r="B249" i="1523" s="1"/>
  <c r="B250" i="1523" s="1"/>
  <c r="B251" i="1523" s="1"/>
  <c r="B252" i="1523" s="1"/>
  <c r="B253" i="1523" s="1"/>
  <c r="B254" i="1523" s="1"/>
  <c r="B255" i="1523" s="1"/>
  <c r="B256" i="1523" s="1"/>
  <c r="B257" i="1523" s="1"/>
  <c r="B258" i="1523" s="1"/>
  <c r="B259" i="1523" s="1"/>
  <c r="B260" i="1523" s="1"/>
  <c r="B261" i="1523" s="1"/>
  <c r="B262" i="1523" s="1"/>
  <c r="B263" i="1523" s="1"/>
  <c r="B264" i="1523" s="1"/>
  <c r="B265" i="1523" s="1"/>
  <c r="B266" i="1523" s="1"/>
  <c r="B267" i="1523" s="1"/>
  <c r="B268" i="1523" s="1"/>
  <c r="B269" i="1523" s="1"/>
  <c r="B270" i="1523" s="1"/>
  <c r="B271" i="1523" s="1"/>
  <c r="B272" i="1523" s="1"/>
  <c r="B273" i="1523" s="1"/>
  <c r="B274" i="1523" s="1"/>
  <c r="B275" i="1523" s="1"/>
  <c r="B276" i="1523" s="1"/>
  <c r="B277" i="1523" s="1"/>
  <c r="B278" i="1523" s="1"/>
  <c r="B279" i="1523" s="1"/>
  <c r="B280" i="1523" s="1"/>
  <c r="B281" i="1523" s="1"/>
  <c r="B282" i="1523" s="1"/>
  <c r="B283" i="1523" s="1"/>
  <c r="B284" i="1523" s="1"/>
  <c r="B285" i="1523" s="1"/>
  <c r="B286" i="1523" s="1"/>
  <c r="B287" i="1523" s="1"/>
  <c r="B288" i="1523" s="1"/>
  <c r="B289" i="1523" s="1"/>
  <c r="B290" i="1523" s="1"/>
  <c r="B291" i="1523" s="1"/>
  <c r="B292" i="1523" s="1"/>
  <c r="B293" i="1523" s="1"/>
  <c r="B294" i="1523" s="1"/>
  <c r="B295" i="1523" s="1"/>
  <c r="B296" i="1523" s="1"/>
  <c r="B297" i="1523" s="1"/>
  <c r="B298" i="1523" s="1"/>
  <c r="B299" i="1523" s="1"/>
  <c r="B300" i="1523" s="1"/>
  <c r="B301" i="1523" s="1"/>
  <c r="B302" i="1523" s="1"/>
  <c r="B303" i="1523" s="1"/>
  <c r="B304" i="1523" s="1"/>
  <c r="B305" i="1523" s="1"/>
  <c r="B306" i="1523" s="1"/>
  <c r="B307" i="1523" s="1"/>
  <c r="B308" i="1523" s="1"/>
  <c r="B309" i="1523" s="1"/>
  <c r="B310" i="1523" s="1"/>
  <c r="B311" i="1523" s="1"/>
  <c r="B312" i="1523" s="1"/>
  <c r="B313" i="1523" s="1"/>
  <c r="B314" i="1523" s="1"/>
  <c r="B315" i="1523" s="1"/>
  <c r="B316" i="1523" s="1"/>
  <c r="B317" i="1523" s="1"/>
  <c r="B318" i="1523" s="1"/>
  <c r="B319" i="1523" s="1"/>
  <c r="B320" i="1523" s="1"/>
  <c r="B321" i="1523" s="1"/>
  <c r="B322" i="1523" s="1"/>
  <c r="B323" i="1523" s="1"/>
  <c r="B324" i="1523" s="1"/>
  <c r="B325" i="1523" s="1"/>
  <c r="B326" i="1523" s="1"/>
  <c r="B327" i="1523" s="1"/>
  <c r="B328" i="1523" s="1"/>
  <c r="B329" i="1523" s="1"/>
  <c r="B330" i="1523" s="1"/>
  <c r="B331" i="1523" s="1"/>
  <c r="B332" i="1523" s="1"/>
  <c r="B333" i="1523" s="1"/>
  <c r="B334" i="1523" s="1"/>
  <c r="B335" i="1523" s="1"/>
  <c r="B336" i="1523" s="1"/>
  <c r="B337" i="1523" s="1"/>
  <c r="B338" i="1523" s="1"/>
  <c r="B339" i="1523" s="1"/>
  <c r="B340" i="1523" s="1"/>
  <c r="B341" i="1523" s="1"/>
  <c r="B342" i="1523" s="1"/>
  <c r="B343" i="1523" s="1"/>
  <c r="B344" i="1523" s="1"/>
  <c r="B345" i="1523" s="1"/>
  <c r="B346" i="1523" s="1"/>
  <c r="B347" i="1523" s="1"/>
  <c r="B348" i="1523" s="1"/>
  <c r="B349" i="1523" s="1"/>
  <c r="B350" i="1523" s="1"/>
  <c r="B351" i="1523" s="1"/>
  <c r="B352" i="1523" s="1"/>
  <c r="B353" i="1523" s="1"/>
  <c r="B354" i="1523" s="1"/>
  <c r="B355" i="1523" s="1"/>
  <c r="B356" i="1523" s="1"/>
  <c r="B357" i="1523" s="1"/>
  <c r="B358" i="1523" s="1"/>
  <c r="B359" i="1523" s="1"/>
  <c r="B360" i="1523" s="1"/>
  <c r="B361" i="1523" s="1"/>
  <c r="B362" i="1523" s="1"/>
  <c r="B363" i="1523" s="1"/>
  <c r="B364" i="1523" s="1"/>
  <c r="B365" i="1523" s="1"/>
  <c r="B366" i="1523" s="1"/>
  <c r="B367" i="1523" s="1"/>
  <c r="B368" i="1523" s="1"/>
  <c r="B369" i="1523" s="1"/>
  <c r="B370" i="1523" s="1"/>
  <c r="B371" i="1523" s="1"/>
  <c r="B372" i="1523" s="1"/>
  <c r="B373" i="1523" s="1"/>
  <c r="B374" i="1523" s="1"/>
  <c r="B375" i="1523" s="1"/>
  <c r="B376" i="1523" s="1"/>
  <c r="B377" i="1523" s="1"/>
  <c r="B378" i="1523" s="1"/>
  <c r="B379" i="1523" s="1"/>
  <c r="B380" i="1523" s="1"/>
  <c r="B381" i="1523" s="1"/>
  <c r="B382" i="1523" s="1"/>
  <c r="B383" i="1523" s="1"/>
  <c r="B384" i="1523" s="1"/>
  <c r="B385" i="1523" s="1"/>
  <c r="B386" i="1523" s="1"/>
  <c r="B387" i="1523" s="1"/>
  <c r="B388" i="1523" s="1"/>
  <c r="B389" i="1523" s="1"/>
  <c r="B390" i="1523" s="1"/>
  <c r="B391" i="1523" s="1"/>
  <c r="B392" i="1523" s="1"/>
  <c r="B393" i="1523" s="1"/>
  <c r="B394" i="1523" s="1"/>
  <c r="B395" i="1523" s="1"/>
  <c r="B396" i="1523" s="1"/>
  <c r="B397" i="1523" s="1"/>
  <c r="B398" i="1523" s="1"/>
  <c r="B399" i="1523" s="1"/>
  <c r="B400" i="1523" s="1"/>
  <c r="B401" i="1523" s="1"/>
  <c r="B402" i="1523" s="1"/>
  <c r="B403" i="1523" s="1"/>
  <c r="B404" i="1523" s="1"/>
  <c r="B405" i="1523" s="1"/>
  <c r="B406" i="1523" s="1"/>
  <c r="B407" i="1523" s="1"/>
  <c r="B408" i="1523" s="1"/>
  <c r="B409" i="1523" s="1"/>
  <c r="B410" i="1523" s="1"/>
  <c r="B411" i="1523" s="1"/>
  <c r="B412" i="1523" s="1"/>
  <c r="B413" i="1523" s="1"/>
  <c r="B414" i="1523" s="1"/>
  <c r="B415" i="1523" s="1"/>
  <c r="B416" i="1523" s="1"/>
  <c r="B417" i="1523" s="1"/>
  <c r="B418" i="1523" s="1"/>
  <c r="B419" i="1523" s="1"/>
  <c r="B420" i="1523" s="1"/>
  <c r="B421" i="1523" s="1"/>
  <c r="B422" i="1523" s="1"/>
  <c r="B423" i="1523" s="1"/>
  <c r="B424" i="1523" s="1"/>
  <c r="B425" i="1523" s="1"/>
  <c r="B426" i="1523" s="1"/>
  <c r="B427" i="1523" s="1"/>
  <c r="B428" i="1523" s="1"/>
  <c r="B429" i="1523" s="1"/>
  <c r="B430" i="1523" s="1"/>
  <c r="B431" i="1523" s="1"/>
  <c r="B432" i="1523" s="1"/>
  <c r="B433" i="1523" s="1"/>
  <c r="B434" i="1523" s="1"/>
  <c r="B435" i="1523" s="1"/>
  <c r="B436" i="1523" s="1"/>
  <c r="B437" i="1523" s="1"/>
  <c r="B438" i="1523" s="1"/>
  <c r="B439" i="1523" s="1"/>
  <c r="B440" i="1523" s="1"/>
  <c r="B441" i="1523" s="1"/>
  <c r="B442" i="1523" s="1"/>
  <c r="B443" i="1523" s="1"/>
  <c r="B444" i="1523" s="1"/>
  <c r="B445" i="1523" s="1"/>
  <c r="B446" i="1523" s="1"/>
  <c r="B447" i="1523" s="1"/>
  <c r="B448" i="1523" s="1"/>
  <c r="B449" i="1523" s="1"/>
  <c r="B450" i="1523" s="1"/>
  <c r="B451" i="1523" s="1"/>
  <c r="B452" i="1523" s="1"/>
  <c r="B453" i="1523" s="1"/>
  <c r="B454" i="1523" s="1"/>
  <c r="B455" i="1523" s="1"/>
  <c r="B456" i="1523" s="1"/>
  <c r="B457" i="1523" s="1"/>
  <c r="B458" i="1523" s="1"/>
  <c r="B459" i="1523" s="1"/>
  <c r="B460" i="1523" s="1"/>
  <c r="B461" i="1523" s="1"/>
  <c r="B462" i="1523" s="1"/>
  <c r="B463" i="1523" s="1"/>
  <c r="B464" i="1523" s="1"/>
  <c r="B465" i="1523" s="1"/>
  <c r="B466" i="1523" s="1"/>
  <c r="B467" i="1523" s="1"/>
  <c r="B468" i="1523" s="1"/>
  <c r="B469" i="1523" s="1"/>
  <c r="B470" i="1523" s="1"/>
  <c r="B471" i="1523" s="1"/>
  <c r="B472" i="1523" s="1"/>
  <c r="B473" i="1523" s="1"/>
  <c r="B474" i="1523" s="1"/>
  <c r="B475" i="1523" s="1"/>
  <c r="B476" i="1523" s="1"/>
  <c r="B477" i="1523" s="1"/>
  <c r="B478" i="1523" s="1"/>
  <c r="B479" i="1523" s="1"/>
  <c r="B480" i="1523" s="1"/>
  <c r="B481" i="1523" s="1"/>
  <c r="B482" i="1523" s="1"/>
  <c r="B483" i="1523" s="1"/>
  <c r="B484" i="1523" s="1"/>
  <c r="B485" i="1523" s="1"/>
  <c r="B486" i="1523" s="1"/>
  <c r="B487" i="1523" s="1"/>
  <c r="B488" i="1523" s="1"/>
  <c r="B489" i="1523" s="1"/>
  <c r="B490" i="1523" s="1"/>
  <c r="B491" i="1523" s="1"/>
  <c r="B492" i="1523" s="1"/>
  <c r="B493" i="1523" s="1"/>
  <c r="B494" i="1523" s="1"/>
  <c r="B495" i="1523" s="1"/>
  <c r="B496" i="1523" s="1"/>
  <c r="B497" i="1523" s="1"/>
  <c r="B498" i="1523" s="1"/>
  <c r="B499" i="1523" s="1"/>
  <c r="B500" i="1523" s="1"/>
  <c r="B501" i="1523" s="1"/>
  <c r="B502" i="1523" s="1"/>
  <c r="B503" i="1523" s="1"/>
  <c r="B504" i="1523" s="1"/>
  <c r="B505" i="1523" s="1"/>
  <c r="B506" i="1523" s="1"/>
  <c r="B507" i="1523" s="1"/>
  <c r="B508" i="1523" s="1"/>
  <c r="B509" i="1523" s="1"/>
  <c r="B510" i="1523" s="1"/>
  <c r="B511" i="1523" s="1"/>
  <c r="B512" i="1523" s="1"/>
  <c r="B513" i="1523" s="1"/>
  <c r="B514" i="1523" s="1"/>
  <c r="B515" i="1523" s="1"/>
  <c r="B516" i="1523" s="1"/>
  <c r="B517" i="1523" s="1"/>
  <c r="B518" i="1523" s="1"/>
  <c r="B519" i="1523" s="1"/>
  <c r="B520" i="1523" s="1"/>
  <c r="B521" i="1523" s="1"/>
  <c r="B522" i="1523" s="1"/>
  <c r="B523" i="1523" s="1"/>
  <c r="B524" i="1523" s="1"/>
  <c r="B525" i="1523" s="1"/>
  <c r="B526" i="1523" s="1"/>
  <c r="B527" i="1523" s="1"/>
  <c r="B528" i="1523" s="1"/>
  <c r="B529" i="1523" s="1"/>
  <c r="B530" i="1523" s="1"/>
  <c r="B531" i="1523" s="1"/>
  <c r="B532" i="1523" s="1"/>
  <c r="B533" i="1523" s="1"/>
  <c r="B534" i="1523" s="1"/>
  <c r="B535" i="1523" s="1"/>
  <c r="B536" i="1523" s="1"/>
  <c r="B537" i="1523" s="1"/>
  <c r="B538" i="1523" s="1"/>
  <c r="B539" i="1523" s="1"/>
  <c r="B540" i="1523" s="1"/>
  <c r="B541" i="1523" s="1"/>
  <c r="B542" i="1523" s="1"/>
  <c r="B543" i="1523" s="1"/>
  <c r="B544" i="1523" s="1"/>
  <c r="B545" i="1523" s="1"/>
  <c r="B546" i="1523" s="1"/>
  <c r="B547" i="1523" s="1"/>
  <c r="B548" i="1523" s="1"/>
  <c r="B549" i="1523" s="1"/>
  <c r="B550" i="1523" s="1"/>
  <c r="B551" i="1523" s="1"/>
  <c r="B552" i="1523" s="1"/>
  <c r="B553" i="1523" s="1"/>
  <c r="B554" i="1523" s="1"/>
  <c r="B555" i="1523" s="1"/>
  <c r="B556" i="1523" s="1"/>
  <c r="B557" i="1523" s="1"/>
  <c r="B558" i="1523" s="1"/>
  <c r="B559" i="1523" s="1"/>
  <c r="B560" i="1523" s="1"/>
  <c r="B561" i="1523" s="1"/>
  <c r="B562" i="1523" s="1"/>
  <c r="B563" i="1523" s="1"/>
  <c r="B564" i="1523" s="1"/>
  <c r="B565" i="1523" s="1"/>
  <c r="B566" i="1523" s="1"/>
  <c r="B567" i="1523" s="1"/>
  <c r="B568" i="1523" s="1"/>
  <c r="B569" i="1523" s="1"/>
  <c r="B570" i="1523" s="1"/>
  <c r="B571" i="1523" s="1"/>
  <c r="B572" i="1523" s="1"/>
  <c r="B573" i="1523" s="1"/>
  <c r="B574" i="1523" s="1"/>
  <c r="B575" i="1523" s="1"/>
  <c r="B576" i="1523" s="1"/>
  <c r="B577" i="1523" s="1"/>
  <c r="B578" i="1523" s="1"/>
  <c r="B579" i="1523" s="1"/>
  <c r="B580" i="1523" s="1"/>
  <c r="B581" i="1523" s="1"/>
  <c r="B582" i="1523" s="1"/>
  <c r="B583" i="1523" s="1"/>
  <c r="B584" i="1523" s="1"/>
  <c r="B585" i="1523" s="1"/>
  <c r="B586" i="1523" s="1"/>
  <c r="B587" i="1523" s="1"/>
  <c r="B588" i="1523" s="1"/>
  <c r="B589" i="1523" s="1"/>
  <c r="B590" i="1523" s="1"/>
  <c r="B591" i="1523" s="1"/>
  <c r="B592" i="1523" s="1"/>
  <c r="B593" i="1523" s="1"/>
  <c r="B594" i="1523" s="1"/>
  <c r="B595" i="1523" s="1"/>
  <c r="B596" i="1523" s="1"/>
  <c r="B597" i="1523" s="1"/>
  <c r="B598" i="1523" s="1"/>
  <c r="B599" i="1523" s="1"/>
  <c r="B600" i="1523" s="1"/>
  <c r="B601" i="1523" s="1"/>
  <c r="B602" i="1523" s="1"/>
  <c r="B603" i="1523" s="1"/>
  <c r="B604" i="1523" s="1"/>
  <c r="B605" i="1523" s="1"/>
  <c r="B606" i="1523" s="1"/>
  <c r="B607" i="1523" s="1"/>
  <c r="B608" i="1523" s="1"/>
  <c r="B609" i="1523" s="1"/>
  <c r="B610" i="1523" s="1"/>
  <c r="B611" i="1523" s="1"/>
  <c r="B612" i="1523" s="1"/>
  <c r="B613" i="1523" s="1"/>
  <c r="B614" i="1523" s="1"/>
  <c r="B615" i="1523" s="1"/>
  <c r="B616" i="1523" s="1"/>
  <c r="B617" i="1523" s="1"/>
  <c r="B618" i="1523" s="1"/>
  <c r="B619" i="1523" s="1"/>
  <c r="B620" i="1523" s="1"/>
  <c r="B621" i="1523" s="1"/>
  <c r="B622" i="1523" s="1"/>
  <c r="B623" i="1523" s="1"/>
  <c r="B624" i="1523" s="1"/>
  <c r="B625" i="1523" s="1"/>
  <c r="B626" i="1523" s="1"/>
  <c r="B627" i="1523" s="1"/>
  <c r="B628" i="1523" s="1"/>
  <c r="B629" i="1523" s="1"/>
  <c r="B630" i="1523" s="1"/>
  <c r="B631" i="1523" s="1"/>
  <c r="B632" i="1523" s="1"/>
  <c r="B633" i="1523" s="1"/>
  <c r="B634" i="1523" s="1"/>
  <c r="B635" i="1523" s="1"/>
  <c r="B636" i="1523" s="1"/>
  <c r="B637" i="1523" s="1"/>
  <c r="B638" i="1523" s="1"/>
  <c r="B639" i="1523" s="1"/>
  <c r="B640" i="1523" s="1"/>
  <c r="B641" i="1523" s="1"/>
  <c r="B642" i="1523" s="1"/>
  <c r="B643" i="1523" s="1"/>
  <c r="B644" i="1523" s="1"/>
  <c r="B645" i="1523" s="1"/>
  <c r="B646" i="1523" s="1"/>
  <c r="B647" i="1523" s="1"/>
  <c r="B648" i="1523" s="1"/>
  <c r="B649" i="1523" s="1"/>
  <c r="B650" i="1523" s="1"/>
  <c r="B651" i="1523" s="1"/>
  <c r="B652" i="1523" s="1"/>
  <c r="B653" i="1523" s="1"/>
  <c r="B654" i="1523" s="1"/>
  <c r="B655" i="1523" s="1"/>
  <c r="B656" i="1523" s="1"/>
  <c r="B657" i="1523" s="1"/>
  <c r="B658" i="1523" s="1"/>
  <c r="B659" i="1523" s="1"/>
  <c r="B660" i="1523" s="1"/>
  <c r="B661" i="1523" s="1"/>
  <c r="B662" i="1523" s="1"/>
  <c r="B663" i="1523" s="1"/>
  <c r="B664" i="1523" s="1"/>
  <c r="B665" i="1523" s="1"/>
  <c r="B666" i="1523" s="1"/>
  <c r="B667" i="1523" s="1"/>
  <c r="B668" i="1523" s="1"/>
  <c r="B669" i="1523" s="1"/>
  <c r="B670" i="1523" s="1"/>
  <c r="B671" i="1523" s="1"/>
  <c r="B672" i="1523" s="1"/>
  <c r="B673" i="1523" s="1"/>
  <c r="B674" i="1523" s="1"/>
  <c r="B675" i="1523" s="1"/>
  <c r="B676" i="1523" s="1"/>
  <c r="B677" i="1523" s="1"/>
  <c r="B678" i="1523" s="1"/>
  <c r="B679" i="1523" s="1"/>
  <c r="B680" i="1523" s="1"/>
  <c r="B681" i="1523" s="1"/>
  <c r="B682" i="1523" s="1"/>
  <c r="B683" i="1523" s="1"/>
  <c r="B684" i="1523" s="1"/>
  <c r="B685" i="1523" s="1"/>
  <c r="B686" i="1523" s="1"/>
  <c r="B687" i="1523" s="1"/>
  <c r="B688" i="1523" s="1"/>
  <c r="B689" i="1523" s="1"/>
  <c r="B690" i="1523" s="1"/>
  <c r="B691" i="1523" s="1"/>
  <c r="B692" i="1523" s="1"/>
  <c r="B693" i="1523" s="1"/>
  <c r="B694" i="1523" s="1"/>
  <c r="B695" i="1523" s="1"/>
  <c r="B696" i="1523" s="1"/>
  <c r="B697" i="1523" s="1"/>
  <c r="B698" i="1523" s="1"/>
  <c r="B699" i="1523" s="1"/>
  <c r="B700" i="1523" s="1"/>
  <c r="B701" i="1523" s="1"/>
  <c r="B702" i="1523" s="1"/>
  <c r="B703" i="1523" s="1"/>
  <c r="B704" i="1523" s="1"/>
  <c r="B705" i="1523" s="1"/>
  <c r="B706" i="1523" s="1"/>
  <c r="B707" i="1523" s="1"/>
  <c r="B708" i="1523" s="1"/>
  <c r="B709" i="1523" s="1"/>
  <c r="B710" i="1523" s="1"/>
  <c r="B711" i="1523" s="1"/>
  <c r="B712" i="1523" s="1"/>
  <c r="B713" i="1523" s="1"/>
  <c r="B714" i="1523" s="1"/>
  <c r="B715" i="1523" s="1"/>
  <c r="B716" i="1523" s="1"/>
  <c r="B717" i="1523" s="1"/>
  <c r="B718" i="1523" s="1"/>
  <c r="B719" i="1523" s="1"/>
  <c r="B720" i="1523" s="1"/>
  <c r="B721" i="1523" s="1"/>
  <c r="B722" i="1523" s="1"/>
  <c r="B723" i="1523" s="1"/>
  <c r="B724" i="1523" s="1"/>
  <c r="B725" i="1523" s="1"/>
  <c r="B726" i="1523" s="1"/>
  <c r="B727" i="1523" s="1"/>
  <c r="B728" i="1523" s="1"/>
  <c r="B729" i="1523" s="1"/>
  <c r="B730" i="1523" s="1"/>
  <c r="B731" i="1523" s="1"/>
  <c r="B732" i="1523" s="1"/>
  <c r="B733" i="1523" s="1"/>
  <c r="B734" i="1523" s="1"/>
  <c r="B735" i="1523" s="1"/>
  <c r="B736" i="1523" s="1"/>
  <c r="B737" i="1523" s="1"/>
  <c r="B738" i="1523" s="1"/>
  <c r="B739" i="1523" s="1"/>
  <c r="B740" i="1523" s="1"/>
  <c r="B741" i="1523" s="1"/>
  <c r="B742" i="1523" s="1"/>
  <c r="B743" i="1523" s="1"/>
  <c r="B744" i="1523" s="1"/>
  <c r="B745" i="1523" s="1"/>
  <c r="B746" i="1523" s="1"/>
  <c r="B747" i="1523" s="1"/>
  <c r="B748" i="1523" s="1"/>
  <c r="B749" i="1523" s="1"/>
  <c r="B750" i="1523" s="1"/>
  <c r="B751" i="1523" s="1"/>
  <c r="B752" i="1523" s="1"/>
  <c r="B753" i="1523" s="1"/>
  <c r="B754" i="1523" s="1"/>
  <c r="B755" i="1523" s="1"/>
  <c r="B756" i="1523" s="1"/>
  <c r="B757" i="1523" s="1"/>
  <c r="B758" i="1523" s="1"/>
  <c r="B759" i="1523" s="1"/>
  <c r="B760" i="1523" s="1"/>
  <c r="B761" i="1523" s="1"/>
  <c r="B762" i="1523" s="1"/>
  <c r="B763" i="1523" s="1"/>
  <c r="B764" i="1523" s="1"/>
  <c r="B765" i="1523" s="1"/>
  <c r="B766" i="1523" s="1"/>
  <c r="B767" i="1523" s="1"/>
  <c r="B768" i="1523" s="1"/>
  <c r="B769" i="1523" s="1"/>
  <c r="B770" i="1523" s="1"/>
  <c r="B771" i="1523" s="1"/>
  <c r="B772" i="1523" s="1"/>
  <c r="B773" i="1523" s="1"/>
  <c r="B774" i="1523" s="1"/>
  <c r="B775" i="1523" s="1"/>
  <c r="B776" i="1523" s="1"/>
  <c r="B777" i="1523" s="1"/>
  <c r="B778" i="1523" s="1"/>
  <c r="B779" i="1523" s="1"/>
  <c r="B780" i="1523" s="1"/>
  <c r="B781" i="1523" s="1"/>
  <c r="B782" i="1523" s="1"/>
  <c r="B783" i="1523" s="1"/>
  <c r="B784" i="1523" s="1"/>
  <c r="B785" i="1523" s="1"/>
  <c r="B786" i="1523" s="1"/>
  <c r="B787" i="1523" s="1"/>
  <c r="B788" i="1523" s="1"/>
  <c r="B789" i="1523" s="1"/>
  <c r="B790" i="1523" s="1"/>
  <c r="B791" i="1523" s="1"/>
  <c r="B792" i="1523" s="1"/>
  <c r="B793" i="1523" s="1"/>
  <c r="B794" i="1523" s="1"/>
  <c r="B795" i="1523" s="1"/>
  <c r="B796" i="1523" s="1"/>
  <c r="B797" i="1523" s="1"/>
  <c r="B798" i="1523" s="1"/>
  <c r="B799" i="1523" s="1"/>
  <c r="B800" i="1523" s="1"/>
  <c r="B801" i="1523" s="1"/>
  <c r="B802" i="1523" s="1"/>
  <c r="B803" i="1523" s="1"/>
  <c r="B804" i="1523" s="1"/>
  <c r="B805" i="1523" s="1"/>
  <c r="B806" i="1523" s="1"/>
  <c r="B807" i="1523" s="1"/>
  <c r="B808" i="1523" s="1"/>
  <c r="B809" i="1523" s="1"/>
  <c r="B810" i="1523" s="1"/>
  <c r="B811" i="1523" s="1"/>
  <c r="B812" i="1523" s="1"/>
  <c r="B813" i="1523" s="1"/>
  <c r="B814" i="1523" s="1"/>
  <c r="B815" i="1523" s="1"/>
  <c r="B816" i="1523" s="1"/>
  <c r="B817" i="1523" s="1"/>
  <c r="B818" i="1523" s="1"/>
  <c r="B819" i="1523" s="1"/>
  <c r="B820" i="1523" s="1"/>
  <c r="B821" i="1523" s="1"/>
  <c r="B822" i="1523" s="1"/>
  <c r="B823" i="1523" s="1"/>
  <c r="B824" i="1523" s="1"/>
  <c r="B825" i="1523" s="1"/>
  <c r="B826" i="1523" s="1"/>
  <c r="B827" i="1523" s="1"/>
  <c r="B828" i="1523" s="1"/>
  <c r="B829" i="1523" s="1"/>
  <c r="B830" i="1523" s="1"/>
  <c r="B831" i="1523" s="1"/>
  <c r="B832" i="1523" s="1"/>
  <c r="B833" i="1523" s="1"/>
  <c r="B834" i="1523" s="1"/>
  <c r="B835" i="1523" s="1"/>
  <c r="B836" i="1523" s="1"/>
  <c r="B837" i="1523" s="1"/>
  <c r="B838" i="1523" s="1"/>
  <c r="B839" i="1523" s="1"/>
  <c r="B840" i="1523" s="1"/>
  <c r="B841" i="1523" s="1"/>
  <c r="B842" i="1523" s="1"/>
  <c r="B843" i="1523" s="1"/>
  <c r="B844" i="1523" s="1"/>
  <c r="B845" i="1523" s="1"/>
  <c r="B846" i="1523" s="1"/>
  <c r="B847" i="1523" s="1"/>
  <c r="B848" i="1523" s="1"/>
  <c r="B849" i="1523" s="1"/>
  <c r="B850" i="1523" s="1"/>
  <c r="B851" i="1523" s="1"/>
  <c r="B852" i="1523" s="1"/>
  <c r="B853" i="1523" s="1"/>
  <c r="B854" i="1523" s="1"/>
  <c r="B855" i="1523" s="1"/>
  <c r="B856" i="1523" s="1"/>
  <c r="B857" i="1523" s="1"/>
  <c r="B858" i="1523" s="1"/>
  <c r="B859" i="1523" s="1"/>
  <c r="B860" i="1523" s="1"/>
  <c r="B861" i="1523" s="1"/>
  <c r="B862" i="1523" s="1"/>
  <c r="B863" i="1523" s="1"/>
  <c r="B864" i="1523" s="1"/>
  <c r="B865" i="1523" s="1"/>
  <c r="B866" i="1523" s="1"/>
  <c r="B867" i="1523" s="1"/>
  <c r="B868" i="1523" s="1"/>
  <c r="B869" i="1523" s="1"/>
  <c r="B870" i="1523" s="1"/>
  <c r="B871" i="1523" s="1"/>
  <c r="B872" i="1523" s="1"/>
  <c r="B873" i="1523" s="1"/>
  <c r="B874" i="1523" s="1"/>
  <c r="B875" i="1523" s="1"/>
  <c r="B876" i="1523" s="1"/>
  <c r="B877" i="1523" s="1"/>
  <c r="B878" i="1523" s="1"/>
  <c r="B879" i="1523" s="1"/>
  <c r="B880" i="1523" s="1"/>
  <c r="B881" i="1523" s="1"/>
  <c r="B882" i="1523" s="1"/>
  <c r="B883" i="1523" s="1"/>
  <c r="B884" i="1523" s="1"/>
  <c r="B885" i="1523" s="1"/>
  <c r="B886" i="1523" s="1"/>
  <c r="B887" i="1523" s="1"/>
  <c r="B888" i="1523" s="1"/>
  <c r="B889" i="1523" s="1"/>
  <c r="B890" i="1523" s="1"/>
  <c r="B891" i="1523" s="1"/>
  <c r="B892" i="1523" s="1"/>
  <c r="B893" i="1523" s="1"/>
  <c r="B894" i="1523" s="1"/>
  <c r="B895" i="1523" s="1"/>
  <c r="B896" i="1523" s="1"/>
  <c r="B897" i="1523" s="1"/>
  <c r="B898" i="1523" s="1"/>
  <c r="B899" i="1523" s="1"/>
  <c r="B900" i="1523" s="1"/>
  <c r="B901" i="1523" s="1"/>
  <c r="B902" i="1523" s="1"/>
  <c r="B903" i="1523" s="1"/>
  <c r="B904" i="1523" s="1"/>
  <c r="B905" i="1523" s="1"/>
  <c r="B906" i="1523" s="1"/>
  <c r="B907" i="1523" s="1"/>
  <c r="B908" i="1523" s="1"/>
  <c r="B909" i="1523" s="1"/>
  <c r="B910" i="1523" s="1"/>
  <c r="B911" i="1523" s="1"/>
  <c r="B912" i="1523" s="1"/>
  <c r="B913" i="1523" s="1"/>
  <c r="B914" i="1523" s="1"/>
  <c r="B915" i="1523" s="1"/>
  <c r="B916" i="1523" s="1"/>
  <c r="B917" i="1523" s="1"/>
  <c r="B918" i="1523" s="1"/>
  <c r="B919" i="1523" s="1"/>
  <c r="B920" i="1523" s="1"/>
  <c r="B921" i="1523" s="1"/>
  <c r="B922" i="1523" s="1"/>
  <c r="B923" i="1523" s="1"/>
  <c r="B924" i="1523" s="1"/>
  <c r="B925" i="1523" s="1"/>
  <c r="B926" i="1523" s="1"/>
  <c r="B927" i="1523" s="1"/>
  <c r="B928" i="1523" s="1"/>
  <c r="B929" i="1523" s="1"/>
  <c r="B930" i="1523" s="1"/>
  <c r="B931" i="1523" s="1"/>
  <c r="B932" i="1523" s="1"/>
  <c r="B933" i="1523" s="1"/>
  <c r="B934" i="1523" s="1"/>
  <c r="B935" i="1523" s="1"/>
  <c r="B936" i="1523" s="1"/>
  <c r="B937" i="1523" s="1"/>
  <c r="B938" i="1523" s="1"/>
  <c r="B939" i="1523" s="1"/>
  <c r="B940" i="1523" s="1"/>
  <c r="B941" i="1523" s="1"/>
  <c r="B942" i="1523" s="1"/>
  <c r="B943" i="1523" s="1"/>
  <c r="B944" i="1523" s="1"/>
  <c r="B945" i="1523" s="1"/>
  <c r="B946" i="1523" s="1"/>
  <c r="B947" i="1523" s="1"/>
  <c r="B948" i="1523" s="1"/>
  <c r="B949" i="1523" s="1"/>
  <c r="B950" i="1523" s="1"/>
  <c r="B951" i="1523" s="1"/>
  <c r="B952" i="1523" s="1"/>
  <c r="B953" i="1523" s="1"/>
  <c r="B954" i="1523" s="1"/>
  <c r="B955" i="1523" s="1"/>
  <c r="B956" i="1523" s="1"/>
  <c r="B957" i="1523" s="1"/>
  <c r="B958" i="1523" s="1"/>
  <c r="B959" i="1523" s="1"/>
  <c r="B960" i="1523" s="1"/>
  <c r="B961" i="1523" s="1"/>
  <c r="B962" i="1523" s="1"/>
  <c r="B963" i="1523" s="1"/>
  <c r="B964" i="1523" s="1"/>
  <c r="B965" i="1523" s="1"/>
  <c r="B966" i="1523" s="1"/>
  <c r="B967" i="1523" s="1"/>
  <c r="B968" i="1523" s="1"/>
  <c r="B969" i="1523" s="1"/>
  <c r="B970" i="1523" s="1"/>
  <c r="B971" i="1523" s="1"/>
  <c r="B972" i="1523" s="1"/>
  <c r="B973" i="1523" s="1"/>
  <c r="B974" i="1523" s="1"/>
  <c r="B975" i="1523" s="1"/>
  <c r="B976" i="1523" s="1"/>
  <c r="B977" i="1523" s="1"/>
  <c r="B978" i="1523" s="1"/>
  <c r="B979" i="1523" s="1"/>
  <c r="B980" i="1523" s="1"/>
  <c r="B981" i="1523" s="1"/>
  <c r="B982" i="1523" s="1"/>
  <c r="B983" i="1523" s="1"/>
  <c r="B984" i="1523" s="1"/>
  <c r="B985" i="1523" s="1"/>
  <c r="B986" i="1523" s="1"/>
  <c r="B987" i="1523" s="1"/>
  <c r="B988" i="1523" s="1"/>
  <c r="B989" i="1523" s="1"/>
  <c r="B990" i="1523" s="1"/>
  <c r="B991" i="1523" s="1"/>
  <c r="B992" i="1523" s="1"/>
  <c r="B993" i="1523" s="1"/>
  <c r="B994" i="1523" s="1"/>
  <c r="B995" i="1523" s="1"/>
  <c r="B996" i="1523" s="1"/>
  <c r="B997" i="1523" s="1"/>
  <c r="B998" i="1523" s="1"/>
  <c r="B999" i="1523" s="1"/>
  <c r="B1000" i="1523" s="1"/>
  <c r="B1001" i="1523" s="1"/>
  <c r="B1002" i="1523" s="1"/>
  <c r="B1003" i="1523" s="1"/>
  <c r="B1004" i="1523" s="1"/>
  <c r="B1005" i="1523" s="1"/>
  <c r="B1006" i="1523" s="1"/>
  <c r="B1007" i="1523" s="1"/>
  <c r="B1008" i="1523" s="1"/>
  <c r="B1009" i="1523" s="1"/>
  <c r="B1010" i="1523" s="1"/>
  <c r="B1011" i="1523" s="1"/>
  <c r="B1012" i="1523" s="1"/>
  <c r="B1013" i="1523" s="1"/>
  <c r="B1014" i="1523" s="1"/>
  <c r="B1015" i="1523" s="1"/>
  <c r="B1016" i="1523" s="1"/>
  <c r="B1017" i="1523" s="1"/>
  <c r="B1018" i="1523" s="1"/>
  <c r="B1019" i="1523" s="1"/>
  <c r="B1020" i="1523" s="1"/>
  <c r="B1021" i="1523" s="1"/>
  <c r="B1022" i="1523" s="1"/>
  <c r="B1023" i="1523" s="1"/>
  <c r="B1024" i="1523" s="1"/>
  <c r="B1025" i="1523" s="1"/>
  <c r="B1026" i="1523" s="1"/>
  <c r="B1027" i="1523" s="1"/>
  <c r="B1028" i="1523" s="1"/>
  <c r="B1029" i="1523" s="1"/>
  <c r="B1030" i="1523" s="1"/>
  <c r="B1031" i="1523" s="1"/>
  <c r="B1032" i="1523" s="1"/>
  <c r="B1033" i="1523" s="1"/>
  <c r="B1034" i="1523" s="1"/>
  <c r="B1035" i="1523" s="1"/>
  <c r="B1036" i="1523" s="1"/>
  <c r="B1037" i="1523" s="1"/>
  <c r="B1038" i="1523" s="1"/>
  <c r="B1039" i="1523" s="1"/>
  <c r="B1040" i="1523" s="1"/>
  <c r="B1041" i="1523" s="1"/>
  <c r="B1042" i="1523" s="1"/>
  <c r="B1043" i="1523" s="1"/>
  <c r="B1044" i="1523" s="1"/>
  <c r="B1045" i="1523" s="1"/>
  <c r="B1046" i="1523" s="1"/>
  <c r="B1047" i="1523" s="1"/>
  <c r="B1048" i="1523" s="1"/>
  <c r="B1049" i="1523" s="1"/>
  <c r="B1050" i="1523" s="1"/>
  <c r="B1051" i="1523" s="1"/>
  <c r="B1052" i="1523" s="1"/>
  <c r="B1053" i="1523" s="1"/>
  <c r="B1054" i="1523" s="1"/>
  <c r="B1055" i="1523" s="1"/>
  <c r="B1056" i="1523" s="1"/>
  <c r="B1057" i="1523" s="1"/>
  <c r="B1058" i="1523" s="1"/>
  <c r="B1059" i="1523" s="1"/>
  <c r="B1060" i="1523" s="1"/>
  <c r="B1061" i="1523" s="1"/>
  <c r="B1062" i="1523" s="1"/>
  <c r="B1063" i="1523" s="1"/>
  <c r="B1064" i="1523" s="1"/>
  <c r="B1065" i="1523" s="1"/>
  <c r="B1066" i="1523" s="1"/>
  <c r="B1067" i="1523" s="1"/>
  <c r="B1068" i="1523" s="1"/>
  <c r="B1069" i="1523" s="1"/>
  <c r="B1070" i="1523" s="1"/>
  <c r="B1071" i="1523" s="1"/>
  <c r="B1072" i="1523" s="1"/>
  <c r="B1073" i="1523" s="1"/>
  <c r="B1074" i="1523" s="1"/>
  <c r="B1075" i="1523" s="1"/>
  <c r="B1076" i="1523" s="1"/>
  <c r="B1077" i="1523" s="1"/>
  <c r="B1078" i="1523" s="1"/>
  <c r="B1079" i="1523" s="1"/>
  <c r="B1080" i="1523" s="1"/>
  <c r="B1081" i="1523" s="1"/>
  <c r="B1082" i="1523" s="1"/>
  <c r="B1083" i="1523" s="1"/>
  <c r="B1084" i="1523" s="1"/>
  <c r="B1085" i="1523" s="1"/>
  <c r="B1086" i="1523" s="1"/>
  <c r="B1087" i="1523" s="1"/>
  <c r="B1088" i="1523" s="1"/>
  <c r="B1089" i="1523" s="1"/>
  <c r="B1090" i="1523" s="1"/>
  <c r="B1091" i="1523" s="1"/>
  <c r="B1092" i="1523" s="1"/>
  <c r="B1093" i="1523" s="1"/>
  <c r="B1094" i="1523" s="1"/>
  <c r="B1095" i="1523" s="1"/>
  <c r="B1096" i="1523" s="1"/>
  <c r="B1097" i="1523" s="1"/>
  <c r="B1098" i="1523" s="1"/>
  <c r="B1099" i="1523" s="1"/>
  <c r="B1100" i="1523" s="1"/>
  <c r="B1101" i="1523" s="1"/>
  <c r="B1102" i="1523" s="1"/>
  <c r="B1103" i="1523" s="1"/>
  <c r="B1104" i="1523" s="1"/>
  <c r="B1105" i="1523" s="1"/>
  <c r="B1106" i="1523" s="1"/>
  <c r="B1107" i="1523" s="1"/>
  <c r="B1108" i="1523" s="1"/>
  <c r="B1109" i="1523" s="1"/>
  <c r="B1110" i="1523" s="1"/>
  <c r="B1111" i="1523" s="1"/>
  <c r="B1112" i="1523" s="1"/>
  <c r="B1113" i="1523" s="1"/>
  <c r="B1114" i="1523" s="1"/>
  <c r="B1115" i="1523" s="1"/>
  <c r="B1116" i="1523" s="1"/>
  <c r="B1117" i="1523" s="1"/>
  <c r="B1118" i="1523" s="1"/>
  <c r="B1119" i="1523" s="1"/>
  <c r="B1120" i="1523" s="1"/>
  <c r="B1121" i="1523" s="1"/>
  <c r="B1122" i="1523" s="1"/>
  <c r="B1123" i="1523" s="1"/>
  <c r="B1124" i="1523" s="1"/>
  <c r="B1125" i="1523" s="1"/>
  <c r="B1126" i="1523" s="1"/>
  <c r="B1127" i="1523" s="1"/>
  <c r="B1128" i="1523" s="1"/>
  <c r="B1129" i="1523" s="1"/>
  <c r="B1130" i="1523" s="1"/>
  <c r="B1131" i="1523" s="1"/>
  <c r="B1132" i="1523" s="1"/>
  <c r="B1133" i="1523" s="1"/>
  <c r="B1134" i="1523" s="1"/>
  <c r="B1135" i="1523" s="1"/>
  <c r="B1136" i="1523" s="1"/>
  <c r="B1137" i="1523" s="1"/>
  <c r="B1138" i="1523" s="1"/>
  <c r="B1139" i="1523" s="1"/>
  <c r="B1140" i="1523" s="1"/>
  <c r="B1141" i="1523" s="1"/>
  <c r="B1142" i="1523" s="1"/>
  <c r="B1143" i="1523" s="1"/>
  <c r="B1144" i="1523" s="1"/>
  <c r="B1145" i="1523" s="1"/>
  <c r="B1146" i="1523" s="1"/>
  <c r="B1147" i="1523" s="1"/>
  <c r="B1148" i="1523" s="1"/>
  <c r="B1149" i="1523" s="1"/>
  <c r="B1150" i="1523" s="1"/>
  <c r="B1151" i="1523" s="1"/>
  <c r="B1152" i="1523" s="1"/>
  <c r="B1153" i="1523" s="1"/>
  <c r="B1154" i="1523" s="1"/>
  <c r="B1155" i="1523" s="1"/>
  <c r="B1156" i="1523" s="1"/>
  <c r="B1157" i="1523" s="1"/>
  <c r="B1158" i="1523" s="1"/>
  <c r="B1159" i="1523" s="1"/>
  <c r="B1160" i="1523" s="1"/>
  <c r="B1161" i="1523" s="1"/>
  <c r="B1162" i="1523" s="1"/>
  <c r="B1163" i="1523" s="1"/>
  <c r="B1164" i="1523" s="1"/>
  <c r="B1165" i="1523" s="1"/>
  <c r="B1166" i="1523" s="1"/>
  <c r="B1167" i="1523" s="1"/>
  <c r="B1168" i="1523" s="1"/>
  <c r="B1169" i="1523" s="1"/>
  <c r="B1170" i="1523" s="1"/>
  <c r="B1171" i="1523" s="1"/>
  <c r="B1172" i="1523" s="1"/>
  <c r="B1173" i="1523" s="1"/>
  <c r="B1174" i="1523" s="1"/>
  <c r="B1175" i="1523" s="1"/>
  <c r="B1176" i="1523" s="1"/>
  <c r="B1177" i="1523" s="1"/>
  <c r="B1178" i="1523" s="1"/>
  <c r="B1179" i="1523" s="1"/>
  <c r="B1180" i="1523" s="1"/>
  <c r="B1181" i="1523" s="1"/>
  <c r="B1182" i="1523" s="1"/>
  <c r="B1183" i="1523" s="1"/>
  <c r="B1184" i="1523" s="1"/>
  <c r="B1185" i="1523" s="1"/>
  <c r="B1186" i="1523" s="1"/>
  <c r="B1187" i="1523" s="1"/>
  <c r="B1188" i="1523" s="1"/>
  <c r="B1189" i="1523" s="1"/>
  <c r="B1190" i="1523" s="1"/>
  <c r="B1191" i="1523" s="1"/>
  <c r="B1192" i="1523" s="1"/>
  <c r="B1193" i="1523" s="1"/>
  <c r="B1194" i="1523" s="1"/>
  <c r="B1195" i="1523" s="1"/>
  <c r="B1196" i="1523" s="1"/>
  <c r="B1197" i="1523" s="1"/>
  <c r="B1198" i="1523" s="1"/>
  <c r="B1199" i="1523" s="1"/>
  <c r="B1200" i="1523" s="1"/>
  <c r="B1201" i="1523" s="1"/>
  <c r="B1202" i="1523" s="1"/>
  <c r="B1203" i="1523" s="1"/>
  <c r="B1204" i="1523" s="1"/>
  <c r="B1205" i="1523" s="1"/>
  <c r="B1206" i="1523" s="1"/>
  <c r="B1207" i="1523" s="1"/>
  <c r="B1208" i="1523" s="1"/>
  <c r="B1209" i="1523" s="1"/>
  <c r="B1210" i="1523" s="1"/>
  <c r="B1211" i="1523" s="1"/>
  <c r="B1212" i="1523" s="1"/>
  <c r="B1213" i="1523" s="1"/>
  <c r="B1214" i="1523" s="1"/>
  <c r="B1215" i="1523" s="1"/>
  <c r="B1216" i="1523" s="1"/>
  <c r="B1217" i="1523" s="1"/>
  <c r="B1218" i="1523" s="1"/>
  <c r="B1219" i="1523" s="1"/>
  <c r="B1220" i="1523" s="1"/>
  <c r="B1221" i="1523" s="1"/>
  <c r="B1222" i="1523" s="1"/>
  <c r="B1223" i="1523" s="1"/>
  <c r="B1224" i="1523" s="1"/>
  <c r="B1225" i="1523" s="1"/>
  <c r="B1226" i="1523" s="1"/>
  <c r="B1227" i="1523" s="1"/>
  <c r="B1228" i="1523" s="1"/>
  <c r="B1229" i="1523" s="1"/>
  <c r="B1230" i="1523" s="1"/>
  <c r="B1231" i="1523" s="1"/>
  <c r="B1232" i="1523" s="1"/>
  <c r="B1233" i="1523" s="1"/>
  <c r="B1234" i="1523" s="1"/>
  <c r="B1235" i="1523" s="1"/>
  <c r="B1236" i="1523" s="1"/>
  <c r="B1237" i="1523" s="1"/>
  <c r="B1238" i="1523" s="1"/>
  <c r="B1239" i="1523" s="1"/>
  <c r="B1240" i="1523" s="1"/>
  <c r="B1241" i="1523" s="1"/>
  <c r="B1242" i="1523" s="1"/>
  <c r="B1243" i="1523" s="1"/>
  <c r="B1244" i="1523" s="1"/>
  <c r="B1245" i="1523" s="1"/>
  <c r="B1246" i="1523" s="1"/>
  <c r="B1247" i="1523" s="1"/>
  <c r="B1248" i="1523" s="1"/>
  <c r="B1249" i="1523" s="1"/>
  <c r="B1250" i="1523" s="1"/>
  <c r="B1251" i="1523" s="1"/>
  <c r="B1252" i="1523" s="1"/>
  <c r="B1253" i="1523" s="1"/>
  <c r="B1254" i="1523" s="1"/>
  <c r="B1255" i="1523" s="1"/>
  <c r="B1256" i="1523" s="1"/>
  <c r="B1257" i="1523" s="1"/>
  <c r="B1258" i="1523" s="1"/>
  <c r="B1259" i="1523" s="1"/>
  <c r="B1260" i="1523" s="1"/>
  <c r="B1261" i="1523" s="1"/>
  <c r="B1262" i="1523" s="1"/>
  <c r="B1263" i="1523" s="1"/>
  <c r="B1264" i="1523" s="1"/>
  <c r="B1265" i="1523" s="1"/>
  <c r="B1266" i="1523" s="1"/>
  <c r="B1267" i="1523" s="1"/>
  <c r="B1268" i="1523" s="1"/>
  <c r="B1269" i="1523" s="1"/>
  <c r="B1270" i="1523" s="1"/>
  <c r="B1271" i="1523" s="1"/>
  <c r="B1272" i="1523" s="1"/>
  <c r="B1273" i="1523" s="1"/>
  <c r="B1274" i="1523" s="1"/>
  <c r="B1275" i="1523" s="1"/>
  <c r="B1276" i="1523" s="1"/>
  <c r="B1277" i="1523" s="1"/>
  <c r="B1278" i="1523" s="1"/>
  <c r="B1279" i="1523" s="1"/>
  <c r="B1280" i="1523" s="1"/>
  <c r="B1281" i="1523" s="1"/>
  <c r="B1282" i="1523" s="1"/>
  <c r="B1283" i="1523" s="1"/>
  <c r="B1284" i="1523" s="1"/>
  <c r="B1285" i="1523" s="1"/>
  <c r="B1286" i="1523" s="1"/>
  <c r="B1287" i="1523" s="1"/>
  <c r="B1288" i="1523" s="1"/>
  <c r="B1289" i="1523" s="1"/>
  <c r="B1290" i="1523" s="1"/>
  <c r="B1291" i="1523" s="1"/>
  <c r="B1292" i="1523" s="1"/>
  <c r="B1293" i="1523" s="1"/>
  <c r="B1294" i="1523" s="1"/>
  <c r="B1295" i="1523" s="1"/>
  <c r="B1296" i="1523" s="1"/>
  <c r="B1297" i="1523" s="1"/>
  <c r="B1298" i="1523" s="1"/>
  <c r="B1299" i="1523" s="1"/>
  <c r="B1300" i="1523" s="1"/>
  <c r="B1301" i="1523" s="1"/>
  <c r="B1302" i="1523" s="1"/>
  <c r="B1303" i="1523" s="1"/>
  <c r="B1304" i="1523" s="1"/>
  <c r="B1305" i="1523" s="1"/>
  <c r="B1306" i="1523" s="1"/>
  <c r="B1307" i="1523" s="1"/>
  <c r="B1308" i="1523" s="1"/>
  <c r="B1309" i="1523" s="1"/>
  <c r="B1310" i="1523" s="1"/>
  <c r="B1311" i="1523" s="1"/>
  <c r="B1312" i="1523" s="1"/>
  <c r="B1313" i="1523" s="1"/>
  <c r="B1314" i="1523" s="1"/>
  <c r="B1315" i="1523" s="1"/>
  <c r="B1316" i="1523" s="1"/>
  <c r="B1317" i="1523" s="1"/>
  <c r="B1318" i="1523" s="1"/>
  <c r="B1319" i="1523" s="1"/>
  <c r="B1320" i="1523" s="1"/>
  <c r="B1321" i="1523" s="1"/>
  <c r="B1322" i="1523" s="1"/>
  <c r="B1323" i="1523" s="1"/>
  <c r="B1324" i="1523" s="1"/>
  <c r="B1325" i="1523" s="1"/>
  <c r="B1326" i="1523" s="1"/>
  <c r="B1327" i="1523" s="1"/>
  <c r="B1328" i="1523" s="1"/>
  <c r="B1329" i="1523" s="1"/>
  <c r="B1330" i="1523" s="1"/>
  <c r="B1331" i="1523" s="1"/>
  <c r="B1332" i="1523" s="1"/>
  <c r="B1333" i="1523" s="1"/>
  <c r="B1334" i="1523" s="1"/>
  <c r="B1335" i="1523" s="1"/>
  <c r="B1336" i="1523" s="1"/>
  <c r="B1337" i="1523" s="1"/>
  <c r="B1338" i="1523" s="1"/>
  <c r="B1339" i="1523" s="1"/>
  <c r="B1340" i="1523" s="1"/>
  <c r="B1341" i="1523" s="1"/>
  <c r="B1342" i="1523" s="1"/>
  <c r="B1343" i="1523" s="1"/>
  <c r="B1344" i="1523" s="1"/>
  <c r="B1345" i="1523" s="1"/>
  <c r="B1346" i="1523" s="1"/>
  <c r="B1347" i="1523" s="1"/>
  <c r="B1348" i="1523" s="1"/>
  <c r="B1349" i="1523" s="1"/>
  <c r="B1350" i="1523" s="1"/>
  <c r="B1351" i="1523" s="1"/>
  <c r="B1352" i="1523" s="1"/>
  <c r="B1353" i="1523" s="1"/>
  <c r="B1354" i="1523" s="1"/>
  <c r="B1355" i="1523" s="1"/>
  <c r="B1356" i="1523" s="1"/>
  <c r="B1357" i="1523" s="1"/>
  <c r="B1358" i="1523" s="1"/>
  <c r="B1359" i="1523" s="1"/>
  <c r="B1360" i="1523" s="1"/>
  <c r="B1361" i="1523" s="1"/>
  <c r="B1362" i="1523" s="1"/>
  <c r="B1363" i="1523" s="1"/>
  <c r="B1364" i="1523" s="1"/>
  <c r="B1365" i="1523" s="1"/>
  <c r="B1366" i="1523" s="1"/>
  <c r="B1367" i="1523" s="1"/>
  <c r="B1368" i="1523" s="1"/>
  <c r="B1369" i="1523" s="1"/>
  <c r="B1370" i="1523" s="1"/>
  <c r="B1371" i="1523" s="1"/>
  <c r="B1372" i="1523" s="1"/>
  <c r="B1373" i="1523" s="1"/>
  <c r="B1374" i="1523" s="1"/>
  <c r="B1375" i="1523" s="1"/>
  <c r="B1376" i="1523" s="1"/>
  <c r="B1377" i="1523" s="1"/>
  <c r="B1378" i="1523" s="1"/>
  <c r="B1379" i="1523" s="1"/>
  <c r="B1380" i="1523" s="1"/>
  <c r="B1381" i="1523" s="1"/>
  <c r="B1382" i="1523" s="1"/>
  <c r="B1383" i="1523" s="1"/>
  <c r="B1384" i="1523" s="1"/>
  <c r="B1385" i="1523" s="1"/>
  <c r="B1386" i="1523" s="1"/>
  <c r="B1387" i="1523" s="1"/>
  <c r="B1388" i="1523" s="1"/>
  <c r="B1389" i="1523" s="1"/>
  <c r="B1390" i="1523" s="1"/>
  <c r="B1391" i="1523" s="1"/>
  <c r="B1392" i="1523" s="1"/>
  <c r="B1393" i="1523" s="1"/>
  <c r="B1394" i="1523" s="1"/>
  <c r="B1395" i="1523" s="1"/>
  <c r="B1396" i="1523" s="1"/>
  <c r="B1397" i="1523" s="1"/>
  <c r="B1398" i="1523" s="1"/>
  <c r="B1399" i="1523" s="1"/>
  <c r="B1400" i="1523" s="1"/>
  <c r="B1401" i="1523" s="1"/>
  <c r="B1402" i="1523" s="1"/>
  <c r="B1403" i="1523" s="1"/>
  <c r="B1404" i="1523" s="1"/>
  <c r="B1405" i="1523" s="1"/>
  <c r="B1406" i="1523" s="1"/>
  <c r="B1407" i="1523" s="1"/>
  <c r="B1408" i="1523" s="1"/>
  <c r="B1409" i="1523" s="1"/>
  <c r="B1410" i="1523" s="1"/>
  <c r="B1411" i="1523" s="1"/>
  <c r="B1412" i="1523" s="1"/>
  <c r="B1413" i="1523" s="1"/>
  <c r="B1414" i="1523" s="1"/>
  <c r="B1415" i="1523" s="1"/>
  <c r="B1416" i="1523" s="1"/>
  <c r="B1417" i="1523" s="1"/>
  <c r="B1418" i="1523" s="1"/>
  <c r="B1419" i="1523" s="1"/>
  <c r="B1420" i="1523" s="1"/>
  <c r="B1421" i="1523" s="1"/>
  <c r="B1422" i="1523" s="1"/>
  <c r="B1423" i="1523" s="1"/>
  <c r="B1424" i="1523" s="1"/>
  <c r="B1425" i="1523" s="1"/>
  <c r="B1426" i="1523" s="1"/>
  <c r="B1427" i="1523" s="1"/>
  <c r="B1428" i="1523" s="1"/>
  <c r="B1429" i="1523" s="1"/>
  <c r="B1430" i="1523" s="1"/>
  <c r="B1431" i="1523" s="1"/>
  <c r="B1432" i="1523" s="1"/>
  <c r="B1433" i="1523" s="1"/>
  <c r="B1434" i="1523" s="1"/>
  <c r="B1435" i="1523" s="1"/>
  <c r="B1436" i="1523" s="1"/>
  <c r="B1437" i="1523" s="1"/>
  <c r="B1438" i="1523" s="1"/>
  <c r="B1439" i="1523" s="1"/>
  <c r="B1440" i="1523" s="1"/>
  <c r="B1441" i="1523" s="1"/>
  <c r="B1442" i="1523" s="1"/>
  <c r="B1443" i="1523" s="1"/>
  <c r="B1444" i="1523" s="1"/>
  <c r="B1445" i="1523" s="1"/>
  <c r="B1446" i="1523" s="1"/>
  <c r="B1447" i="1523" s="1"/>
  <c r="B1448" i="1523" s="1"/>
  <c r="B1449" i="1523" s="1"/>
  <c r="B1450" i="1523" s="1"/>
  <c r="B1451" i="1523" s="1"/>
  <c r="B1452" i="1523" s="1"/>
  <c r="B1453" i="1523" s="1"/>
  <c r="B1454" i="1523" s="1"/>
  <c r="B1455" i="1523" s="1"/>
  <c r="B1456" i="1523" s="1"/>
  <c r="B1457" i="1523" s="1"/>
  <c r="B1458" i="1523" s="1"/>
  <c r="B1459" i="1523" s="1"/>
  <c r="B1460" i="1523" s="1"/>
  <c r="B1461" i="1523" s="1"/>
  <c r="B1462" i="1523" s="1"/>
  <c r="B1463" i="1523" s="1"/>
  <c r="B1464" i="1523" s="1"/>
  <c r="B1465" i="1523" s="1"/>
  <c r="B1466" i="1523" s="1"/>
  <c r="B1467" i="1523" s="1"/>
  <c r="B1468" i="1523" s="1"/>
  <c r="B1469" i="1523" s="1"/>
  <c r="B1470" i="1523" s="1"/>
  <c r="B1471" i="1523" s="1"/>
  <c r="B1472" i="1523" s="1"/>
  <c r="B1473" i="1523" s="1"/>
  <c r="B1474" i="1523" s="1"/>
  <c r="B1475" i="1523" s="1"/>
  <c r="B1476" i="1523" s="1"/>
  <c r="B1477" i="1523" s="1"/>
  <c r="B1478" i="1523" s="1"/>
  <c r="B1479" i="1523" s="1"/>
  <c r="B1480" i="1523" s="1"/>
  <c r="B1481" i="1523" s="1"/>
  <c r="B1482" i="1523" s="1"/>
  <c r="B1483" i="1523" s="1"/>
  <c r="B1484" i="1523" s="1"/>
  <c r="B1485" i="1523" s="1"/>
  <c r="B1486" i="1523" s="1"/>
  <c r="B1487" i="1523" s="1"/>
  <c r="B1488" i="1523" s="1"/>
  <c r="B1489" i="1523" s="1"/>
  <c r="B1490" i="1523" s="1"/>
  <c r="B1491" i="1523" s="1"/>
  <c r="B1492" i="1523" s="1"/>
  <c r="B1493" i="1523" s="1"/>
  <c r="B1494" i="1523" s="1"/>
  <c r="B1495" i="1523" s="1"/>
  <c r="B1496" i="1523" s="1"/>
  <c r="B1497" i="1523" s="1"/>
  <c r="B1498" i="1523" s="1"/>
  <c r="B1499" i="1523" s="1"/>
  <c r="B1500" i="1523" s="1"/>
  <c r="B1501" i="1523" s="1"/>
  <c r="B1502" i="1523" s="1"/>
  <c r="B1503" i="1523" s="1"/>
  <c r="B1504" i="1523" s="1"/>
  <c r="B1505" i="1523" s="1"/>
  <c r="B1506" i="1523" s="1"/>
  <c r="B1507" i="1523" s="1"/>
  <c r="B1508" i="1523" s="1"/>
  <c r="B1509" i="1523" s="1"/>
  <c r="B1510" i="1523" s="1"/>
  <c r="B1511" i="1523" s="1"/>
  <c r="B1512" i="1523" s="1"/>
  <c r="B1513" i="1523" s="1"/>
  <c r="B1514" i="1523" s="1"/>
  <c r="B1515" i="1523" s="1"/>
  <c r="B1516" i="1523" s="1"/>
  <c r="B1517" i="1523" s="1"/>
  <c r="B1518" i="1523" s="1"/>
  <c r="B1519" i="1523" s="1"/>
  <c r="B1520" i="1523" s="1"/>
  <c r="B1521" i="1523" s="1"/>
  <c r="B1522" i="1523" s="1"/>
  <c r="B1523" i="1523" s="1"/>
  <c r="B1524" i="1523" s="1"/>
  <c r="B1525" i="1523" s="1"/>
  <c r="B1526" i="1523" s="1"/>
  <c r="B1527" i="1523" s="1"/>
  <c r="B1528" i="1523" s="1"/>
  <c r="B1529" i="1523" s="1"/>
  <c r="B1530" i="1523" s="1"/>
  <c r="B1531" i="1523" s="1"/>
  <c r="B1532" i="1523" s="1"/>
  <c r="B1533" i="1523" s="1"/>
  <c r="B1534" i="1523" s="1"/>
  <c r="B1535" i="1523" s="1"/>
  <c r="B1536" i="1523" s="1"/>
  <c r="B1537" i="1523" s="1"/>
  <c r="B1538" i="1523" s="1"/>
  <c r="B1539" i="1523" s="1"/>
  <c r="B1540" i="1523" s="1"/>
  <c r="B1541" i="1523" s="1"/>
  <c r="B1542" i="1523" s="1"/>
  <c r="B1543" i="1523" s="1"/>
  <c r="B1544" i="1523" s="1"/>
  <c r="B1545" i="1523" s="1"/>
  <c r="B1546" i="1523" s="1"/>
  <c r="B1547" i="1523" s="1"/>
  <c r="B1548" i="1523" s="1"/>
  <c r="B1549" i="1523" s="1"/>
  <c r="B1550" i="1523" s="1"/>
  <c r="B1551" i="1523" s="1"/>
  <c r="B1552" i="1523" s="1"/>
  <c r="B1553" i="1523" s="1"/>
  <c r="B1554" i="1523" s="1"/>
  <c r="B1555" i="1523" s="1"/>
  <c r="B1556" i="1523" s="1"/>
  <c r="B1557" i="1523" s="1"/>
  <c r="B1558" i="1523" s="1"/>
  <c r="B1559" i="1523" s="1"/>
  <c r="B1560" i="1523" s="1"/>
  <c r="B1561" i="1523" s="1"/>
  <c r="B1562" i="1523" s="1"/>
  <c r="B1563" i="1523" s="1"/>
  <c r="B1564" i="1523" s="1"/>
  <c r="B1565" i="1523" s="1"/>
  <c r="B1566" i="1523" s="1"/>
  <c r="B1567" i="1523" s="1"/>
  <c r="B1568" i="1523" s="1"/>
  <c r="B1569" i="1523" s="1"/>
  <c r="B1570" i="1523" s="1"/>
  <c r="B1571" i="1523" s="1"/>
  <c r="B1572" i="1523" s="1"/>
  <c r="B1573" i="1523" s="1"/>
  <c r="B1574" i="1523" s="1"/>
  <c r="B1575" i="1523" s="1"/>
  <c r="B1576" i="1523" s="1"/>
  <c r="B1577" i="1523" s="1"/>
  <c r="B1578" i="1523" s="1"/>
  <c r="B1579" i="1523" s="1"/>
  <c r="B1580" i="1523" s="1"/>
  <c r="B1581" i="1523" s="1"/>
  <c r="B1582" i="1523" s="1"/>
  <c r="B1583" i="1523" s="1"/>
  <c r="B1584" i="1523" s="1"/>
  <c r="B1585" i="1523" s="1"/>
  <c r="B1586" i="1523" s="1"/>
  <c r="B1587" i="1523" s="1"/>
  <c r="B1588" i="1523" s="1"/>
  <c r="B1589" i="1523" s="1"/>
  <c r="B1590" i="1523" s="1"/>
  <c r="B1591" i="1523" s="1"/>
  <c r="B1592" i="1523" s="1"/>
  <c r="B1593" i="1523" s="1"/>
  <c r="B1594" i="1523" s="1"/>
  <c r="B1595" i="1523" s="1"/>
  <c r="B1596" i="1523" s="1"/>
  <c r="B1597" i="1523" s="1"/>
  <c r="B1598" i="1523" s="1"/>
  <c r="B1599" i="1523" s="1"/>
  <c r="B1600" i="1523" s="1"/>
  <c r="B1601" i="1523" s="1"/>
  <c r="B1602" i="1523" s="1"/>
  <c r="B1603" i="1523" s="1"/>
  <c r="B1604" i="1523" s="1"/>
  <c r="B1605" i="1523" s="1"/>
  <c r="B1606" i="1523" s="1"/>
  <c r="B1607" i="1523" s="1"/>
  <c r="B1608" i="1523" s="1"/>
  <c r="B1609" i="1523" s="1"/>
  <c r="B1610" i="1523" s="1"/>
  <c r="B1611" i="1523" s="1"/>
  <c r="B1612" i="1523" s="1"/>
  <c r="B1613" i="1523" s="1"/>
  <c r="B1614" i="1523" s="1"/>
  <c r="B1615" i="1523" s="1"/>
  <c r="B1616" i="1523" s="1"/>
  <c r="B1617" i="1523" s="1"/>
  <c r="B1618" i="1523" s="1"/>
  <c r="B1619" i="1523" s="1"/>
  <c r="B1620" i="1523" s="1"/>
  <c r="B1621" i="1523" s="1"/>
  <c r="B1622" i="1523" s="1"/>
  <c r="B1623" i="1523" s="1"/>
  <c r="B1624" i="1523" s="1"/>
  <c r="B1625" i="1523" s="1"/>
  <c r="B1626" i="1523" s="1"/>
  <c r="B1627" i="1523" s="1"/>
  <c r="B1628" i="1523" s="1"/>
  <c r="B1629" i="1523" s="1"/>
  <c r="B1630" i="1523" s="1"/>
  <c r="B1631" i="1523" s="1"/>
  <c r="B1632" i="1523" s="1"/>
  <c r="B1633" i="1523" s="1"/>
  <c r="B1634" i="1523" s="1"/>
  <c r="B1635" i="1523" s="1"/>
  <c r="B1636" i="1523" s="1"/>
  <c r="B1637" i="1523" s="1"/>
  <c r="B1638" i="1523" s="1"/>
  <c r="B1639" i="1523" s="1"/>
  <c r="B1640" i="1523" s="1"/>
  <c r="B1641" i="1523" s="1"/>
  <c r="B1642" i="1523" s="1"/>
  <c r="B1643" i="1523" s="1"/>
  <c r="B1644" i="1523" s="1"/>
  <c r="B1645" i="1523" s="1"/>
  <c r="B1646" i="1523" s="1"/>
  <c r="B1647" i="1523" s="1"/>
  <c r="B1648" i="1523" s="1"/>
  <c r="B1649" i="1523" s="1"/>
  <c r="B1650" i="1523" s="1"/>
  <c r="B1651" i="1523" s="1"/>
  <c r="B1652" i="1523" s="1"/>
  <c r="B1653" i="1523" s="1"/>
  <c r="B1654" i="1523" s="1"/>
  <c r="B1655" i="1523" s="1"/>
  <c r="B1656" i="1523" s="1"/>
  <c r="B1657" i="1523" s="1"/>
  <c r="B1658" i="1523" s="1"/>
  <c r="B1659" i="1523" s="1"/>
  <c r="B1660" i="1523" s="1"/>
  <c r="B1661" i="1523" s="1"/>
  <c r="B1662" i="1523" s="1"/>
  <c r="B1663" i="1523" s="1"/>
  <c r="B1664" i="1523" s="1"/>
  <c r="B1665" i="1523" s="1"/>
  <c r="B1666" i="1523" s="1"/>
  <c r="B1667" i="1523" s="1"/>
  <c r="B1668" i="1523" s="1"/>
  <c r="B1669" i="1523" s="1"/>
  <c r="B1670" i="1523" s="1"/>
  <c r="B1671" i="1523" s="1"/>
  <c r="B1672" i="1523" s="1"/>
  <c r="B1673" i="1523" s="1"/>
  <c r="B1674" i="1523" s="1"/>
  <c r="B1675" i="1523" s="1"/>
  <c r="B1676" i="1523" s="1"/>
  <c r="B1677" i="1523" s="1"/>
  <c r="B1678" i="1523" s="1"/>
  <c r="B1679" i="1523" s="1"/>
  <c r="B1680" i="1523" s="1"/>
  <c r="B1681" i="1523" s="1"/>
  <c r="B1682" i="1523" s="1"/>
  <c r="B1683" i="1523" s="1"/>
  <c r="B1684" i="1523" s="1"/>
  <c r="B1685" i="1523" s="1"/>
  <c r="B1686" i="1523" s="1"/>
  <c r="B1687" i="1523" s="1"/>
  <c r="B1688" i="1523" s="1"/>
  <c r="B1689" i="1523" s="1"/>
  <c r="B1690" i="1523" s="1"/>
  <c r="B1691" i="1523" s="1"/>
  <c r="B1692" i="1523" s="1"/>
  <c r="B1693" i="1523" s="1"/>
  <c r="B1694" i="1523" s="1"/>
  <c r="B1695" i="1523" s="1"/>
  <c r="B1696" i="1523" s="1"/>
  <c r="B1697" i="1523" s="1"/>
  <c r="B1698" i="1523" s="1"/>
  <c r="B1699" i="1523" s="1"/>
  <c r="B1700" i="1523" s="1"/>
  <c r="B1701" i="1523" s="1"/>
  <c r="B1702" i="1523" s="1"/>
  <c r="B1703" i="1523" s="1"/>
  <c r="B1704" i="1523" s="1"/>
  <c r="B1705" i="1523" s="1"/>
  <c r="B1706" i="1523" s="1"/>
  <c r="B1707" i="1523" s="1"/>
  <c r="B1708" i="1523" s="1"/>
  <c r="B1709" i="1523" s="1"/>
  <c r="B1710" i="1523" s="1"/>
  <c r="B1711" i="1523" s="1"/>
  <c r="B1712" i="1523" s="1"/>
  <c r="B1713" i="1523" s="1"/>
  <c r="B1714" i="1523" s="1"/>
  <c r="B1715" i="1523" s="1"/>
  <c r="B1716" i="1523" s="1"/>
  <c r="B1717" i="1523" s="1"/>
  <c r="B1718" i="1523" s="1"/>
  <c r="B1719" i="1523" s="1"/>
  <c r="B1720" i="1523" s="1"/>
  <c r="B1721" i="1523" s="1"/>
  <c r="B1722" i="1523" s="1"/>
  <c r="B1723" i="1523" s="1"/>
  <c r="B1724" i="1523" s="1"/>
  <c r="B1725" i="1523" s="1"/>
  <c r="B1726" i="1523" s="1"/>
  <c r="B1727" i="1523" s="1"/>
  <c r="B1728" i="1523" s="1"/>
  <c r="B1729" i="1523" s="1"/>
  <c r="B1730" i="1523" s="1"/>
  <c r="B1731" i="1523" s="1"/>
  <c r="B1732" i="1523" s="1"/>
  <c r="B1733" i="1523" s="1"/>
  <c r="B1734" i="1523" s="1"/>
  <c r="B1735" i="1523" s="1"/>
  <c r="B1736" i="1523" s="1"/>
  <c r="B1737" i="1523" s="1"/>
  <c r="B1738" i="1523" s="1"/>
  <c r="B1739" i="1523" s="1"/>
  <c r="B1740" i="1523" s="1"/>
  <c r="B1741" i="1523" s="1"/>
  <c r="B1742" i="1523" s="1"/>
  <c r="B1743" i="1523" s="1"/>
  <c r="B1744" i="1523" s="1"/>
  <c r="B1745" i="1523" s="1"/>
  <c r="B1746" i="1523" s="1"/>
  <c r="B1747" i="1523" s="1"/>
  <c r="B1748" i="1523" s="1"/>
  <c r="B1749" i="1523" s="1"/>
  <c r="B1750" i="1523" s="1"/>
  <c r="B1751" i="1523" s="1"/>
  <c r="B1752" i="1523" s="1"/>
  <c r="B1753" i="1523" s="1"/>
  <c r="B1754" i="1523" s="1"/>
  <c r="B1755" i="1523" s="1"/>
  <c r="B1756" i="1523" s="1"/>
  <c r="B1757" i="1523" s="1"/>
  <c r="B1758" i="1523" s="1"/>
  <c r="B1759" i="1523" s="1"/>
  <c r="B1760" i="1523" s="1"/>
  <c r="B1761" i="1523" s="1"/>
  <c r="B1762" i="1523" s="1"/>
  <c r="B1763" i="1523" s="1"/>
  <c r="B1764" i="1523" s="1"/>
  <c r="B1765" i="1523" s="1"/>
  <c r="B1766" i="1523" s="1"/>
  <c r="B1767" i="1523" s="1"/>
  <c r="B1768" i="1523" s="1"/>
  <c r="B1769" i="1523" s="1"/>
  <c r="B1770" i="1523" s="1"/>
  <c r="B1771" i="1523" s="1"/>
  <c r="B1772" i="1523" s="1"/>
  <c r="B1773" i="1523" s="1"/>
  <c r="B1774" i="1523" s="1"/>
  <c r="B1775" i="1523" s="1"/>
  <c r="B1776" i="1523" s="1"/>
  <c r="B1777" i="1523" s="1"/>
  <c r="B1778" i="1523" s="1"/>
  <c r="B1779" i="1523" s="1"/>
  <c r="B1780" i="1523" s="1"/>
  <c r="B1781" i="1523" s="1"/>
  <c r="B1782" i="1523" s="1"/>
  <c r="B1783" i="1523" s="1"/>
  <c r="B1784" i="1523" s="1"/>
  <c r="B1785" i="1523" s="1"/>
  <c r="B1786" i="1523" s="1"/>
  <c r="B1787" i="1523" s="1"/>
  <c r="B1788" i="1523" s="1"/>
  <c r="B1789" i="1523" s="1"/>
  <c r="B1790" i="1523" s="1"/>
  <c r="B1791" i="1523" s="1"/>
  <c r="B1792" i="1523" s="1"/>
  <c r="B1793" i="1523" s="1"/>
  <c r="B1794" i="1523" s="1"/>
  <c r="B1795" i="1523" s="1"/>
  <c r="B1796" i="1523" s="1"/>
  <c r="B1797" i="1523" s="1"/>
  <c r="B1798" i="1523" s="1"/>
  <c r="B1799" i="1523" s="1"/>
  <c r="B1800" i="1523" s="1"/>
  <c r="B1801" i="1523" s="1"/>
  <c r="B1802" i="1523" s="1"/>
  <c r="B1803" i="1523" s="1"/>
  <c r="B1804" i="1523" s="1"/>
  <c r="B1805" i="1523" s="1"/>
  <c r="B1806" i="1523" s="1"/>
  <c r="B1807" i="1523" s="1"/>
  <c r="B1808" i="1523" s="1"/>
  <c r="B1809" i="1523" s="1"/>
  <c r="B1810" i="1523" s="1"/>
  <c r="B1811" i="1523" s="1"/>
  <c r="B1812" i="1523" s="1"/>
  <c r="B1813" i="1523" s="1"/>
  <c r="B1814" i="1523" s="1"/>
  <c r="B1815" i="1523" s="1"/>
  <c r="B1816" i="1523" s="1"/>
  <c r="B1817" i="1523" s="1"/>
  <c r="B1818" i="1523" s="1"/>
  <c r="B1819" i="1523" s="1"/>
  <c r="B1820" i="1523" s="1"/>
  <c r="B1821" i="1523" s="1"/>
  <c r="B1822" i="1523" s="1"/>
  <c r="B1823" i="1523" s="1"/>
  <c r="B1824" i="1523" s="1"/>
  <c r="B1825" i="1523" s="1"/>
  <c r="B1826" i="1523" s="1"/>
  <c r="B1827" i="1523" s="1"/>
  <c r="B1828" i="1523" s="1"/>
  <c r="B1829" i="1523" s="1"/>
  <c r="B1830" i="1523" s="1"/>
  <c r="B1831" i="1523" s="1"/>
  <c r="B1832" i="1523" s="1"/>
  <c r="B1833" i="1523" s="1"/>
  <c r="B1834" i="1523" s="1"/>
  <c r="B1835" i="1523" s="1"/>
  <c r="B1836" i="1523" s="1"/>
  <c r="B1837" i="1523" s="1"/>
  <c r="B1838" i="1523" s="1"/>
  <c r="B1839" i="1523" s="1"/>
  <c r="B1840" i="1523" s="1"/>
  <c r="B1841" i="1523" s="1"/>
  <c r="B1842" i="1523" s="1"/>
  <c r="B1843" i="1523" s="1"/>
  <c r="B1844" i="1523" s="1"/>
  <c r="B1845" i="1523" s="1"/>
  <c r="B1846" i="1523" s="1"/>
  <c r="B1847" i="1523" s="1"/>
  <c r="B1848" i="1523" s="1"/>
  <c r="B1849" i="1523" s="1"/>
  <c r="B1850" i="1523" s="1"/>
  <c r="B1851" i="1523" s="1"/>
  <c r="B1852" i="1523" s="1"/>
  <c r="B1853" i="1523" s="1"/>
  <c r="B1854" i="1523" s="1"/>
  <c r="B1855" i="1523" s="1"/>
  <c r="B1856" i="1523" s="1"/>
  <c r="B1857" i="1523" s="1"/>
  <c r="B1858" i="1523" s="1"/>
  <c r="B1859" i="1523" s="1"/>
  <c r="B1860" i="1523" s="1"/>
  <c r="B1861" i="1523" s="1"/>
  <c r="B1862" i="1523" s="1"/>
  <c r="B1863" i="1523" s="1"/>
  <c r="B1864" i="1523" s="1"/>
  <c r="B1865" i="1523" s="1"/>
  <c r="B1866" i="1523" s="1"/>
  <c r="B1867" i="1523" s="1"/>
  <c r="B1868" i="1523" s="1"/>
  <c r="B1869" i="1523" s="1"/>
  <c r="B1870" i="1523" s="1"/>
  <c r="B1871" i="1523" s="1"/>
  <c r="B1872" i="1523" s="1"/>
  <c r="B1873" i="1523" s="1"/>
  <c r="B1874" i="1523" s="1"/>
  <c r="B1875" i="1523" s="1"/>
  <c r="B1876" i="1523" s="1"/>
  <c r="B1877" i="1523" s="1"/>
  <c r="B1878" i="1523" s="1"/>
  <c r="B1879" i="1523" s="1"/>
  <c r="B1880" i="1523" s="1"/>
  <c r="B1881" i="1523" s="1"/>
  <c r="B1882" i="1523" s="1"/>
  <c r="B1883" i="1523" s="1"/>
  <c r="B1884" i="1523" s="1"/>
  <c r="B1885" i="1523" s="1"/>
  <c r="B1886" i="1523" s="1"/>
  <c r="B1887" i="1523" s="1"/>
  <c r="B1888" i="1523" s="1"/>
  <c r="B1889" i="1523" s="1"/>
  <c r="B1890" i="1523" s="1"/>
  <c r="B1891" i="1523" s="1"/>
  <c r="B1892" i="1523" s="1"/>
  <c r="B1893" i="1523" s="1"/>
  <c r="B1894" i="1523" s="1"/>
  <c r="B1895" i="1523" s="1"/>
  <c r="B1896" i="1523" s="1"/>
  <c r="B1897" i="1523" s="1"/>
  <c r="B1898" i="1523" s="1"/>
  <c r="B1899" i="1523" s="1"/>
  <c r="B1900" i="1523" s="1"/>
  <c r="B1901" i="1523" s="1"/>
  <c r="B1902" i="1523" s="1"/>
  <c r="B1903" i="1523" s="1"/>
  <c r="B1904" i="1523" s="1"/>
  <c r="B1905" i="1523" s="1"/>
  <c r="B1906" i="1523" s="1"/>
  <c r="B1907" i="1523" s="1"/>
  <c r="B1908" i="1523" s="1"/>
  <c r="B1909" i="1523" s="1"/>
  <c r="B1910" i="1523" s="1"/>
  <c r="B1911" i="1523" s="1"/>
  <c r="B1912" i="1523" s="1"/>
  <c r="B1913" i="1523" s="1"/>
  <c r="B1914" i="1523" s="1"/>
  <c r="B1915" i="1523" s="1"/>
  <c r="B1916" i="1523" s="1"/>
  <c r="B1917" i="1523" s="1"/>
  <c r="B1918" i="1523" s="1"/>
  <c r="B1919" i="1523" s="1"/>
  <c r="B1920" i="1523" s="1"/>
  <c r="B1921" i="1523" s="1"/>
  <c r="B1922" i="1523" s="1"/>
  <c r="B1923" i="1523" s="1"/>
  <c r="B1924" i="1523" s="1"/>
  <c r="B1925" i="1523" s="1"/>
  <c r="B1926" i="1523" s="1"/>
  <c r="B1927" i="1523" s="1"/>
  <c r="B1928" i="1523" s="1"/>
  <c r="B1929" i="1523" s="1"/>
  <c r="B1930" i="1523" s="1"/>
  <c r="B1931" i="1523" s="1"/>
  <c r="B1932" i="1523" s="1"/>
  <c r="B1933" i="1523" s="1"/>
  <c r="B1934" i="1523" s="1"/>
  <c r="B1935" i="1523" s="1"/>
  <c r="B1936" i="1523" s="1"/>
  <c r="B1937" i="1523" s="1"/>
  <c r="B1938" i="1523" s="1"/>
  <c r="B1939" i="1523" s="1"/>
  <c r="B1940" i="1523" s="1"/>
  <c r="B1941" i="1523" s="1"/>
  <c r="B1942" i="1523" s="1"/>
  <c r="B1943" i="1523" s="1"/>
  <c r="B1944" i="1523" s="1"/>
  <c r="B1945" i="1523" s="1"/>
  <c r="B1946" i="1523" s="1"/>
  <c r="B1947" i="1523" s="1"/>
  <c r="B1948" i="1523" s="1"/>
  <c r="B1949" i="1523" s="1"/>
  <c r="B1950" i="1523" s="1"/>
  <c r="B1951" i="1523" s="1"/>
  <c r="B1952" i="1523" s="1"/>
  <c r="B1953" i="1523" s="1"/>
  <c r="B1954" i="1523" s="1"/>
  <c r="B1955" i="1523" s="1"/>
  <c r="B1956" i="1523" s="1"/>
  <c r="B1957" i="1523" s="1"/>
  <c r="B1958" i="1523" s="1"/>
  <c r="B1959" i="1523" s="1"/>
  <c r="B1960" i="1523" s="1"/>
  <c r="B1961" i="1523" s="1"/>
  <c r="B1962" i="1523" s="1"/>
  <c r="B1963" i="1523" s="1"/>
  <c r="B1964" i="1523" s="1"/>
  <c r="B1965" i="1523" s="1"/>
  <c r="B1966" i="1523" s="1"/>
  <c r="B1967" i="1523" s="1"/>
  <c r="B1968" i="1523" s="1"/>
  <c r="B1969" i="1523" s="1"/>
  <c r="B1970" i="1523" s="1"/>
  <c r="B1971" i="1523" s="1"/>
  <c r="B1972" i="1523" s="1"/>
  <c r="B1973" i="1523" s="1"/>
  <c r="B1974" i="1523" s="1"/>
  <c r="B1975" i="1523" s="1"/>
  <c r="B1976" i="1523" s="1"/>
  <c r="B1977" i="1523" s="1"/>
  <c r="B1978" i="1523" s="1"/>
  <c r="B1979" i="1523" s="1"/>
  <c r="B1980" i="1523" s="1"/>
  <c r="B1981" i="1523" s="1"/>
  <c r="B1982" i="1523" s="1"/>
  <c r="B1983" i="1523" s="1"/>
  <c r="B1984" i="1523" s="1"/>
  <c r="B1985" i="1523" s="1"/>
  <c r="B1986" i="1523" s="1"/>
  <c r="B1987" i="1523" s="1"/>
  <c r="B1988" i="1523" s="1"/>
  <c r="B1989" i="1523" s="1"/>
  <c r="B1990" i="1523" s="1"/>
  <c r="B1991" i="1523" s="1"/>
  <c r="B1992" i="1523" s="1"/>
  <c r="B1993" i="1523" s="1"/>
  <c r="B1994" i="1523" s="1"/>
  <c r="B1995" i="1523" s="1"/>
  <c r="B1996" i="1523" s="1"/>
  <c r="B1997" i="1523" s="1"/>
  <c r="B1998" i="1523" s="1"/>
  <c r="B1999" i="1523" s="1"/>
  <c r="B2000" i="1523" s="1"/>
  <c r="B2001" i="1523" s="1"/>
  <c r="B2002" i="1523" s="1"/>
  <c r="B2003" i="1523" s="1"/>
  <c r="B2004" i="1523" s="1"/>
  <c r="B2005" i="1523" s="1"/>
  <c r="B2006" i="1523" s="1"/>
  <c r="B2007" i="1523" s="1"/>
  <c r="B2008" i="1523" s="1"/>
  <c r="B2009" i="1523" s="1"/>
  <c r="B2010" i="1523" s="1"/>
  <c r="B2011" i="1523" s="1"/>
  <c r="B2012" i="1523" s="1"/>
  <c r="B2013" i="1523" s="1"/>
  <c r="B2014" i="1523" s="1"/>
  <c r="B2015" i="1523" s="1"/>
  <c r="B2016" i="1523" s="1"/>
  <c r="B2017" i="1523" s="1"/>
  <c r="B2018" i="1523" s="1"/>
  <c r="B2019" i="1523" s="1"/>
  <c r="B2020" i="1523" s="1"/>
  <c r="B2021" i="1523" s="1"/>
  <c r="B2022" i="1523" s="1"/>
  <c r="B2023" i="1523" s="1"/>
  <c r="B2024" i="1523" s="1"/>
  <c r="B2025" i="1523" s="1"/>
  <c r="B2026" i="1523" s="1"/>
  <c r="B2027" i="1523" s="1"/>
  <c r="B2028" i="1523" s="1"/>
  <c r="B2029" i="1523" s="1"/>
  <c r="B2030" i="1523" s="1"/>
  <c r="B2031" i="1523" s="1"/>
  <c r="B2032" i="1523" s="1"/>
  <c r="B2033" i="1523" s="1"/>
  <c r="B2034" i="1523" s="1"/>
  <c r="B2035" i="1523" s="1"/>
  <c r="B2036" i="1523" s="1"/>
  <c r="B2037" i="1523" s="1"/>
  <c r="B2038" i="1523" s="1"/>
  <c r="B2039" i="1523" s="1"/>
  <c r="B2040" i="1523" s="1"/>
  <c r="B2041" i="1523" s="1"/>
  <c r="B2042" i="1523" s="1"/>
  <c r="B2043" i="1523" s="1"/>
  <c r="B2044" i="1523" s="1"/>
  <c r="B2045" i="1523" s="1"/>
  <c r="B2046" i="1523" s="1"/>
  <c r="B2047" i="1523" s="1"/>
  <c r="B2048" i="1523" s="1"/>
  <c r="B2049" i="1523" s="1"/>
  <c r="B2050" i="1523" s="1"/>
  <c r="B2051" i="1523" s="1"/>
  <c r="B2052" i="1523" s="1"/>
  <c r="B2053" i="1523" s="1"/>
  <c r="B2054" i="1523" s="1"/>
  <c r="B2055" i="1523" s="1"/>
  <c r="B2056" i="1523" s="1"/>
  <c r="B2057" i="1523" s="1"/>
  <c r="B2058" i="1523" s="1"/>
  <c r="B2059" i="1523" s="1"/>
  <c r="B2060" i="1523" s="1"/>
  <c r="B2061" i="1523" s="1"/>
  <c r="B2062" i="1523" s="1"/>
  <c r="B2063" i="1523" s="1"/>
  <c r="B2064" i="1523" s="1"/>
  <c r="B2065" i="1523" s="1"/>
  <c r="B2066" i="1523" s="1"/>
  <c r="B2067" i="1523" s="1"/>
  <c r="B2068" i="1523" s="1"/>
  <c r="B2069" i="1523" s="1"/>
  <c r="B2070" i="1523" s="1"/>
  <c r="B2071" i="1523" s="1"/>
  <c r="B2072" i="1523" s="1"/>
  <c r="B2073" i="1523" s="1"/>
  <c r="B2074" i="1523" s="1"/>
  <c r="B2075" i="1523" s="1"/>
  <c r="B2076" i="1523" s="1"/>
  <c r="B2077" i="1523" s="1"/>
  <c r="B2078" i="1523" s="1"/>
  <c r="B2079" i="1523" s="1"/>
  <c r="B2080" i="1523" s="1"/>
  <c r="B2081" i="1523" s="1"/>
  <c r="B2082" i="1523" s="1"/>
  <c r="B2083" i="1523" s="1"/>
  <c r="B2084" i="1523" s="1"/>
  <c r="B2085" i="1523" s="1"/>
  <c r="B2086" i="1523" s="1"/>
  <c r="B2087" i="1523" s="1"/>
  <c r="B2088" i="1523" s="1"/>
  <c r="B2089" i="1523" s="1"/>
  <c r="B2090" i="1523" s="1"/>
  <c r="B2091" i="1523" s="1"/>
  <c r="B2092" i="1523" s="1"/>
  <c r="B2093" i="1523" s="1"/>
  <c r="B2094" i="1523" s="1"/>
  <c r="B2095" i="1523" s="1"/>
  <c r="B2096" i="1523" s="1"/>
  <c r="B2097" i="1523" s="1"/>
  <c r="B2098" i="1523" s="1"/>
  <c r="B2099" i="1523" s="1"/>
  <c r="B2100" i="1523" s="1"/>
  <c r="B2101" i="1523" s="1"/>
  <c r="B2102" i="1523" s="1"/>
  <c r="B2103" i="1523" s="1"/>
  <c r="B2104" i="1523" s="1"/>
  <c r="B2105" i="1523" s="1"/>
  <c r="B2106" i="1523" s="1"/>
  <c r="B2107" i="1523" s="1"/>
  <c r="B2108" i="1523" s="1"/>
  <c r="B2109" i="1523" s="1"/>
  <c r="B2110" i="1523" s="1"/>
  <c r="B2111" i="1523" s="1"/>
  <c r="B2112" i="1523" s="1"/>
  <c r="B2113" i="1523" s="1"/>
  <c r="B2114" i="1523" s="1"/>
  <c r="B2115" i="1523" s="1"/>
  <c r="B2116" i="1523" s="1"/>
  <c r="B2117" i="1523" s="1"/>
  <c r="B2118" i="1523" s="1"/>
  <c r="B2119" i="1523" s="1"/>
  <c r="B2120" i="1523" s="1"/>
  <c r="K2120" i="1525"/>
  <c r="I2120" i="1525" s="1"/>
  <c r="M2120" i="1525" s="1"/>
  <c r="N2120" i="1525" s="1"/>
  <c r="O2120" i="1525" s="1"/>
  <c r="K2119" i="1525"/>
  <c r="I2119" i="1525" s="1"/>
  <c r="M2119" i="1525" s="1"/>
  <c r="N2119" i="1525" s="1"/>
  <c r="O2119" i="1525" s="1"/>
  <c r="K2118" i="1525"/>
  <c r="I2118" i="1525" s="1"/>
  <c r="M2118" i="1525" s="1"/>
  <c r="N2118" i="1525" s="1"/>
  <c r="O2118" i="1525" s="1"/>
  <c r="K2117" i="1525"/>
  <c r="I2117" i="1525" s="1"/>
  <c r="M2117" i="1525" s="1"/>
  <c r="N2117" i="1525" s="1"/>
  <c r="O2117" i="1525" s="1"/>
  <c r="K2116" i="1525"/>
  <c r="I2116" i="1525" s="1"/>
  <c r="M2116" i="1525" s="1"/>
  <c r="N2116" i="1525" s="1"/>
  <c r="O2116" i="1525" s="1"/>
  <c r="K2115" i="1525"/>
  <c r="I2115" i="1525" s="1"/>
  <c r="M2115" i="1525" s="1"/>
  <c r="N2115" i="1525" s="1"/>
  <c r="O2115" i="1525" s="1"/>
  <c r="K2114" i="1525"/>
  <c r="I2114" i="1525" s="1"/>
  <c r="M2114" i="1525" s="1"/>
  <c r="N2114" i="1525" s="1"/>
  <c r="O2114" i="1525" s="1"/>
  <c r="K2113" i="1525"/>
  <c r="I2113" i="1525" s="1"/>
  <c r="M2113" i="1525" s="1"/>
  <c r="N2113" i="1525" s="1"/>
  <c r="O2113" i="1525" s="1"/>
  <c r="K2112" i="1525"/>
  <c r="I2112" i="1525" s="1"/>
  <c r="M2112" i="1525" s="1"/>
  <c r="N2112" i="1525" s="1"/>
  <c r="O2112" i="1525" s="1"/>
  <c r="K2111" i="1525"/>
  <c r="I2111" i="1525" s="1"/>
  <c r="M2111" i="1525" s="1"/>
  <c r="N2111" i="1525" s="1"/>
  <c r="O2111" i="1525" s="1"/>
  <c r="K2110" i="1525"/>
  <c r="I2110" i="1525" s="1"/>
  <c r="M2110" i="1525" s="1"/>
  <c r="N2110" i="1525" s="1"/>
  <c r="O2110" i="1525" s="1"/>
  <c r="K2109" i="1525"/>
  <c r="I2109" i="1525" s="1"/>
  <c r="M2109" i="1525" s="1"/>
  <c r="N2109" i="1525" s="1"/>
  <c r="O2109" i="1525" s="1"/>
  <c r="K2108" i="1525"/>
  <c r="I2108" i="1525" s="1"/>
  <c r="M2108" i="1525" s="1"/>
  <c r="N2108" i="1525" s="1"/>
  <c r="O2108" i="1525" s="1"/>
  <c r="K2107" i="1525"/>
  <c r="I2107" i="1525" s="1"/>
  <c r="M2107" i="1525" s="1"/>
  <c r="N2107" i="1525" s="1"/>
  <c r="O2107" i="1525" s="1"/>
  <c r="K2106" i="1525"/>
  <c r="I2106" i="1525" s="1"/>
  <c r="M2106" i="1525" s="1"/>
  <c r="N2106" i="1525" s="1"/>
  <c r="O2106" i="1525" s="1"/>
  <c r="K2105" i="1525"/>
  <c r="I2105" i="1525" s="1"/>
  <c r="M2105" i="1525" s="1"/>
  <c r="N2105" i="1525" s="1"/>
  <c r="O2105" i="1525" s="1"/>
  <c r="K2104" i="1525"/>
  <c r="I2104" i="1525" s="1"/>
  <c r="M2104" i="1525" s="1"/>
  <c r="N2104" i="1525" s="1"/>
  <c r="O2104" i="1525" s="1"/>
  <c r="K2103" i="1525"/>
  <c r="I2103" i="1525" s="1"/>
  <c r="M2103" i="1525" s="1"/>
  <c r="N2103" i="1525" s="1"/>
  <c r="O2103" i="1525" s="1"/>
  <c r="K2102" i="1525"/>
  <c r="I2102" i="1525" s="1"/>
  <c r="M2102" i="1525" s="1"/>
  <c r="N2102" i="1525" s="1"/>
  <c r="O2102" i="1525" s="1"/>
  <c r="K2101" i="1525"/>
  <c r="I2101" i="1525" s="1"/>
  <c r="M2101" i="1525" s="1"/>
  <c r="N2101" i="1525" s="1"/>
  <c r="O2101" i="1525" s="1"/>
  <c r="K2100" i="1525"/>
  <c r="I2100" i="1525" s="1"/>
  <c r="M2100" i="1525" s="1"/>
  <c r="N2100" i="1525" s="1"/>
  <c r="O2100" i="1525" s="1"/>
  <c r="K2099" i="1525"/>
  <c r="I2099" i="1525" s="1"/>
  <c r="M2099" i="1525" s="1"/>
  <c r="N2099" i="1525" s="1"/>
  <c r="O2099" i="1525" s="1"/>
  <c r="K2098" i="1525"/>
  <c r="I2098" i="1525" s="1"/>
  <c r="M2098" i="1525" s="1"/>
  <c r="N2098" i="1525" s="1"/>
  <c r="O2098" i="1525" s="1"/>
  <c r="K2097" i="1525"/>
  <c r="I2097" i="1525" s="1"/>
  <c r="M2097" i="1525" s="1"/>
  <c r="N2097" i="1525" s="1"/>
  <c r="O2097" i="1525" s="1"/>
  <c r="K2096" i="1525"/>
  <c r="I2096" i="1525" s="1"/>
  <c r="M2096" i="1525" s="1"/>
  <c r="N2096" i="1525" s="1"/>
  <c r="O2096" i="1525" s="1"/>
  <c r="K2095" i="1525"/>
  <c r="I2095" i="1525" s="1"/>
  <c r="M2095" i="1525" s="1"/>
  <c r="N2095" i="1525" s="1"/>
  <c r="O2095" i="1525" s="1"/>
  <c r="K2094" i="1525"/>
  <c r="I2094" i="1525" s="1"/>
  <c r="M2094" i="1525" s="1"/>
  <c r="N2094" i="1525" s="1"/>
  <c r="O2094" i="1525" s="1"/>
  <c r="K2093" i="1525"/>
  <c r="I2093" i="1525" s="1"/>
  <c r="M2093" i="1525" s="1"/>
  <c r="N2093" i="1525" s="1"/>
  <c r="O2093" i="1525" s="1"/>
  <c r="K2092" i="1525"/>
  <c r="I2092" i="1525" s="1"/>
  <c r="M2092" i="1525" s="1"/>
  <c r="N2092" i="1525" s="1"/>
  <c r="O2092" i="1525" s="1"/>
  <c r="K2091" i="1525"/>
  <c r="I2091" i="1525" s="1"/>
  <c r="M2091" i="1525" s="1"/>
  <c r="N2091" i="1525" s="1"/>
  <c r="O2091" i="1525" s="1"/>
  <c r="K2090" i="1525"/>
  <c r="I2090" i="1525" s="1"/>
  <c r="M2090" i="1525" s="1"/>
  <c r="N2090" i="1525" s="1"/>
  <c r="O2090" i="1525" s="1"/>
  <c r="K2089" i="1525"/>
  <c r="I2089" i="1525" s="1"/>
  <c r="M2089" i="1525" s="1"/>
  <c r="N2089" i="1525" s="1"/>
  <c r="O2089" i="1525" s="1"/>
  <c r="K2088" i="1525"/>
  <c r="I2088" i="1525" s="1"/>
  <c r="M2088" i="1525" s="1"/>
  <c r="N2088" i="1525" s="1"/>
  <c r="O2088" i="1525" s="1"/>
  <c r="K2087" i="1525"/>
  <c r="I2087" i="1525" s="1"/>
  <c r="M2087" i="1525" s="1"/>
  <c r="N2087" i="1525" s="1"/>
  <c r="O2087" i="1525" s="1"/>
  <c r="K2086" i="1525"/>
  <c r="I2086" i="1525" s="1"/>
  <c r="M2086" i="1525" s="1"/>
  <c r="N2086" i="1525" s="1"/>
  <c r="O2086" i="1525" s="1"/>
  <c r="K2085" i="1525"/>
  <c r="I2085" i="1525" s="1"/>
  <c r="M2085" i="1525" s="1"/>
  <c r="N2085" i="1525" s="1"/>
  <c r="O2085" i="1525" s="1"/>
  <c r="K2084" i="1525"/>
  <c r="I2084" i="1525" s="1"/>
  <c r="M2084" i="1525" s="1"/>
  <c r="N2084" i="1525" s="1"/>
  <c r="O2084" i="1525" s="1"/>
  <c r="K2083" i="1525"/>
  <c r="I2083" i="1525" s="1"/>
  <c r="M2083" i="1525" s="1"/>
  <c r="N2083" i="1525" s="1"/>
  <c r="O2083" i="1525" s="1"/>
  <c r="K2082" i="1525"/>
  <c r="I2082" i="1525" s="1"/>
  <c r="M2082" i="1525" s="1"/>
  <c r="N2082" i="1525" s="1"/>
  <c r="O2082" i="1525" s="1"/>
  <c r="K2081" i="1525"/>
  <c r="I2081" i="1525" s="1"/>
  <c r="M2081" i="1525" s="1"/>
  <c r="N2081" i="1525" s="1"/>
  <c r="O2081" i="1525" s="1"/>
  <c r="K2080" i="1525"/>
  <c r="I2080" i="1525" s="1"/>
  <c r="M2080" i="1525" s="1"/>
  <c r="N2080" i="1525" s="1"/>
  <c r="O2080" i="1525" s="1"/>
  <c r="K2079" i="1525"/>
  <c r="I2079" i="1525" s="1"/>
  <c r="M2079" i="1525" s="1"/>
  <c r="N2079" i="1525" s="1"/>
  <c r="O2079" i="1525" s="1"/>
  <c r="K2078" i="1525"/>
  <c r="I2078" i="1525" s="1"/>
  <c r="M2078" i="1525" s="1"/>
  <c r="N2078" i="1525" s="1"/>
  <c r="O2078" i="1525" s="1"/>
  <c r="K2077" i="1525"/>
  <c r="I2077" i="1525" s="1"/>
  <c r="M2077" i="1525" s="1"/>
  <c r="N2077" i="1525" s="1"/>
  <c r="O2077" i="1525" s="1"/>
  <c r="K2076" i="1525"/>
  <c r="I2076" i="1525" s="1"/>
  <c r="M2076" i="1525" s="1"/>
  <c r="N2076" i="1525" s="1"/>
  <c r="O2076" i="1525" s="1"/>
  <c r="K2075" i="1525"/>
  <c r="I2075" i="1525" s="1"/>
  <c r="M2075" i="1525" s="1"/>
  <c r="N2075" i="1525" s="1"/>
  <c r="O2075" i="1525" s="1"/>
  <c r="K2074" i="1525"/>
  <c r="I2074" i="1525" s="1"/>
  <c r="M2074" i="1525" s="1"/>
  <c r="N2074" i="1525" s="1"/>
  <c r="O2074" i="1525" s="1"/>
  <c r="K2073" i="1525"/>
  <c r="I2073" i="1525" s="1"/>
  <c r="M2073" i="1525" s="1"/>
  <c r="N2073" i="1525" s="1"/>
  <c r="O2073" i="1525" s="1"/>
  <c r="K2072" i="1525"/>
  <c r="I2072" i="1525" s="1"/>
  <c r="M2072" i="1525" s="1"/>
  <c r="N2072" i="1525" s="1"/>
  <c r="O2072" i="1525" s="1"/>
  <c r="K2071" i="1525"/>
  <c r="I2071" i="1525" s="1"/>
  <c r="M2071" i="1525" s="1"/>
  <c r="N2071" i="1525" s="1"/>
  <c r="O2071" i="1525" s="1"/>
  <c r="K2070" i="1525"/>
  <c r="I2070" i="1525" s="1"/>
  <c r="M2070" i="1525" s="1"/>
  <c r="N2070" i="1525" s="1"/>
  <c r="O2070" i="1525" s="1"/>
  <c r="K2069" i="1525"/>
  <c r="I2069" i="1525" s="1"/>
  <c r="M2069" i="1525" s="1"/>
  <c r="N2069" i="1525" s="1"/>
  <c r="O2069" i="1525" s="1"/>
  <c r="K2068" i="1525"/>
  <c r="I2068" i="1525" s="1"/>
  <c r="M2068" i="1525" s="1"/>
  <c r="N2068" i="1525" s="1"/>
  <c r="O2068" i="1525" s="1"/>
  <c r="K2067" i="1525"/>
  <c r="I2067" i="1525" s="1"/>
  <c r="M2067" i="1525" s="1"/>
  <c r="N2067" i="1525" s="1"/>
  <c r="O2067" i="1525" s="1"/>
  <c r="K2066" i="1525"/>
  <c r="I2066" i="1525" s="1"/>
  <c r="M2066" i="1525" s="1"/>
  <c r="N2066" i="1525" s="1"/>
  <c r="O2066" i="1525" s="1"/>
  <c r="K2065" i="1525"/>
  <c r="I2065" i="1525" s="1"/>
  <c r="M2065" i="1525" s="1"/>
  <c r="N2065" i="1525" s="1"/>
  <c r="O2065" i="1525" s="1"/>
  <c r="K2064" i="1525"/>
  <c r="I2064" i="1525" s="1"/>
  <c r="M2064" i="1525" s="1"/>
  <c r="N2064" i="1525" s="1"/>
  <c r="O2064" i="1525" s="1"/>
  <c r="K2063" i="1525"/>
  <c r="I2063" i="1525" s="1"/>
  <c r="M2063" i="1525" s="1"/>
  <c r="N2063" i="1525" s="1"/>
  <c r="O2063" i="1525" s="1"/>
  <c r="K2062" i="1525"/>
  <c r="I2062" i="1525" s="1"/>
  <c r="M2062" i="1525" s="1"/>
  <c r="N2062" i="1525" s="1"/>
  <c r="O2062" i="1525" s="1"/>
  <c r="K2061" i="1525"/>
  <c r="I2061" i="1525" s="1"/>
  <c r="M2061" i="1525" s="1"/>
  <c r="N2061" i="1525" s="1"/>
  <c r="O2061" i="1525" s="1"/>
  <c r="K2060" i="1525"/>
  <c r="I2060" i="1525" s="1"/>
  <c r="M2060" i="1525" s="1"/>
  <c r="N2060" i="1525" s="1"/>
  <c r="O2060" i="1525" s="1"/>
  <c r="K2059" i="1525"/>
  <c r="I2059" i="1525" s="1"/>
  <c r="M2059" i="1525" s="1"/>
  <c r="N2059" i="1525" s="1"/>
  <c r="O2059" i="1525" s="1"/>
  <c r="K2058" i="1525"/>
  <c r="I2058" i="1525" s="1"/>
  <c r="M2058" i="1525" s="1"/>
  <c r="N2058" i="1525" s="1"/>
  <c r="O2058" i="1525" s="1"/>
  <c r="K2057" i="1525"/>
  <c r="I2057" i="1525" s="1"/>
  <c r="M2057" i="1525" s="1"/>
  <c r="N2057" i="1525" s="1"/>
  <c r="O2057" i="1525" s="1"/>
  <c r="K2056" i="1525"/>
  <c r="I2056" i="1525" s="1"/>
  <c r="M2056" i="1525" s="1"/>
  <c r="N2056" i="1525" s="1"/>
  <c r="O2056" i="1525" s="1"/>
  <c r="K2055" i="1525"/>
  <c r="I2055" i="1525" s="1"/>
  <c r="M2055" i="1525" s="1"/>
  <c r="N2055" i="1525" s="1"/>
  <c r="O2055" i="1525" s="1"/>
  <c r="K2054" i="1525"/>
  <c r="I2054" i="1525" s="1"/>
  <c r="M2054" i="1525" s="1"/>
  <c r="N2054" i="1525" s="1"/>
  <c r="O2054" i="1525" s="1"/>
  <c r="K2053" i="1525"/>
  <c r="I2053" i="1525" s="1"/>
  <c r="M2053" i="1525" s="1"/>
  <c r="N2053" i="1525" s="1"/>
  <c r="O2053" i="1525" s="1"/>
  <c r="K2052" i="1525"/>
  <c r="I2052" i="1525" s="1"/>
  <c r="M2052" i="1525" s="1"/>
  <c r="N2052" i="1525" s="1"/>
  <c r="O2052" i="1525" s="1"/>
  <c r="K2051" i="1525"/>
  <c r="I2051" i="1525" s="1"/>
  <c r="M2051" i="1525" s="1"/>
  <c r="N2051" i="1525" s="1"/>
  <c r="O2051" i="1525" s="1"/>
  <c r="K2050" i="1525"/>
  <c r="I2050" i="1525" s="1"/>
  <c r="M2050" i="1525" s="1"/>
  <c r="N2050" i="1525" s="1"/>
  <c r="O2050" i="1525" s="1"/>
  <c r="K2049" i="1525"/>
  <c r="I2049" i="1525" s="1"/>
  <c r="M2049" i="1525" s="1"/>
  <c r="N2049" i="1525" s="1"/>
  <c r="O2049" i="1525" s="1"/>
  <c r="K2048" i="1525"/>
  <c r="I2048" i="1525" s="1"/>
  <c r="M2048" i="1525" s="1"/>
  <c r="N2048" i="1525" s="1"/>
  <c r="O2048" i="1525" s="1"/>
  <c r="K2047" i="1525"/>
  <c r="I2047" i="1525" s="1"/>
  <c r="M2047" i="1525" s="1"/>
  <c r="N2047" i="1525" s="1"/>
  <c r="O2047" i="1525" s="1"/>
  <c r="K2046" i="1525"/>
  <c r="I2046" i="1525" s="1"/>
  <c r="M2046" i="1525" s="1"/>
  <c r="N2046" i="1525" s="1"/>
  <c r="O2046" i="1525" s="1"/>
  <c r="K2045" i="1525"/>
  <c r="I2045" i="1525" s="1"/>
  <c r="M2045" i="1525" s="1"/>
  <c r="N2045" i="1525" s="1"/>
  <c r="O2045" i="1525" s="1"/>
  <c r="K2044" i="1525"/>
  <c r="I2044" i="1525" s="1"/>
  <c r="M2044" i="1525" s="1"/>
  <c r="N2044" i="1525" s="1"/>
  <c r="O2044" i="1525" s="1"/>
  <c r="K2043" i="1525"/>
  <c r="I2043" i="1525" s="1"/>
  <c r="M2043" i="1525" s="1"/>
  <c r="N2043" i="1525" s="1"/>
  <c r="O2043" i="1525" s="1"/>
  <c r="K2042" i="1525"/>
  <c r="I2042" i="1525" s="1"/>
  <c r="M2042" i="1525" s="1"/>
  <c r="N2042" i="1525" s="1"/>
  <c r="O2042" i="1525" s="1"/>
  <c r="K2041" i="1525"/>
  <c r="I2041" i="1525" s="1"/>
  <c r="M2041" i="1525" s="1"/>
  <c r="N2041" i="1525" s="1"/>
  <c r="O2041" i="1525" s="1"/>
  <c r="K2040" i="1525"/>
  <c r="I2040" i="1525" s="1"/>
  <c r="M2040" i="1525" s="1"/>
  <c r="N2040" i="1525" s="1"/>
  <c r="O2040" i="1525" s="1"/>
  <c r="K2039" i="1525"/>
  <c r="I2039" i="1525" s="1"/>
  <c r="M2039" i="1525" s="1"/>
  <c r="N2039" i="1525" s="1"/>
  <c r="O2039" i="1525" s="1"/>
  <c r="K2038" i="1525"/>
  <c r="I2038" i="1525" s="1"/>
  <c r="M2038" i="1525" s="1"/>
  <c r="N2038" i="1525" s="1"/>
  <c r="O2038" i="1525" s="1"/>
  <c r="K2037" i="1525"/>
  <c r="I2037" i="1525" s="1"/>
  <c r="M2037" i="1525" s="1"/>
  <c r="N2037" i="1525" s="1"/>
  <c r="O2037" i="1525" s="1"/>
  <c r="K2036" i="1525"/>
  <c r="I2036" i="1525" s="1"/>
  <c r="M2036" i="1525" s="1"/>
  <c r="N2036" i="1525" s="1"/>
  <c r="O2036" i="1525" s="1"/>
  <c r="K2035" i="1525"/>
  <c r="I2035" i="1525" s="1"/>
  <c r="M2035" i="1525" s="1"/>
  <c r="N2035" i="1525" s="1"/>
  <c r="O2035" i="1525" s="1"/>
  <c r="K2034" i="1525"/>
  <c r="I2034" i="1525" s="1"/>
  <c r="M2034" i="1525" s="1"/>
  <c r="N2034" i="1525" s="1"/>
  <c r="O2034" i="1525" s="1"/>
  <c r="K2033" i="1525"/>
  <c r="I2033" i="1525" s="1"/>
  <c r="M2033" i="1525" s="1"/>
  <c r="N2033" i="1525" s="1"/>
  <c r="O2033" i="1525" s="1"/>
  <c r="K2032" i="1525"/>
  <c r="I2032" i="1525" s="1"/>
  <c r="M2032" i="1525" s="1"/>
  <c r="N2032" i="1525" s="1"/>
  <c r="O2032" i="1525" s="1"/>
  <c r="K2031" i="1525"/>
  <c r="I2031" i="1525" s="1"/>
  <c r="M2031" i="1525" s="1"/>
  <c r="N2031" i="1525" s="1"/>
  <c r="O2031" i="1525" s="1"/>
  <c r="K2030" i="1525"/>
  <c r="I2030" i="1525" s="1"/>
  <c r="M2030" i="1525" s="1"/>
  <c r="N2030" i="1525" s="1"/>
  <c r="O2030" i="1525" s="1"/>
  <c r="K2029" i="1525"/>
  <c r="I2029" i="1525" s="1"/>
  <c r="M2029" i="1525" s="1"/>
  <c r="N2029" i="1525" s="1"/>
  <c r="O2029" i="1525" s="1"/>
  <c r="K2028" i="1525"/>
  <c r="I2028" i="1525" s="1"/>
  <c r="M2028" i="1525" s="1"/>
  <c r="N2028" i="1525" s="1"/>
  <c r="O2028" i="1525" s="1"/>
  <c r="K2027" i="1525"/>
  <c r="I2027" i="1525" s="1"/>
  <c r="M2027" i="1525" s="1"/>
  <c r="N2027" i="1525" s="1"/>
  <c r="O2027" i="1525" s="1"/>
  <c r="K2026" i="1525"/>
  <c r="I2026" i="1525" s="1"/>
  <c r="M2026" i="1525" s="1"/>
  <c r="N2026" i="1525" s="1"/>
  <c r="O2026" i="1525" s="1"/>
  <c r="K2025" i="1525"/>
  <c r="I2025" i="1525" s="1"/>
  <c r="M2025" i="1525" s="1"/>
  <c r="N2025" i="1525" s="1"/>
  <c r="O2025" i="1525" s="1"/>
  <c r="K2024" i="1525"/>
  <c r="I2024" i="1525" s="1"/>
  <c r="M2024" i="1525" s="1"/>
  <c r="N2024" i="1525" s="1"/>
  <c r="O2024" i="1525" s="1"/>
  <c r="K2023" i="1525"/>
  <c r="I2023" i="1525" s="1"/>
  <c r="M2023" i="1525" s="1"/>
  <c r="N2023" i="1525" s="1"/>
  <c r="O2023" i="1525" s="1"/>
  <c r="K2022" i="1525"/>
  <c r="I2022" i="1525" s="1"/>
  <c r="M2022" i="1525" s="1"/>
  <c r="N2022" i="1525" s="1"/>
  <c r="O2022" i="1525" s="1"/>
  <c r="K2021" i="1525"/>
  <c r="I2021" i="1525" s="1"/>
  <c r="M2021" i="1525" s="1"/>
  <c r="N2021" i="1525" s="1"/>
  <c r="O2021" i="1525" s="1"/>
  <c r="K2020" i="1525"/>
  <c r="I2020" i="1525" s="1"/>
  <c r="M2020" i="1525" s="1"/>
  <c r="N2020" i="1525" s="1"/>
  <c r="O2020" i="1525" s="1"/>
  <c r="K2019" i="1525"/>
  <c r="I2019" i="1525" s="1"/>
  <c r="M2019" i="1525" s="1"/>
  <c r="N2019" i="1525" s="1"/>
  <c r="O2019" i="1525" s="1"/>
  <c r="K2018" i="1525"/>
  <c r="I2018" i="1525" s="1"/>
  <c r="M2018" i="1525" s="1"/>
  <c r="N2018" i="1525" s="1"/>
  <c r="O2018" i="1525" s="1"/>
  <c r="K2017" i="1525"/>
  <c r="I2017" i="1525" s="1"/>
  <c r="M2017" i="1525" s="1"/>
  <c r="N2017" i="1525" s="1"/>
  <c r="O2017" i="1525" s="1"/>
  <c r="K2016" i="1525"/>
  <c r="I2016" i="1525" s="1"/>
  <c r="M2016" i="1525" s="1"/>
  <c r="N2016" i="1525" s="1"/>
  <c r="O2016" i="1525" s="1"/>
  <c r="K2015" i="1525"/>
  <c r="I2015" i="1525" s="1"/>
  <c r="M2015" i="1525" s="1"/>
  <c r="N2015" i="1525" s="1"/>
  <c r="O2015" i="1525" s="1"/>
  <c r="K2014" i="1525"/>
  <c r="I2014" i="1525" s="1"/>
  <c r="M2014" i="1525" s="1"/>
  <c r="N2014" i="1525" s="1"/>
  <c r="O2014" i="1525" s="1"/>
  <c r="K2013" i="1525"/>
  <c r="I2013" i="1525" s="1"/>
  <c r="M2013" i="1525" s="1"/>
  <c r="N2013" i="1525" s="1"/>
  <c r="O2013" i="1525" s="1"/>
  <c r="K2012" i="1525"/>
  <c r="I2012" i="1525" s="1"/>
  <c r="M2012" i="1525" s="1"/>
  <c r="N2012" i="1525" s="1"/>
  <c r="O2012" i="1525" s="1"/>
  <c r="K2011" i="1525"/>
  <c r="I2011" i="1525" s="1"/>
  <c r="M2011" i="1525" s="1"/>
  <c r="N2011" i="1525" s="1"/>
  <c r="O2011" i="1525" s="1"/>
  <c r="K2010" i="1525"/>
  <c r="I2010" i="1525" s="1"/>
  <c r="M2010" i="1525" s="1"/>
  <c r="N2010" i="1525" s="1"/>
  <c r="O2010" i="1525" s="1"/>
  <c r="K2009" i="1525"/>
  <c r="I2009" i="1525" s="1"/>
  <c r="M2009" i="1525" s="1"/>
  <c r="N2009" i="1525" s="1"/>
  <c r="O2009" i="1525" s="1"/>
  <c r="K2008" i="1525"/>
  <c r="I2008" i="1525" s="1"/>
  <c r="M2008" i="1525" s="1"/>
  <c r="N2008" i="1525" s="1"/>
  <c r="O2008" i="1525" s="1"/>
  <c r="K2007" i="1525"/>
  <c r="I2007" i="1525" s="1"/>
  <c r="M2007" i="1525" s="1"/>
  <c r="N2007" i="1525" s="1"/>
  <c r="O2007" i="1525" s="1"/>
  <c r="K2006" i="1525"/>
  <c r="I2006" i="1525" s="1"/>
  <c r="M2006" i="1525" s="1"/>
  <c r="N2006" i="1525" s="1"/>
  <c r="O2006" i="1525" s="1"/>
  <c r="K2005" i="1525"/>
  <c r="I2005" i="1525" s="1"/>
  <c r="M2005" i="1525" s="1"/>
  <c r="N2005" i="1525" s="1"/>
  <c r="O2005" i="1525" s="1"/>
  <c r="K2004" i="1525"/>
  <c r="I2004" i="1525" s="1"/>
  <c r="M2004" i="1525" s="1"/>
  <c r="N2004" i="1525" s="1"/>
  <c r="O2004" i="1525" s="1"/>
  <c r="K2003" i="1525"/>
  <c r="I2003" i="1525" s="1"/>
  <c r="M2003" i="1525" s="1"/>
  <c r="N2003" i="1525" s="1"/>
  <c r="O2003" i="1525" s="1"/>
  <c r="K2002" i="1525"/>
  <c r="I2002" i="1525" s="1"/>
  <c r="M2002" i="1525" s="1"/>
  <c r="N2002" i="1525" s="1"/>
  <c r="O2002" i="1525" s="1"/>
  <c r="K2001" i="1525"/>
  <c r="I2001" i="1525" s="1"/>
  <c r="M2001" i="1525" s="1"/>
  <c r="N2001" i="1525" s="1"/>
  <c r="O2001" i="1525" s="1"/>
  <c r="K2000" i="1525"/>
  <c r="I2000" i="1525" s="1"/>
  <c r="M2000" i="1525" s="1"/>
  <c r="N2000" i="1525" s="1"/>
  <c r="O2000" i="1525" s="1"/>
  <c r="K1999" i="1525"/>
  <c r="I1999" i="1525" s="1"/>
  <c r="M1999" i="1525" s="1"/>
  <c r="N1999" i="1525" s="1"/>
  <c r="O1999" i="1525" s="1"/>
  <c r="K1998" i="1525"/>
  <c r="I1998" i="1525" s="1"/>
  <c r="M1998" i="1525" s="1"/>
  <c r="N1998" i="1525" s="1"/>
  <c r="O1998" i="1525" s="1"/>
  <c r="K1997" i="1525"/>
  <c r="I1997" i="1525" s="1"/>
  <c r="M1997" i="1525" s="1"/>
  <c r="N1997" i="1525" s="1"/>
  <c r="O1997" i="1525" s="1"/>
  <c r="K1996" i="1525"/>
  <c r="I1996" i="1525" s="1"/>
  <c r="M1996" i="1525" s="1"/>
  <c r="N1996" i="1525" s="1"/>
  <c r="O1996" i="1525" s="1"/>
  <c r="K1995" i="1525"/>
  <c r="I1995" i="1525" s="1"/>
  <c r="M1995" i="1525" s="1"/>
  <c r="N1995" i="1525" s="1"/>
  <c r="O1995" i="1525" s="1"/>
  <c r="K1994" i="1525"/>
  <c r="I1994" i="1525" s="1"/>
  <c r="M1994" i="1525" s="1"/>
  <c r="N1994" i="1525" s="1"/>
  <c r="O1994" i="1525" s="1"/>
  <c r="K1993" i="1525"/>
  <c r="I1993" i="1525" s="1"/>
  <c r="M1993" i="1525" s="1"/>
  <c r="N1993" i="1525" s="1"/>
  <c r="O1993" i="1525" s="1"/>
  <c r="K1992" i="1525"/>
  <c r="I1992" i="1525" s="1"/>
  <c r="M1992" i="1525" s="1"/>
  <c r="N1992" i="1525" s="1"/>
  <c r="O1992" i="1525" s="1"/>
  <c r="K1991" i="1525"/>
  <c r="I1991" i="1525" s="1"/>
  <c r="M1991" i="1525" s="1"/>
  <c r="N1991" i="1525" s="1"/>
  <c r="O1991" i="1525" s="1"/>
  <c r="K1990" i="1525"/>
  <c r="I1990" i="1525" s="1"/>
  <c r="M1990" i="1525" s="1"/>
  <c r="N1990" i="1525" s="1"/>
  <c r="O1990" i="1525" s="1"/>
  <c r="K1989" i="1525"/>
  <c r="I1989" i="1525" s="1"/>
  <c r="M1989" i="1525" s="1"/>
  <c r="N1989" i="1525" s="1"/>
  <c r="O1989" i="1525" s="1"/>
  <c r="K1988" i="1525"/>
  <c r="I1988" i="1525" s="1"/>
  <c r="M1988" i="1525" s="1"/>
  <c r="N1988" i="1525" s="1"/>
  <c r="O1988" i="1525" s="1"/>
  <c r="K1987" i="1525"/>
  <c r="I1987" i="1525" s="1"/>
  <c r="M1987" i="1525" s="1"/>
  <c r="N1987" i="1525" s="1"/>
  <c r="O1987" i="1525" s="1"/>
  <c r="K1986" i="1525"/>
  <c r="I1986" i="1525" s="1"/>
  <c r="M1986" i="1525" s="1"/>
  <c r="N1986" i="1525" s="1"/>
  <c r="O1986" i="1525" s="1"/>
  <c r="K1985" i="1525"/>
  <c r="I1985" i="1525" s="1"/>
  <c r="M1985" i="1525" s="1"/>
  <c r="N1985" i="1525" s="1"/>
  <c r="O1985" i="1525" s="1"/>
  <c r="K1984" i="1525"/>
  <c r="I1984" i="1525" s="1"/>
  <c r="M1984" i="1525" s="1"/>
  <c r="N1984" i="1525" s="1"/>
  <c r="O1984" i="1525" s="1"/>
  <c r="K1983" i="1525"/>
  <c r="I1983" i="1525" s="1"/>
  <c r="M1983" i="1525" s="1"/>
  <c r="N1983" i="1525" s="1"/>
  <c r="O1983" i="1525" s="1"/>
  <c r="K1982" i="1525"/>
  <c r="I1982" i="1525" s="1"/>
  <c r="M1982" i="1525" s="1"/>
  <c r="N1982" i="1525" s="1"/>
  <c r="O1982" i="1525" s="1"/>
  <c r="K1981" i="1525"/>
  <c r="I1981" i="1525" s="1"/>
  <c r="M1981" i="1525" s="1"/>
  <c r="N1981" i="1525" s="1"/>
  <c r="O1981" i="1525" s="1"/>
  <c r="K1980" i="1525"/>
  <c r="I1980" i="1525" s="1"/>
  <c r="M1980" i="1525" s="1"/>
  <c r="N1980" i="1525" s="1"/>
  <c r="O1980" i="1525" s="1"/>
  <c r="K1979" i="1525"/>
  <c r="I1979" i="1525" s="1"/>
  <c r="M1979" i="1525" s="1"/>
  <c r="N1979" i="1525" s="1"/>
  <c r="O1979" i="1525" s="1"/>
  <c r="K1978" i="1525"/>
  <c r="I1978" i="1525" s="1"/>
  <c r="M1978" i="1525" s="1"/>
  <c r="N1978" i="1525" s="1"/>
  <c r="O1978" i="1525" s="1"/>
  <c r="K1977" i="1525"/>
  <c r="I1977" i="1525" s="1"/>
  <c r="M1977" i="1525" s="1"/>
  <c r="N1977" i="1525" s="1"/>
  <c r="O1977" i="1525" s="1"/>
  <c r="K1976" i="1525"/>
  <c r="I1976" i="1525" s="1"/>
  <c r="M1976" i="1525" s="1"/>
  <c r="N1976" i="1525" s="1"/>
  <c r="O1976" i="1525" s="1"/>
  <c r="K1975" i="1525"/>
  <c r="I1975" i="1525" s="1"/>
  <c r="M1975" i="1525" s="1"/>
  <c r="N1975" i="1525" s="1"/>
  <c r="O1975" i="1525" s="1"/>
  <c r="K1974" i="1525"/>
  <c r="I1974" i="1525" s="1"/>
  <c r="M1974" i="1525" s="1"/>
  <c r="N1974" i="1525" s="1"/>
  <c r="O1974" i="1525" s="1"/>
  <c r="K1973" i="1525"/>
  <c r="I1973" i="1525" s="1"/>
  <c r="M1973" i="1525" s="1"/>
  <c r="N1973" i="1525" s="1"/>
  <c r="O1973" i="1525" s="1"/>
  <c r="K1972" i="1525"/>
  <c r="I1972" i="1525" s="1"/>
  <c r="M1972" i="1525" s="1"/>
  <c r="N1972" i="1525" s="1"/>
  <c r="O1972" i="1525" s="1"/>
  <c r="K1971" i="1525"/>
  <c r="I1971" i="1525" s="1"/>
  <c r="M1971" i="1525" s="1"/>
  <c r="N1971" i="1525" s="1"/>
  <c r="O1971" i="1525" s="1"/>
  <c r="K1970" i="1525"/>
  <c r="I1970" i="1525" s="1"/>
  <c r="M1970" i="1525" s="1"/>
  <c r="N1970" i="1525" s="1"/>
  <c r="O1970" i="1525" s="1"/>
  <c r="K1969" i="1525"/>
  <c r="I1969" i="1525" s="1"/>
  <c r="M1969" i="1525" s="1"/>
  <c r="N1969" i="1525" s="1"/>
  <c r="O1969" i="1525" s="1"/>
  <c r="K1968" i="1525"/>
  <c r="I1968" i="1525" s="1"/>
  <c r="M1968" i="1525" s="1"/>
  <c r="N1968" i="1525" s="1"/>
  <c r="O1968" i="1525" s="1"/>
  <c r="K1967" i="1525"/>
  <c r="I1967" i="1525" s="1"/>
  <c r="M1967" i="1525" s="1"/>
  <c r="N1967" i="1525" s="1"/>
  <c r="O1967" i="1525" s="1"/>
  <c r="K1966" i="1525"/>
  <c r="I1966" i="1525" s="1"/>
  <c r="M1966" i="1525" s="1"/>
  <c r="N1966" i="1525" s="1"/>
  <c r="O1966" i="1525" s="1"/>
  <c r="K1965" i="1525"/>
  <c r="I1965" i="1525" s="1"/>
  <c r="M1965" i="1525" s="1"/>
  <c r="N1965" i="1525" s="1"/>
  <c r="O1965" i="1525" s="1"/>
  <c r="K1964" i="1525"/>
  <c r="I1964" i="1525" s="1"/>
  <c r="M1964" i="1525" s="1"/>
  <c r="N1964" i="1525" s="1"/>
  <c r="O1964" i="1525" s="1"/>
  <c r="K1963" i="1525"/>
  <c r="I1963" i="1525" s="1"/>
  <c r="M1963" i="1525" s="1"/>
  <c r="N1963" i="1525" s="1"/>
  <c r="O1963" i="1525" s="1"/>
  <c r="K1962" i="1525"/>
  <c r="I1962" i="1525" s="1"/>
  <c r="M1962" i="1525" s="1"/>
  <c r="N1962" i="1525" s="1"/>
  <c r="O1962" i="1525" s="1"/>
  <c r="K1961" i="1525"/>
  <c r="I1961" i="1525" s="1"/>
  <c r="M1961" i="1525" s="1"/>
  <c r="N1961" i="1525" s="1"/>
  <c r="O1961" i="1525" s="1"/>
  <c r="K1960" i="1525"/>
  <c r="I1960" i="1525" s="1"/>
  <c r="M1960" i="1525" s="1"/>
  <c r="N1960" i="1525" s="1"/>
  <c r="O1960" i="1525" s="1"/>
  <c r="K1959" i="1525"/>
  <c r="I1959" i="1525" s="1"/>
  <c r="M1959" i="1525" s="1"/>
  <c r="N1959" i="1525" s="1"/>
  <c r="O1959" i="1525" s="1"/>
  <c r="K1958" i="1525"/>
  <c r="I1958" i="1525" s="1"/>
  <c r="M1958" i="1525" s="1"/>
  <c r="N1958" i="1525" s="1"/>
  <c r="O1958" i="1525" s="1"/>
  <c r="K1957" i="1525"/>
  <c r="I1957" i="1525" s="1"/>
  <c r="M1957" i="1525" s="1"/>
  <c r="N1957" i="1525" s="1"/>
  <c r="O1957" i="1525" s="1"/>
  <c r="K1956" i="1525"/>
  <c r="I1956" i="1525" s="1"/>
  <c r="M1956" i="1525" s="1"/>
  <c r="N1956" i="1525" s="1"/>
  <c r="O1956" i="1525" s="1"/>
  <c r="K1955" i="1525"/>
  <c r="I1955" i="1525" s="1"/>
  <c r="M1955" i="1525" s="1"/>
  <c r="N1955" i="1525" s="1"/>
  <c r="O1955" i="1525" s="1"/>
  <c r="K1954" i="1525"/>
  <c r="I1954" i="1525" s="1"/>
  <c r="M1954" i="1525" s="1"/>
  <c r="N1954" i="1525" s="1"/>
  <c r="O1954" i="1525" s="1"/>
  <c r="K1953" i="1525"/>
  <c r="I1953" i="1525" s="1"/>
  <c r="M1953" i="1525" s="1"/>
  <c r="N1953" i="1525" s="1"/>
  <c r="O1953" i="1525" s="1"/>
  <c r="K1952" i="1525"/>
  <c r="I1952" i="1525" s="1"/>
  <c r="M1952" i="1525" s="1"/>
  <c r="N1952" i="1525" s="1"/>
  <c r="O1952" i="1525" s="1"/>
  <c r="K1951" i="1525"/>
  <c r="I1951" i="1525" s="1"/>
  <c r="M1951" i="1525" s="1"/>
  <c r="N1951" i="1525" s="1"/>
  <c r="O1951" i="1525" s="1"/>
  <c r="K1950" i="1525"/>
  <c r="I1950" i="1525" s="1"/>
  <c r="M1950" i="1525" s="1"/>
  <c r="N1950" i="1525" s="1"/>
  <c r="O1950" i="1525" s="1"/>
  <c r="K1949" i="1525"/>
  <c r="I1949" i="1525" s="1"/>
  <c r="M1949" i="1525" s="1"/>
  <c r="N1949" i="1525" s="1"/>
  <c r="O1949" i="1525" s="1"/>
  <c r="K1948" i="1525"/>
  <c r="I1948" i="1525" s="1"/>
  <c r="M1948" i="1525" s="1"/>
  <c r="N1948" i="1525" s="1"/>
  <c r="O1948" i="1525" s="1"/>
  <c r="K1947" i="1525"/>
  <c r="I1947" i="1525" s="1"/>
  <c r="M1947" i="1525" s="1"/>
  <c r="N1947" i="1525" s="1"/>
  <c r="O1947" i="1525" s="1"/>
  <c r="K1946" i="1525"/>
  <c r="I1946" i="1525" s="1"/>
  <c r="M1946" i="1525" s="1"/>
  <c r="N1946" i="1525" s="1"/>
  <c r="O1946" i="1525" s="1"/>
  <c r="K1945" i="1525"/>
  <c r="I1945" i="1525" s="1"/>
  <c r="M1945" i="1525" s="1"/>
  <c r="N1945" i="1525" s="1"/>
  <c r="O1945" i="1525" s="1"/>
  <c r="K1944" i="1525"/>
  <c r="I1944" i="1525" s="1"/>
  <c r="M1944" i="1525" s="1"/>
  <c r="N1944" i="1525" s="1"/>
  <c r="O1944" i="1525" s="1"/>
  <c r="K1943" i="1525"/>
  <c r="I1943" i="1525" s="1"/>
  <c r="M1943" i="1525" s="1"/>
  <c r="N1943" i="1525" s="1"/>
  <c r="O1943" i="1525" s="1"/>
  <c r="K1942" i="1525"/>
  <c r="I1942" i="1525" s="1"/>
  <c r="M1942" i="1525" s="1"/>
  <c r="N1942" i="1525" s="1"/>
  <c r="O1942" i="1525" s="1"/>
  <c r="K1941" i="1525"/>
  <c r="I1941" i="1525" s="1"/>
  <c r="M1941" i="1525" s="1"/>
  <c r="N1941" i="1525" s="1"/>
  <c r="O1941" i="1525" s="1"/>
  <c r="K1940" i="1525"/>
  <c r="I1940" i="1525" s="1"/>
  <c r="M1940" i="1525" s="1"/>
  <c r="N1940" i="1525" s="1"/>
  <c r="O1940" i="1525" s="1"/>
  <c r="K1939" i="1525"/>
  <c r="I1939" i="1525" s="1"/>
  <c r="M1939" i="1525" s="1"/>
  <c r="N1939" i="1525" s="1"/>
  <c r="O1939" i="1525" s="1"/>
  <c r="K1938" i="1525"/>
  <c r="I1938" i="1525" s="1"/>
  <c r="M1938" i="1525" s="1"/>
  <c r="N1938" i="1525" s="1"/>
  <c r="O1938" i="1525" s="1"/>
  <c r="K1937" i="1525"/>
  <c r="I1937" i="1525" s="1"/>
  <c r="M1937" i="1525" s="1"/>
  <c r="N1937" i="1525" s="1"/>
  <c r="O1937" i="1525" s="1"/>
  <c r="K1936" i="1525"/>
  <c r="I1936" i="1525" s="1"/>
  <c r="M1936" i="1525" s="1"/>
  <c r="N1936" i="1525" s="1"/>
  <c r="O1936" i="1525" s="1"/>
  <c r="K1935" i="1525"/>
  <c r="I1935" i="1525" s="1"/>
  <c r="M1935" i="1525" s="1"/>
  <c r="N1935" i="1525" s="1"/>
  <c r="O1935" i="1525" s="1"/>
  <c r="K1934" i="1525"/>
  <c r="I1934" i="1525" s="1"/>
  <c r="M1934" i="1525" s="1"/>
  <c r="N1934" i="1525" s="1"/>
  <c r="O1934" i="1525" s="1"/>
  <c r="K1933" i="1525"/>
  <c r="I1933" i="1525" s="1"/>
  <c r="M1933" i="1525" s="1"/>
  <c r="N1933" i="1525" s="1"/>
  <c r="O1933" i="1525" s="1"/>
  <c r="K1932" i="1525"/>
  <c r="I1932" i="1525" s="1"/>
  <c r="M1932" i="1525" s="1"/>
  <c r="N1932" i="1525" s="1"/>
  <c r="O1932" i="1525" s="1"/>
  <c r="K1931" i="1525"/>
  <c r="I1931" i="1525" s="1"/>
  <c r="M1931" i="1525" s="1"/>
  <c r="N1931" i="1525" s="1"/>
  <c r="O1931" i="1525" s="1"/>
  <c r="K1930" i="1525"/>
  <c r="I1930" i="1525" s="1"/>
  <c r="M1930" i="1525" s="1"/>
  <c r="N1930" i="1525" s="1"/>
  <c r="O1930" i="1525" s="1"/>
  <c r="K1929" i="1525"/>
  <c r="I1929" i="1525" s="1"/>
  <c r="M1929" i="1525" s="1"/>
  <c r="N1929" i="1525" s="1"/>
  <c r="O1929" i="1525" s="1"/>
  <c r="K1928" i="1525"/>
  <c r="I1928" i="1525" s="1"/>
  <c r="M1928" i="1525" s="1"/>
  <c r="N1928" i="1525" s="1"/>
  <c r="O1928" i="1525" s="1"/>
  <c r="K1927" i="1525"/>
  <c r="I1927" i="1525" s="1"/>
  <c r="M1927" i="1525" s="1"/>
  <c r="N1927" i="1525" s="1"/>
  <c r="O1927" i="1525" s="1"/>
  <c r="K1926" i="1525"/>
  <c r="I1926" i="1525" s="1"/>
  <c r="M1926" i="1525" s="1"/>
  <c r="N1926" i="1525" s="1"/>
  <c r="O1926" i="1525" s="1"/>
  <c r="K1925" i="1525"/>
  <c r="I1925" i="1525" s="1"/>
  <c r="M1925" i="1525" s="1"/>
  <c r="N1925" i="1525" s="1"/>
  <c r="O1925" i="1525" s="1"/>
  <c r="K1924" i="1525"/>
  <c r="I1924" i="1525" s="1"/>
  <c r="M1924" i="1525" s="1"/>
  <c r="N1924" i="1525" s="1"/>
  <c r="O1924" i="1525" s="1"/>
  <c r="K1923" i="1525"/>
  <c r="I1923" i="1525" s="1"/>
  <c r="M1923" i="1525" s="1"/>
  <c r="N1923" i="1525" s="1"/>
  <c r="O1923" i="1525" s="1"/>
  <c r="K1922" i="1525"/>
  <c r="I1922" i="1525" s="1"/>
  <c r="M1922" i="1525" s="1"/>
  <c r="N1922" i="1525" s="1"/>
  <c r="O1922" i="1525" s="1"/>
  <c r="K1921" i="1525"/>
  <c r="I1921" i="1525" s="1"/>
  <c r="M1921" i="1525" s="1"/>
  <c r="N1921" i="1525" s="1"/>
  <c r="O1921" i="1525" s="1"/>
  <c r="K1920" i="1525"/>
  <c r="I1920" i="1525" s="1"/>
  <c r="M1920" i="1525" s="1"/>
  <c r="N1920" i="1525" s="1"/>
  <c r="O1920" i="1525" s="1"/>
  <c r="K1919" i="1525"/>
  <c r="I1919" i="1525" s="1"/>
  <c r="M1919" i="1525" s="1"/>
  <c r="N1919" i="1525" s="1"/>
  <c r="O1919" i="1525" s="1"/>
  <c r="K1918" i="1525"/>
  <c r="I1918" i="1525" s="1"/>
  <c r="M1918" i="1525" s="1"/>
  <c r="N1918" i="1525" s="1"/>
  <c r="O1918" i="1525" s="1"/>
  <c r="K1917" i="1525"/>
  <c r="I1917" i="1525" s="1"/>
  <c r="M1917" i="1525" s="1"/>
  <c r="N1917" i="1525" s="1"/>
  <c r="O1917" i="1525" s="1"/>
  <c r="K1916" i="1525"/>
  <c r="I1916" i="1525" s="1"/>
  <c r="M1916" i="1525" s="1"/>
  <c r="N1916" i="1525" s="1"/>
  <c r="O1916" i="1525" s="1"/>
  <c r="K1915" i="1525"/>
  <c r="I1915" i="1525" s="1"/>
  <c r="M1915" i="1525" s="1"/>
  <c r="N1915" i="1525" s="1"/>
  <c r="O1915" i="1525" s="1"/>
  <c r="K1914" i="1525"/>
  <c r="I1914" i="1525" s="1"/>
  <c r="M1914" i="1525" s="1"/>
  <c r="N1914" i="1525" s="1"/>
  <c r="O1914" i="1525" s="1"/>
  <c r="K1913" i="1525"/>
  <c r="I1913" i="1525" s="1"/>
  <c r="M1913" i="1525" s="1"/>
  <c r="N1913" i="1525" s="1"/>
  <c r="O1913" i="1525" s="1"/>
  <c r="K1912" i="1525"/>
  <c r="I1912" i="1525" s="1"/>
  <c r="M1912" i="1525" s="1"/>
  <c r="N1912" i="1525" s="1"/>
  <c r="O1912" i="1525" s="1"/>
  <c r="K1911" i="1525"/>
  <c r="I1911" i="1525" s="1"/>
  <c r="M1911" i="1525" s="1"/>
  <c r="N1911" i="1525" s="1"/>
  <c r="O1911" i="1525" s="1"/>
  <c r="K1910" i="1525"/>
  <c r="I1910" i="1525" s="1"/>
  <c r="M1910" i="1525" s="1"/>
  <c r="N1910" i="1525" s="1"/>
  <c r="O1910" i="1525" s="1"/>
  <c r="K1909" i="1525"/>
  <c r="I1909" i="1525" s="1"/>
  <c r="M1909" i="1525" s="1"/>
  <c r="N1909" i="1525" s="1"/>
  <c r="O1909" i="1525" s="1"/>
  <c r="K1908" i="1525"/>
  <c r="I1908" i="1525" s="1"/>
  <c r="M1908" i="1525" s="1"/>
  <c r="N1908" i="1525" s="1"/>
  <c r="O1908" i="1525" s="1"/>
  <c r="K1907" i="1525"/>
  <c r="I1907" i="1525" s="1"/>
  <c r="M1907" i="1525" s="1"/>
  <c r="N1907" i="1525" s="1"/>
  <c r="O1907" i="1525" s="1"/>
  <c r="K1906" i="1525"/>
  <c r="I1906" i="1525" s="1"/>
  <c r="M1906" i="1525" s="1"/>
  <c r="N1906" i="1525" s="1"/>
  <c r="O1906" i="1525" s="1"/>
  <c r="K1905" i="1525"/>
  <c r="I1905" i="1525" s="1"/>
  <c r="M1905" i="1525" s="1"/>
  <c r="N1905" i="1525" s="1"/>
  <c r="O1905" i="1525" s="1"/>
  <c r="K1904" i="1525"/>
  <c r="I1904" i="1525" s="1"/>
  <c r="M1904" i="1525" s="1"/>
  <c r="N1904" i="1525" s="1"/>
  <c r="O1904" i="1525" s="1"/>
  <c r="K1903" i="1525"/>
  <c r="I1903" i="1525" s="1"/>
  <c r="M1903" i="1525" s="1"/>
  <c r="N1903" i="1525" s="1"/>
  <c r="O1903" i="1525" s="1"/>
  <c r="K1902" i="1525"/>
  <c r="I1902" i="1525" s="1"/>
  <c r="M1902" i="1525" s="1"/>
  <c r="N1902" i="1525" s="1"/>
  <c r="O1902" i="1525" s="1"/>
  <c r="K1901" i="1525"/>
  <c r="I1901" i="1525" s="1"/>
  <c r="M1901" i="1525" s="1"/>
  <c r="N1901" i="1525" s="1"/>
  <c r="O1901" i="1525" s="1"/>
  <c r="K1900" i="1525"/>
  <c r="I1900" i="1525" s="1"/>
  <c r="M1900" i="1525" s="1"/>
  <c r="N1900" i="1525" s="1"/>
  <c r="O1900" i="1525" s="1"/>
  <c r="K1899" i="1525"/>
  <c r="I1899" i="1525" s="1"/>
  <c r="M1899" i="1525" s="1"/>
  <c r="N1899" i="1525" s="1"/>
  <c r="O1899" i="1525" s="1"/>
  <c r="K1898" i="1525"/>
  <c r="I1898" i="1525" s="1"/>
  <c r="M1898" i="1525" s="1"/>
  <c r="N1898" i="1525" s="1"/>
  <c r="O1898" i="1525" s="1"/>
  <c r="K1897" i="1525"/>
  <c r="I1897" i="1525" s="1"/>
  <c r="M1897" i="1525" s="1"/>
  <c r="N1897" i="1525" s="1"/>
  <c r="O1897" i="1525" s="1"/>
  <c r="K1896" i="1525"/>
  <c r="I1896" i="1525" s="1"/>
  <c r="M1896" i="1525" s="1"/>
  <c r="N1896" i="1525" s="1"/>
  <c r="O1896" i="1525" s="1"/>
  <c r="K1895" i="1525"/>
  <c r="I1895" i="1525" s="1"/>
  <c r="M1895" i="1525" s="1"/>
  <c r="N1895" i="1525" s="1"/>
  <c r="O1895" i="1525" s="1"/>
  <c r="K1894" i="1525"/>
  <c r="I1894" i="1525" s="1"/>
  <c r="M1894" i="1525" s="1"/>
  <c r="N1894" i="1525" s="1"/>
  <c r="O1894" i="1525" s="1"/>
  <c r="K1893" i="1525"/>
  <c r="I1893" i="1525" s="1"/>
  <c r="M1893" i="1525" s="1"/>
  <c r="N1893" i="1525" s="1"/>
  <c r="O1893" i="1525" s="1"/>
  <c r="K1892" i="1525"/>
  <c r="I1892" i="1525" s="1"/>
  <c r="M1892" i="1525" s="1"/>
  <c r="N1892" i="1525" s="1"/>
  <c r="O1892" i="1525" s="1"/>
  <c r="K1891" i="1525"/>
  <c r="I1891" i="1525" s="1"/>
  <c r="M1891" i="1525" s="1"/>
  <c r="N1891" i="1525" s="1"/>
  <c r="O1891" i="1525" s="1"/>
  <c r="K1890" i="1525"/>
  <c r="I1890" i="1525" s="1"/>
  <c r="M1890" i="1525" s="1"/>
  <c r="N1890" i="1525" s="1"/>
  <c r="O1890" i="1525" s="1"/>
  <c r="K1889" i="1525"/>
  <c r="I1889" i="1525" s="1"/>
  <c r="M1889" i="1525" s="1"/>
  <c r="N1889" i="1525" s="1"/>
  <c r="O1889" i="1525" s="1"/>
  <c r="K1888" i="1525"/>
  <c r="I1888" i="1525" s="1"/>
  <c r="M1888" i="1525" s="1"/>
  <c r="N1888" i="1525" s="1"/>
  <c r="O1888" i="1525" s="1"/>
  <c r="K1887" i="1525"/>
  <c r="I1887" i="1525" s="1"/>
  <c r="M1887" i="1525" s="1"/>
  <c r="N1887" i="1525" s="1"/>
  <c r="O1887" i="1525" s="1"/>
  <c r="K1886" i="1525"/>
  <c r="I1886" i="1525" s="1"/>
  <c r="M1886" i="1525" s="1"/>
  <c r="N1886" i="1525" s="1"/>
  <c r="O1886" i="1525" s="1"/>
  <c r="K1885" i="1525"/>
  <c r="I1885" i="1525" s="1"/>
  <c r="M1885" i="1525" s="1"/>
  <c r="N1885" i="1525" s="1"/>
  <c r="O1885" i="1525" s="1"/>
  <c r="K1884" i="1525"/>
  <c r="I1884" i="1525" s="1"/>
  <c r="M1884" i="1525" s="1"/>
  <c r="N1884" i="1525" s="1"/>
  <c r="O1884" i="1525" s="1"/>
  <c r="K1883" i="1525"/>
  <c r="I1883" i="1525" s="1"/>
  <c r="M1883" i="1525" s="1"/>
  <c r="N1883" i="1525" s="1"/>
  <c r="O1883" i="1525" s="1"/>
  <c r="K1882" i="1525"/>
  <c r="I1882" i="1525" s="1"/>
  <c r="M1882" i="1525" s="1"/>
  <c r="N1882" i="1525" s="1"/>
  <c r="O1882" i="1525" s="1"/>
  <c r="K1881" i="1525"/>
  <c r="I1881" i="1525" s="1"/>
  <c r="M1881" i="1525" s="1"/>
  <c r="N1881" i="1525" s="1"/>
  <c r="O1881" i="1525" s="1"/>
  <c r="K1880" i="1525"/>
  <c r="I1880" i="1525" s="1"/>
  <c r="M1880" i="1525" s="1"/>
  <c r="N1880" i="1525" s="1"/>
  <c r="O1880" i="1525" s="1"/>
  <c r="K1879" i="1525"/>
  <c r="I1879" i="1525" s="1"/>
  <c r="M1879" i="1525" s="1"/>
  <c r="N1879" i="1525" s="1"/>
  <c r="O1879" i="1525" s="1"/>
  <c r="K1878" i="1525"/>
  <c r="I1878" i="1525" s="1"/>
  <c r="M1878" i="1525" s="1"/>
  <c r="N1878" i="1525" s="1"/>
  <c r="O1878" i="1525" s="1"/>
  <c r="K1877" i="1525"/>
  <c r="I1877" i="1525" s="1"/>
  <c r="M1877" i="1525" s="1"/>
  <c r="N1877" i="1525" s="1"/>
  <c r="O1877" i="1525" s="1"/>
  <c r="K1876" i="1525"/>
  <c r="I1876" i="1525" s="1"/>
  <c r="M1876" i="1525" s="1"/>
  <c r="N1876" i="1525" s="1"/>
  <c r="O1876" i="1525" s="1"/>
  <c r="K1875" i="1525"/>
  <c r="I1875" i="1525" s="1"/>
  <c r="M1875" i="1525" s="1"/>
  <c r="N1875" i="1525" s="1"/>
  <c r="O1875" i="1525" s="1"/>
  <c r="K1874" i="1525"/>
  <c r="I1874" i="1525" s="1"/>
  <c r="M1874" i="1525" s="1"/>
  <c r="N1874" i="1525" s="1"/>
  <c r="O1874" i="1525" s="1"/>
  <c r="K1873" i="1525"/>
  <c r="I1873" i="1525" s="1"/>
  <c r="M1873" i="1525" s="1"/>
  <c r="N1873" i="1525" s="1"/>
  <c r="O1873" i="1525" s="1"/>
  <c r="K1872" i="1525"/>
  <c r="I1872" i="1525" s="1"/>
  <c r="M1872" i="1525" s="1"/>
  <c r="N1872" i="1525" s="1"/>
  <c r="O1872" i="1525" s="1"/>
  <c r="K1871" i="1525"/>
  <c r="I1871" i="1525" s="1"/>
  <c r="M1871" i="1525" s="1"/>
  <c r="N1871" i="1525" s="1"/>
  <c r="O1871" i="1525" s="1"/>
  <c r="K1870" i="1525"/>
  <c r="I1870" i="1525" s="1"/>
  <c r="M1870" i="1525" s="1"/>
  <c r="N1870" i="1525" s="1"/>
  <c r="O1870" i="1525" s="1"/>
  <c r="K1869" i="1525"/>
  <c r="I1869" i="1525" s="1"/>
  <c r="M1869" i="1525" s="1"/>
  <c r="N1869" i="1525" s="1"/>
  <c r="O1869" i="1525" s="1"/>
  <c r="K1868" i="1525"/>
  <c r="I1868" i="1525" s="1"/>
  <c r="M1868" i="1525" s="1"/>
  <c r="N1868" i="1525" s="1"/>
  <c r="O1868" i="1525" s="1"/>
  <c r="K1867" i="1525"/>
  <c r="I1867" i="1525" s="1"/>
  <c r="M1867" i="1525" s="1"/>
  <c r="N1867" i="1525" s="1"/>
  <c r="O1867" i="1525" s="1"/>
  <c r="K1866" i="1525"/>
  <c r="I1866" i="1525" s="1"/>
  <c r="M1866" i="1525" s="1"/>
  <c r="N1866" i="1525" s="1"/>
  <c r="O1866" i="1525" s="1"/>
  <c r="K1865" i="1525"/>
  <c r="I1865" i="1525" s="1"/>
  <c r="M1865" i="1525" s="1"/>
  <c r="N1865" i="1525" s="1"/>
  <c r="O1865" i="1525" s="1"/>
  <c r="K1864" i="1525"/>
  <c r="I1864" i="1525" s="1"/>
  <c r="M1864" i="1525" s="1"/>
  <c r="N1864" i="1525" s="1"/>
  <c r="O1864" i="1525" s="1"/>
  <c r="K1863" i="1525"/>
  <c r="I1863" i="1525" s="1"/>
  <c r="M1863" i="1525" s="1"/>
  <c r="N1863" i="1525" s="1"/>
  <c r="O1863" i="1525" s="1"/>
  <c r="K1862" i="1525"/>
  <c r="I1862" i="1525" s="1"/>
  <c r="M1862" i="1525" s="1"/>
  <c r="N1862" i="1525" s="1"/>
  <c r="O1862" i="1525" s="1"/>
  <c r="K1861" i="1525"/>
  <c r="I1861" i="1525" s="1"/>
  <c r="M1861" i="1525" s="1"/>
  <c r="N1861" i="1525" s="1"/>
  <c r="O1861" i="1525" s="1"/>
  <c r="K1860" i="1525"/>
  <c r="I1860" i="1525" s="1"/>
  <c r="M1860" i="1525" s="1"/>
  <c r="N1860" i="1525" s="1"/>
  <c r="O1860" i="1525" s="1"/>
  <c r="K1859" i="1525"/>
  <c r="I1859" i="1525" s="1"/>
  <c r="M1859" i="1525" s="1"/>
  <c r="N1859" i="1525" s="1"/>
  <c r="O1859" i="1525" s="1"/>
  <c r="K1858" i="1525"/>
  <c r="I1858" i="1525" s="1"/>
  <c r="M1858" i="1525" s="1"/>
  <c r="N1858" i="1525" s="1"/>
  <c r="O1858" i="1525" s="1"/>
  <c r="K1857" i="1525"/>
  <c r="I1857" i="1525" s="1"/>
  <c r="M1857" i="1525" s="1"/>
  <c r="N1857" i="1525" s="1"/>
  <c r="O1857" i="1525" s="1"/>
  <c r="K1856" i="1525"/>
  <c r="I1856" i="1525" s="1"/>
  <c r="M1856" i="1525" s="1"/>
  <c r="N1856" i="1525" s="1"/>
  <c r="O1856" i="1525" s="1"/>
  <c r="K1855" i="1525"/>
  <c r="I1855" i="1525" s="1"/>
  <c r="M1855" i="1525" s="1"/>
  <c r="N1855" i="1525" s="1"/>
  <c r="O1855" i="1525" s="1"/>
  <c r="K1854" i="1525"/>
  <c r="I1854" i="1525" s="1"/>
  <c r="M1854" i="1525" s="1"/>
  <c r="N1854" i="1525" s="1"/>
  <c r="O1854" i="1525" s="1"/>
  <c r="K1853" i="1525"/>
  <c r="I1853" i="1525" s="1"/>
  <c r="M1853" i="1525" s="1"/>
  <c r="N1853" i="1525" s="1"/>
  <c r="O1853" i="1525" s="1"/>
  <c r="K1852" i="1525"/>
  <c r="I1852" i="1525" s="1"/>
  <c r="M1852" i="1525" s="1"/>
  <c r="N1852" i="1525" s="1"/>
  <c r="O1852" i="1525" s="1"/>
  <c r="K1851" i="1525"/>
  <c r="I1851" i="1525" s="1"/>
  <c r="M1851" i="1525" s="1"/>
  <c r="N1851" i="1525" s="1"/>
  <c r="O1851" i="1525" s="1"/>
  <c r="K1850" i="1525"/>
  <c r="I1850" i="1525" s="1"/>
  <c r="M1850" i="1525" s="1"/>
  <c r="N1850" i="1525" s="1"/>
  <c r="O1850" i="1525" s="1"/>
  <c r="K1849" i="1525"/>
  <c r="I1849" i="1525" s="1"/>
  <c r="M1849" i="1525" s="1"/>
  <c r="N1849" i="1525" s="1"/>
  <c r="O1849" i="1525" s="1"/>
  <c r="K1848" i="1525"/>
  <c r="I1848" i="1525" s="1"/>
  <c r="M1848" i="1525" s="1"/>
  <c r="N1848" i="1525" s="1"/>
  <c r="O1848" i="1525" s="1"/>
  <c r="K1847" i="1525"/>
  <c r="I1847" i="1525" s="1"/>
  <c r="M1847" i="1525" s="1"/>
  <c r="N1847" i="1525" s="1"/>
  <c r="O1847" i="1525" s="1"/>
  <c r="K1846" i="1525"/>
  <c r="I1846" i="1525" s="1"/>
  <c r="M1846" i="1525" s="1"/>
  <c r="N1846" i="1525" s="1"/>
  <c r="O1846" i="1525" s="1"/>
  <c r="K1845" i="1525"/>
  <c r="I1845" i="1525" s="1"/>
  <c r="M1845" i="1525" s="1"/>
  <c r="N1845" i="1525" s="1"/>
  <c r="O1845" i="1525" s="1"/>
  <c r="K1844" i="1525"/>
  <c r="I1844" i="1525" s="1"/>
  <c r="M1844" i="1525" s="1"/>
  <c r="N1844" i="1525" s="1"/>
  <c r="O1844" i="1525" s="1"/>
  <c r="K1843" i="1525"/>
  <c r="I1843" i="1525" s="1"/>
  <c r="M1843" i="1525" s="1"/>
  <c r="N1843" i="1525" s="1"/>
  <c r="O1843" i="1525" s="1"/>
  <c r="K1842" i="1525"/>
  <c r="I1842" i="1525" s="1"/>
  <c r="M1842" i="1525" s="1"/>
  <c r="N1842" i="1525" s="1"/>
  <c r="O1842" i="1525" s="1"/>
  <c r="K1841" i="1525"/>
  <c r="I1841" i="1525" s="1"/>
  <c r="M1841" i="1525" s="1"/>
  <c r="N1841" i="1525" s="1"/>
  <c r="O1841" i="1525" s="1"/>
  <c r="K1840" i="1525"/>
  <c r="I1840" i="1525" s="1"/>
  <c r="M1840" i="1525" s="1"/>
  <c r="N1840" i="1525" s="1"/>
  <c r="O1840" i="1525" s="1"/>
  <c r="K1839" i="1525"/>
  <c r="I1839" i="1525" s="1"/>
  <c r="M1839" i="1525" s="1"/>
  <c r="N1839" i="1525" s="1"/>
  <c r="O1839" i="1525" s="1"/>
  <c r="K1838" i="1525"/>
  <c r="I1838" i="1525" s="1"/>
  <c r="M1838" i="1525" s="1"/>
  <c r="N1838" i="1525" s="1"/>
  <c r="O1838" i="1525" s="1"/>
  <c r="K1837" i="1525"/>
  <c r="I1837" i="1525" s="1"/>
  <c r="M1837" i="1525" s="1"/>
  <c r="N1837" i="1525" s="1"/>
  <c r="O1837" i="1525" s="1"/>
  <c r="K1836" i="1525"/>
  <c r="I1836" i="1525" s="1"/>
  <c r="M1836" i="1525" s="1"/>
  <c r="N1836" i="1525" s="1"/>
  <c r="O1836" i="1525" s="1"/>
  <c r="K1835" i="1525"/>
  <c r="I1835" i="1525" s="1"/>
  <c r="M1835" i="1525" s="1"/>
  <c r="N1835" i="1525" s="1"/>
  <c r="O1835" i="1525" s="1"/>
  <c r="K1834" i="1525"/>
  <c r="I1834" i="1525" s="1"/>
  <c r="M1834" i="1525" s="1"/>
  <c r="N1834" i="1525" s="1"/>
  <c r="O1834" i="1525" s="1"/>
  <c r="K1833" i="1525"/>
  <c r="I1833" i="1525" s="1"/>
  <c r="M1833" i="1525" s="1"/>
  <c r="N1833" i="1525" s="1"/>
  <c r="O1833" i="1525" s="1"/>
  <c r="K1832" i="1525"/>
  <c r="I1832" i="1525" s="1"/>
  <c r="M1832" i="1525" s="1"/>
  <c r="N1832" i="1525" s="1"/>
  <c r="O1832" i="1525" s="1"/>
  <c r="K1831" i="1525"/>
  <c r="I1831" i="1525" s="1"/>
  <c r="M1831" i="1525" s="1"/>
  <c r="N1831" i="1525" s="1"/>
  <c r="O1831" i="1525" s="1"/>
  <c r="K1830" i="1525"/>
  <c r="I1830" i="1525" s="1"/>
  <c r="M1830" i="1525" s="1"/>
  <c r="N1830" i="1525" s="1"/>
  <c r="O1830" i="1525" s="1"/>
  <c r="K1829" i="1525"/>
  <c r="I1829" i="1525" s="1"/>
  <c r="M1829" i="1525" s="1"/>
  <c r="N1829" i="1525" s="1"/>
  <c r="O1829" i="1525" s="1"/>
  <c r="K1828" i="1525"/>
  <c r="I1828" i="1525" s="1"/>
  <c r="M1828" i="1525" s="1"/>
  <c r="N1828" i="1525" s="1"/>
  <c r="O1828" i="1525" s="1"/>
  <c r="K1827" i="1525"/>
  <c r="I1827" i="1525" s="1"/>
  <c r="M1827" i="1525" s="1"/>
  <c r="N1827" i="1525" s="1"/>
  <c r="O1827" i="1525" s="1"/>
  <c r="K1826" i="1525"/>
  <c r="I1826" i="1525" s="1"/>
  <c r="M1826" i="1525" s="1"/>
  <c r="N1826" i="1525" s="1"/>
  <c r="O1826" i="1525" s="1"/>
  <c r="K1825" i="1525"/>
  <c r="I1825" i="1525" s="1"/>
  <c r="M1825" i="1525" s="1"/>
  <c r="N1825" i="1525" s="1"/>
  <c r="O1825" i="1525" s="1"/>
  <c r="K1824" i="1525"/>
  <c r="I1824" i="1525" s="1"/>
  <c r="M1824" i="1525" s="1"/>
  <c r="N1824" i="1525" s="1"/>
  <c r="O1824" i="1525" s="1"/>
  <c r="K1823" i="1525"/>
  <c r="I1823" i="1525" s="1"/>
  <c r="M1823" i="1525" s="1"/>
  <c r="N1823" i="1525" s="1"/>
  <c r="O1823" i="1525" s="1"/>
  <c r="K1822" i="1525"/>
  <c r="I1822" i="1525" s="1"/>
  <c r="M1822" i="1525" s="1"/>
  <c r="N1822" i="1525" s="1"/>
  <c r="O1822" i="1525" s="1"/>
  <c r="K1821" i="1525"/>
  <c r="I1821" i="1525" s="1"/>
  <c r="M1821" i="1525" s="1"/>
  <c r="N1821" i="1525" s="1"/>
  <c r="O1821" i="1525" s="1"/>
  <c r="K1820" i="1525"/>
  <c r="I1820" i="1525" s="1"/>
  <c r="M1820" i="1525" s="1"/>
  <c r="N1820" i="1525" s="1"/>
  <c r="O1820" i="1525" s="1"/>
  <c r="K1819" i="1525"/>
  <c r="I1819" i="1525" s="1"/>
  <c r="M1819" i="1525" s="1"/>
  <c r="N1819" i="1525" s="1"/>
  <c r="O1819" i="1525" s="1"/>
  <c r="K1818" i="1525"/>
  <c r="I1818" i="1525" s="1"/>
  <c r="M1818" i="1525" s="1"/>
  <c r="N1818" i="1525" s="1"/>
  <c r="O1818" i="1525" s="1"/>
  <c r="K1817" i="1525"/>
  <c r="I1817" i="1525" s="1"/>
  <c r="M1817" i="1525" s="1"/>
  <c r="N1817" i="1525" s="1"/>
  <c r="O1817" i="1525" s="1"/>
  <c r="K1816" i="1525"/>
  <c r="I1816" i="1525" s="1"/>
  <c r="M1816" i="1525" s="1"/>
  <c r="N1816" i="1525" s="1"/>
  <c r="O1816" i="1525" s="1"/>
  <c r="K1815" i="1525"/>
  <c r="I1815" i="1525" s="1"/>
  <c r="M1815" i="1525" s="1"/>
  <c r="N1815" i="1525" s="1"/>
  <c r="O1815" i="1525" s="1"/>
  <c r="K1814" i="1525"/>
  <c r="I1814" i="1525" s="1"/>
  <c r="M1814" i="1525" s="1"/>
  <c r="N1814" i="1525" s="1"/>
  <c r="O1814" i="1525" s="1"/>
  <c r="K1813" i="1525"/>
  <c r="I1813" i="1525" s="1"/>
  <c r="M1813" i="1525" s="1"/>
  <c r="N1813" i="1525" s="1"/>
  <c r="O1813" i="1525" s="1"/>
  <c r="K1812" i="1525"/>
  <c r="I1812" i="1525" s="1"/>
  <c r="M1812" i="1525" s="1"/>
  <c r="N1812" i="1525" s="1"/>
  <c r="O1812" i="1525" s="1"/>
  <c r="K1811" i="1525"/>
  <c r="I1811" i="1525" s="1"/>
  <c r="M1811" i="1525" s="1"/>
  <c r="N1811" i="1525" s="1"/>
  <c r="O1811" i="1525" s="1"/>
  <c r="K1810" i="1525"/>
  <c r="I1810" i="1525" s="1"/>
  <c r="M1810" i="1525" s="1"/>
  <c r="N1810" i="1525" s="1"/>
  <c r="O1810" i="1525" s="1"/>
  <c r="K1809" i="1525"/>
  <c r="I1809" i="1525" s="1"/>
  <c r="M1809" i="1525" s="1"/>
  <c r="N1809" i="1525" s="1"/>
  <c r="O1809" i="1525" s="1"/>
  <c r="K1808" i="1525"/>
  <c r="I1808" i="1525" s="1"/>
  <c r="M1808" i="1525" s="1"/>
  <c r="N1808" i="1525" s="1"/>
  <c r="O1808" i="1525" s="1"/>
  <c r="K1807" i="1525"/>
  <c r="I1807" i="1525" s="1"/>
  <c r="M1807" i="1525" s="1"/>
  <c r="N1807" i="1525" s="1"/>
  <c r="O1807" i="1525" s="1"/>
  <c r="K1806" i="1525"/>
  <c r="I1806" i="1525" s="1"/>
  <c r="M1806" i="1525" s="1"/>
  <c r="N1806" i="1525" s="1"/>
  <c r="O1806" i="1525" s="1"/>
  <c r="K1805" i="1525"/>
  <c r="I1805" i="1525" s="1"/>
  <c r="M1805" i="1525" s="1"/>
  <c r="N1805" i="1525" s="1"/>
  <c r="O1805" i="1525" s="1"/>
  <c r="K1804" i="1525"/>
  <c r="I1804" i="1525" s="1"/>
  <c r="M1804" i="1525" s="1"/>
  <c r="N1804" i="1525" s="1"/>
  <c r="O1804" i="1525" s="1"/>
  <c r="K1803" i="1525"/>
  <c r="I1803" i="1525" s="1"/>
  <c r="M1803" i="1525" s="1"/>
  <c r="N1803" i="1525" s="1"/>
  <c r="O1803" i="1525" s="1"/>
  <c r="K1802" i="1525"/>
  <c r="I1802" i="1525" s="1"/>
  <c r="M1802" i="1525" s="1"/>
  <c r="N1802" i="1525" s="1"/>
  <c r="O1802" i="1525" s="1"/>
  <c r="K1801" i="1525"/>
  <c r="I1801" i="1525" s="1"/>
  <c r="M1801" i="1525" s="1"/>
  <c r="N1801" i="1525" s="1"/>
  <c r="O1801" i="1525" s="1"/>
  <c r="K1800" i="1525"/>
  <c r="I1800" i="1525" s="1"/>
  <c r="M1800" i="1525" s="1"/>
  <c r="N1800" i="1525" s="1"/>
  <c r="O1800" i="1525" s="1"/>
  <c r="K1799" i="1525"/>
  <c r="I1799" i="1525" s="1"/>
  <c r="M1799" i="1525" s="1"/>
  <c r="N1799" i="1525" s="1"/>
  <c r="O1799" i="1525" s="1"/>
  <c r="K1798" i="1525"/>
  <c r="I1798" i="1525" s="1"/>
  <c r="M1798" i="1525" s="1"/>
  <c r="N1798" i="1525" s="1"/>
  <c r="O1798" i="1525" s="1"/>
  <c r="K1797" i="1525"/>
  <c r="I1797" i="1525" s="1"/>
  <c r="M1797" i="1525" s="1"/>
  <c r="N1797" i="1525" s="1"/>
  <c r="O1797" i="1525" s="1"/>
  <c r="K1796" i="1525"/>
  <c r="I1796" i="1525" s="1"/>
  <c r="M1796" i="1525" s="1"/>
  <c r="N1796" i="1525" s="1"/>
  <c r="O1796" i="1525" s="1"/>
  <c r="K1795" i="1525"/>
  <c r="I1795" i="1525" s="1"/>
  <c r="M1795" i="1525" s="1"/>
  <c r="N1795" i="1525" s="1"/>
  <c r="O1795" i="1525" s="1"/>
  <c r="K1794" i="1525"/>
  <c r="I1794" i="1525" s="1"/>
  <c r="M1794" i="1525" s="1"/>
  <c r="N1794" i="1525" s="1"/>
  <c r="O1794" i="1525" s="1"/>
  <c r="K1793" i="1525"/>
  <c r="I1793" i="1525" s="1"/>
  <c r="M1793" i="1525" s="1"/>
  <c r="N1793" i="1525" s="1"/>
  <c r="O1793" i="1525" s="1"/>
  <c r="K1792" i="1525"/>
  <c r="I1792" i="1525" s="1"/>
  <c r="M1792" i="1525" s="1"/>
  <c r="N1792" i="1525" s="1"/>
  <c r="O1792" i="1525" s="1"/>
  <c r="K1791" i="1525"/>
  <c r="I1791" i="1525" s="1"/>
  <c r="M1791" i="1525" s="1"/>
  <c r="N1791" i="1525" s="1"/>
  <c r="O1791" i="1525" s="1"/>
  <c r="K1790" i="1525"/>
  <c r="I1790" i="1525" s="1"/>
  <c r="M1790" i="1525" s="1"/>
  <c r="N1790" i="1525" s="1"/>
  <c r="O1790" i="1525" s="1"/>
  <c r="K1789" i="1525"/>
  <c r="I1789" i="1525" s="1"/>
  <c r="M1789" i="1525" s="1"/>
  <c r="N1789" i="1525" s="1"/>
  <c r="O1789" i="1525" s="1"/>
  <c r="K1788" i="1525"/>
  <c r="I1788" i="1525" s="1"/>
  <c r="M1788" i="1525" s="1"/>
  <c r="N1788" i="1525" s="1"/>
  <c r="O1788" i="1525" s="1"/>
  <c r="K1787" i="1525"/>
  <c r="I1787" i="1525" s="1"/>
  <c r="M1787" i="1525" s="1"/>
  <c r="N1787" i="1525" s="1"/>
  <c r="O1787" i="1525" s="1"/>
  <c r="K1786" i="1525"/>
  <c r="I1786" i="1525" s="1"/>
  <c r="M1786" i="1525" s="1"/>
  <c r="N1786" i="1525" s="1"/>
  <c r="O1786" i="1525" s="1"/>
  <c r="K1785" i="1525"/>
  <c r="I1785" i="1525" s="1"/>
  <c r="M1785" i="1525" s="1"/>
  <c r="N1785" i="1525" s="1"/>
  <c r="O1785" i="1525" s="1"/>
  <c r="K1784" i="1525"/>
  <c r="I1784" i="1525" s="1"/>
  <c r="M1784" i="1525" s="1"/>
  <c r="N1784" i="1525" s="1"/>
  <c r="O1784" i="1525" s="1"/>
  <c r="K1783" i="1525"/>
  <c r="I1783" i="1525" s="1"/>
  <c r="M1783" i="1525" s="1"/>
  <c r="N1783" i="1525" s="1"/>
  <c r="O1783" i="1525" s="1"/>
  <c r="K1782" i="1525"/>
  <c r="I1782" i="1525" s="1"/>
  <c r="M1782" i="1525" s="1"/>
  <c r="N1782" i="1525" s="1"/>
  <c r="O1782" i="1525" s="1"/>
  <c r="K1781" i="1525"/>
  <c r="I1781" i="1525" s="1"/>
  <c r="M1781" i="1525" s="1"/>
  <c r="N1781" i="1525" s="1"/>
  <c r="O1781" i="1525" s="1"/>
  <c r="K1780" i="1525"/>
  <c r="I1780" i="1525" s="1"/>
  <c r="M1780" i="1525" s="1"/>
  <c r="N1780" i="1525" s="1"/>
  <c r="O1780" i="1525" s="1"/>
  <c r="K1779" i="1525"/>
  <c r="I1779" i="1525" s="1"/>
  <c r="M1779" i="1525" s="1"/>
  <c r="N1779" i="1525" s="1"/>
  <c r="O1779" i="1525" s="1"/>
  <c r="K1778" i="1525"/>
  <c r="I1778" i="1525" s="1"/>
  <c r="M1778" i="1525" s="1"/>
  <c r="N1778" i="1525" s="1"/>
  <c r="O1778" i="1525" s="1"/>
  <c r="K1777" i="1525"/>
  <c r="I1777" i="1525" s="1"/>
  <c r="M1777" i="1525" s="1"/>
  <c r="N1777" i="1525" s="1"/>
  <c r="O1777" i="1525" s="1"/>
  <c r="K1776" i="1525"/>
  <c r="I1776" i="1525" s="1"/>
  <c r="M1776" i="1525" s="1"/>
  <c r="N1776" i="1525" s="1"/>
  <c r="O1776" i="1525" s="1"/>
  <c r="K1775" i="1525"/>
  <c r="I1775" i="1525" s="1"/>
  <c r="M1775" i="1525" s="1"/>
  <c r="N1775" i="1525" s="1"/>
  <c r="O1775" i="1525" s="1"/>
  <c r="K1774" i="1525"/>
  <c r="I1774" i="1525" s="1"/>
  <c r="M1774" i="1525" s="1"/>
  <c r="N1774" i="1525" s="1"/>
  <c r="O1774" i="1525" s="1"/>
  <c r="K1773" i="1525"/>
  <c r="I1773" i="1525" s="1"/>
  <c r="M1773" i="1525" s="1"/>
  <c r="N1773" i="1525" s="1"/>
  <c r="O1773" i="1525" s="1"/>
  <c r="K1772" i="1525"/>
  <c r="I1772" i="1525" s="1"/>
  <c r="M1772" i="1525" s="1"/>
  <c r="N1772" i="1525" s="1"/>
  <c r="O1772" i="1525" s="1"/>
  <c r="K1771" i="1525"/>
  <c r="I1771" i="1525" s="1"/>
  <c r="M1771" i="1525" s="1"/>
  <c r="N1771" i="1525" s="1"/>
  <c r="O1771" i="1525" s="1"/>
  <c r="K1770" i="1525"/>
  <c r="I1770" i="1525" s="1"/>
  <c r="M1770" i="1525" s="1"/>
  <c r="N1770" i="1525" s="1"/>
  <c r="O1770" i="1525" s="1"/>
  <c r="K1769" i="1525"/>
  <c r="I1769" i="1525" s="1"/>
  <c r="M1769" i="1525" s="1"/>
  <c r="N1769" i="1525" s="1"/>
  <c r="O1769" i="1525" s="1"/>
  <c r="K1768" i="1525"/>
  <c r="I1768" i="1525" s="1"/>
  <c r="M1768" i="1525" s="1"/>
  <c r="N1768" i="1525" s="1"/>
  <c r="O1768" i="1525" s="1"/>
  <c r="K1767" i="1525"/>
  <c r="I1767" i="1525" s="1"/>
  <c r="M1767" i="1525" s="1"/>
  <c r="N1767" i="1525" s="1"/>
  <c r="O1767" i="1525" s="1"/>
  <c r="K1766" i="1525"/>
  <c r="I1766" i="1525" s="1"/>
  <c r="M1766" i="1525" s="1"/>
  <c r="N1766" i="1525" s="1"/>
  <c r="O1766" i="1525" s="1"/>
  <c r="K1765" i="1525"/>
  <c r="I1765" i="1525" s="1"/>
  <c r="M1765" i="1525" s="1"/>
  <c r="N1765" i="1525" s="1"/>
  <c r="O1765" i="1525" s="1"/>
  <c r="K1764" i="1525"/>
  <c r="I1764" i="1525" s="1"/>
  <c r="M1764" i="1525" s="1"/>
  <c r="N1764" i="1525" s="1"/>
  <c r="O1764" i="1525" s="1"/>
  <c r="K1763" i="1525"/>
  <c r="I1763" i="1525" s="1"/>
  <c r="M1763" i="1525" s="1"/>
  <c r="N1763" i="1525" s="1"/>
  <c r="O1763" i="1525" s="1"/>
  <c r="K1762" i="1525"/>
  <c r="I1762" i="1525" s="1"/>
  <c r="M1762" i="1525" s="1"/>
  <c r="N1762" i="1525" s="1"/>
  <c r="O1762" i="1525" s="1"/>
  <c r="K1761" i="1525"/>
  <c r="I1761" i="1525" s="1"/>
  <c r="M1761" i="1525" s="1"/>
  <c r="N1761" i="1525" s="1"/>
  <c r="O1761" i="1525" s="1"/>
  <c r="K1760" i="1525"/>
  <c r="I1760" i="1525" s="1"/>
  <c r="M1760" i="1525" s="1"/>
  <c r="N1760" i="1525" s="1"/>
  <c r="O1760" i="1525" s="1"/>
  <c r="K1759" i="1525"/>
  <c r="I1759" i="1525" s="1"/>
  <c r="M1759" i="1525" s="1"/>
  <c r="N1759" i="1525" s="1"/>
  <c r="O1759" i="1525" s="1"/>
  <c r="K1758" i="1525"/>
  <c r="I1758" i="1525" s="1"/>
  <c r="M1758" i="1525" s="1"/>
  <c r="N1758" i="1525" s="1"/>
  <c r="O1758" i="1525" s="1"/>
  <c r="K1757" i="1525"/>
  <c r="I1757" i="1525" s="1"/>
  <c r="M1757" i="1525" s="1"/>
  <c r="N1757" i="1525" s="1"/>
  <c r="O1757" i="1525" s="1"/>
  <c r="K1756" i="1525"/>
  <c r="I1756" i="1525" s="1"/>
  <c r="M1756" i="1525" s="1"/>
  <c r="N1756" i="1525" s="1"/>
  <c r="O1756" i="1525" s="1"/>
  <c r="K1755" i="1525"/>
  <c r="I1755" i="1525" s="1"/>
  <c r="M1755" i="1525" s="1"/>
  <c r="N1755" i="1525" s="1"/>
  <c r="O1755" i="1525" s="1"/>
  <c r="K1754" i="1525"/>
  <c r="I1754" i="1525" s="1"/>
  <c r="M1754" i="1525" s="1"/>
  <c r="N1754" i="1525" s="1"/>
  <c r="O1754" i="1525" s="1"/>
  <c r="K1753" i="1525"/>
  <c r="I1753" i="1525" s="1"/>
  <c r="M1753" i="1525" s="1"/>
  <c r="N1753" i="1525" s="1"/>
  <c r="O1753" i="1525" s="1"/>
  <c r="K1752" i="1525"/>
  <c r="I1752" i="1525" s="1"/>
  <c r="M1752" i="1525" s="1"/>
  <c r="N1752" i="1525" s="1"/>
  <c r="O1752" i="1525" s="1"/>
  <c r="K1751" i="1525"/>
  <c r="I1751" i="1525" s="1"/>
  <c r="M1751" i="1525" s="1"/>
  <c r="N1751" i="1525" s="1"/>
  <c r="O1751" i="1525" s="1"/>
  <c r="K1750" i="1525"/>
  <c r="I1750" i="1525" s="1"/>
  <c r="M1750" i="1525" s="1"/>
  <c r="N1750" i="1525" s="1"/>
  <c r="O1750" i="1525" s="1"/>
  <c r="K1749" i="1525"/>
  <c r="I1749" i="1525" s="1"/>
  <c r="M1749" i="1525" s="1"/>
  <c r="N1749" i="1525" s="1"/>
  <c r="O1749" i="1525" s="1"/>
  <c r="K1748" i="1525"/>
  <c r="I1748" i="1525" s="1"/>
  <c r="M1748" i="1525" s="1"/>
  <c r="N1748" i="1525" s="1"/>
  <c r="O1748" i="1525" s="1"/>
  <c r="K1747" i="1525"/>
  <c r="I1747" i="1525" s="1"/>
  <c r="M1747" i="1525" s="1"/>
  <c r="N1747" i="1525" s="1"/>
  <c r="O1747" i="1525" s="1"/>
  <c r="K1746" i="1525"/>
  <c r="I1746" i="1525" s="1"/>
  <c r="M1746" i="1525" s="1"/>
  <c r="N1746" i="1525" s="1"/>
  <c r="O1746" i="1525" s="1"/>
  <c r="K1745" i="1525"/>
  <c r="I1745" i="1525" s="1"/>
  <c r="M1745" i="1525" s="1"/>
  <c r="N1745" i="1525" s="1"/>
  <c r="O1745" i="1525" s="1"/>
  <c r="K1744" i="1525"/>
  <c r="I1744" i="1525" s="1"/>
  <c r="M1744" i="1525" s="1"/>
  <c r="N1744" i="1525" s="1"/>
  <c r="O1744" i="1525" s="1"/>
  <c r="K1743" i="1525"/>
  <c r="I1743" i="1525" s="1"/>
  <c r="M1743" i="1525" s="1"/>
  <c r="N1743" i="1525" s="1"/>
  <c r="O1743" i="1525" s="1"/>
  <c r="K1742" i="1525"/>
  <c r="I1742" i="1525" s="1"/>
  <c r="M1742" i="1525" s="1"/>
  <c r="N1742" i="1525" s="1"/>
  <c r="O1742" i="1525" s="1"/>
  <c r="K1741" i="1525"/>
  <c r="I1741" i="1525" s="1"/>
  <c r="M1741" i="1525" s="1"/>
  <c r="N1741" i="1525" s="1"/>
  <c r="O1741" i="1525" s="1"/>
  <c r="K1740" i="1525"/>
  <c r="I1740" i="1525" s="1"/>
  <c r="M1740" i="1525" s="1"/>
  <c r="N1740" i="1525" s="1"/>
  <c r="O1740" i="1525" s="1"/>
  <c r="K1739" i="1525"/>
  <c r="I1739" i="1525" s="1"/>
  <c r="M1739" i="1525" s="1"/>
  <c r="N1739" i="1525" s="1"/>
  <c r="O1739" i="1525" s="1"/>
  <c r="K1738" i="1525"/>
  <c r="I1738" i="1525" s="1"/>
  <c r="M1738" i="1525" s="1"/>
  <c r="N1738" i="1525" s="1"/>
  <c r="O1738" i="1525" s="1"/>
  <c r="K1737" i="1525"/>
  <c r="I1737" i="1525" s="1"/>
  <c r="M1737" i="1525" s="1"/>
  <c r="N1737" i="1525" s="1"/>
  <c r="O1737" i="1525" s="1"/>
  <c r="K1736" i="1525"/>
  <c r="I1736" i="1525" s="1"/>
  <c r="M1736" i="1525" s="1"/>
  <c r="N1736" i="1525" s="1"/>
  <c r="O1736" i="1525" s="1"/>
  <c r="K1735" i="1525"/>
  <c r="I1735" i="1525" s="1"/>
  <c r="M1735" i="1525" s="1"/>
  <c r="N1735" i="1525" s="1"/>
  <c r="O1735" i="1525" s="1"/>
  <c r="K1734" i="1525"/>
  <c r="I1734" i="1525" s="1"/>
  <c r="M1734" i="1525" s="1"/>
  <c r="N1734" i="1525" s="1"/>
  <c r="O1734" i="1525" s="1"/>
  <c r="K1733" i="1525"/>
  <c r="I1733" i="1525" s="1"/>
  <c r="M1733" i="1525" s="1"/>
  <c r="N1733" i="1525" s="1"/>
  <c r="O1733" i="1525" s="1"/>
  <c r="K1732" i="1525"/>
  <c r="I1732" i="1525" s="1"/>
  <c r="M1732" i="1525" s="1"/>
  <c r="N1732" i="1525" s="1"/>
  <c r="O1732" i="1525" s="1"/>
  <c r="K1731" i="1525"/>
  <c r="I1731" i="1525" s="1"/>
  <c r="M1731" i="1525" s="1"/>
  <c r="N1731" i="1525" s="1"/>
  <c r="O1731" i="1525" s="1"/>
  <c r="K1730" i="1525"/>
  <c r="I1730" i="1525" s="1"/>
  <c r="M1730" i="1525" s="1"/>
  <c r="N1730" i="1525" s="1"/>
  <c r="O1730" i="1525" s="1"/>
  <c r="K1729" i="1525"/>
  <c r="I1729" i="1525" s="1"/>
  <c r="M1729" i="1525" s="1"/>
  <c r="N1729" i="1525" s="1"/>
  <c r="O1729" i="1525" s="1"/>
  <c r="K1728" i="1525"/>
  <c r="I1728" i="1525" s="1"/>
  <c r="M1728" i="1525" s="1"/>
  <c r="N1728" i="1525" s="1"/>
  <c r="O1728" i="1525" s="1"/>
  <c r="K1727" i="1525"/>
  <c r="I1727" i="1525" s="1"/>
  <c r="M1727" i="1525" s="1"/>
  <c r="N1727" i="1525" s="1"/>
  <c r="O1727" i="1525" s="1"/>
  <c r="K1726" i="1525"/>
  <c r="I1726" i="1525" s="1"/>
  <c r="M1726" i="1525" s="1"/>
  <c r="N1726" i="1525" s="1"/>
  <c r="O1726" i="1525" s="1"/>
  <c r="K1725" i="1525"/>
  <c r="I1725" i="1525" s="1"/>
  <c r="M1725" i="1525" s="1"/>
  <c r="N1725" i="1525" s="1"/>
  <c r="O1725" i="1525" s="1"/>
  <c r="K1724" i="1525"/>
  <c r="I1724" i="1525" s="1"/>
  <c r="M1724" i="1525" s="1"/>
  <c r="N1724" i="1525" s="1"/>
  <c r="O1724" i="1525" s="1"/>
  <c r="K1723" i="1525"/>
  <c r="I1723" i="1525" s="1"/>
  <c r="M1723" i="1525" s="1"/>
  <c r="N1723" i="1525" s="1"/>
  <c r="O1723" i="1525" s="1"/>
  <c r="K1722" i="1525"/>
  <c r="I1722" i="1525" s="1"/>
  <c r="M1722" i="1525" s="1"/>
  <c r="N1722" i="1525" s="1"/>
  <c r="O1722" i="1525" s="1"/>
  <c r="K1721" i="1525"/>
  <c r="I1721" i="1525" s="1"/>
  <c r="M1721" i="1525" s="1"/>
  <c r="N1721" i="1525" s="1"/>
  <c r="O1721" i="1525" s="1"/>
  <c r="K1720" i="1525"/>
  <c r="I1720" i="1525" s="1"/>
  <c r="M1720" i="1525" s="1"/>
  <c r="N1720" i="1525" s="1"/>
  <c r="O1720" i="1525" s="1"/>
  <c r="K1719" i="1525"/>
  <c r="I1719" i="1525" s="1"/>
  <c r="M1719" i="1525" s="1"/>
  <c r="N1719" i="1525" s="1"/>
  <c r="O1719" i="1525" s="1"/>
  <c r="K1718" i="1525"/>
  <c r="I1718" i="1525" s="1"/>
  <c r="M1718" i="1525" s="1"/>
  <c r="N1718" i="1525" s="1"/>
  <c r="O1718" i="1525" s="1"/>
  <c r="K1717" i="1525"/>
  <c r="I1717" i="1525" s="1"/>
  <c r="M1717" i="1525" s="1"/>
  <c r="N1717" i="1525" s="1"/>
  <c r="O1717" i="1525" s="1"/>
  <c r="K1716" i="1525"/>
  <c r="I1716" i="1525" s="1"/>
  <c r="M1716" i="1525" s="1"/>
  <c r="N1716" i="1525" s="1"/>
  <c r="O1716" i="1525" s="1"/>
  <c r="K1715" i="1525"/>
  <c r="I1715" i="1525" s="1"/>
  <c r="M1715" i="1525" s="1"/>
  <c r="N1715" i="1525" s="1"/>
  <c r="O1715" i="1525" s="1"/>
  <c r="K1714" i="1525"/>
  <c r="I1714" i="1525" s="1"/>
  <c r="M1714" i="1525" s="1"/>
  <c r="N1714" i="1525" s="1"/>
  <c r="O1714" i="1525" s="1"/>
  <c r="K1713" i="1525"/>
  <c r="I1713" i="1525" s="1"/>
  <c r="M1713" i="1525" s="1"/>
  <c r="N1713" i="1525" s="1"/>
  <c r="O1713" i="1525" s="1"/>
  <c r="K1712" i="1525"/>
  <c r="I1712" i="1525" s="1"/>
  <c r="M1712" i="1525" s="1"/>
  <c r="N1712" i="1525" s="1"/>
  <c r="O1712" i="1525" s="1"/>
  <c r="K1711" i="1525"/>
  <c r="I1711" i="1525" s="1"/>
  <c r="M1711" i="1525" s="1"/>
  <c r="N1711" i="1525" s="1"/>
  <c r="O1711" i="1525" s="1"/>
  <c r="K1710" i="1525"/>
  <c r="I1710" i="1525" s="1"/>
  <c r="M1710" i="1525" s="1"/>
  <c r="N1710" i="1525" s="1"/>
  <c r="O1710" i="1525" s="1"/>
  <c r="K1709" i="1525"/>
  <c r="I1709" i="1525" s="1"/>
  <c r="M1709" i="1525" s="1"/>
  <c r="N1709" i="1525" s="1"/>
  <c r="O1709" i="1525" s="1"/>
  <c r="K1708" i="1525"/>
  <c r="I1708" i="1525" s="1"/>
  <c r="M1708" i="1525" s="1"/>
  <c r="N1708" i="1525" s="1"/>
  <c r="O1708" i="1525" s="1"/>
  <c r="K1707" i="1525"/>
  <c r="I1707" i="1525" s="1"/>
  <c r="M1707" i="1525" s="1"/>
  <c r="N1707" i="1525" s="1"/>
  <c r="O1707" i="1525" s="1"/>
  <c r="K1706" i="1525"/>
  <c r="I1706" i="1525" s="1"/>
  <c r="M1706" i="1525" s="1"/>
  <c r="N1706" i="1525" s="1"/>
  <c r="O1706" i="1525" s="1"/>
  <c r="K1705" i="1525"/>
  <c r="I1705" i="1525" s="1"/>
  <c r="M1705" i="1525" s="1"/>
  <c r="N1705" i="1525" s="1"/>
  <c r="O1705" i="1525" s="1"/>
  <c r="K1704" i="1525"/>
  <c r="I1704" i="1525" s="1"/>
  <c r="M1704" i="1525" s="1"/>
  <c r="N1704" i="1525" s="1"/>
  <c r="O1704" i="1525" s="1"/>
  <c r="K1703" i="1525"/>
  <c r="I1703" i="1525" s="1"/>
  <c r="M1703" i="1525" s="1"/>
  <c r="N1703" i="1525" s="1"/>
  <c r="O1703" i="1525" s="1"/>
  <c r="K1702" i="1525"/>
  <c r="I1702" i="1525" s="1"/>
  <c r="M1702" i="1525" s="1"/>
  <c r="N1702" i="1525" s="1"/>
  <c r="O1702" i="1525" s="1"/>
  <c r="K1701" i="1525"/>
  <c r="I1701" i="1525" s="1"/>
  <c r="M1701" i="1525" s="1"/>
  <c r="N1701" i="1525" s="1"/>
  <c r="O1701" i="1525" s="1"/>
  <c r="K1700" i="1525"/>
  <c r="I1700" i="1525" s="1"/>
  <c r="M1700" i="1525" s="1"/>
  <c r="N1700" i="1525" s="1"/>
  <c r="O1700" i="1525" s="1"/>
  <c r="K1699" i="1525"/>
  <c r="I1699" i="1525" s="1"/>
  <c r="M1699" i="1525" s="1"/>
  <c r="N1699" i="1525" s="1"/>
  <c r="O1699" i="1525" s="1"/>
  <c r="K1698" i="1525"/>
  <c r="I1698" i="1525" s="1"/>
  <c r="M1698" i="1525" s="1"/>
  <c r="N1698" i="1525" s="1"/>
  <c r="O1698" i="1525" s="1"/>
  <c r="K1697" i="1525"/>
  <c r="I1697" i="1525" s="1"/>
  <c r="M1697" i="1525" s="1"/>
  <c r="N1697" i="1525" s="1"/>
  <c r="O1697" i="1525" s="1"/>
  <c r="K1696" i="1525"/>
  <c r="I1696" i="1525" s="1"/>
  <c r="M1696" i="1525" s="1"/>
  <c r="N1696" i="1525" s="1"/>
  <c r="O1696" i="1525" s="1"/>
  <c r="K1695" i="1525"/>
  <c r="I1695" i="1525" s="1"/>
  <c r="M1695" i="1525" s="1"/>
  <c r="N1695" i="1525" s="1"/>
  <c r="O1695" i="1525" s="1"/>
  <c r="K1694" i="1525"/>
  <c r="I1694" i="1525" s="1"/>
  <c r="M1694" i="1525" s="1"/>
  <c r="N1694" i="1525" s="1"/>
  <c r="O1694" i="1525" s="1"/>
  <c r="K1693" i="1525"/>
  <c r="I1693" i="1525" s="1"/>
  <c r="M1693" i="1525" s="1"/>
  <c r="N1693" i="1525" s="1"/>
  <c r="O1693" i="1525" s="1"/>
  <c r="K1692" i="1525"/>
  <c r="I1692" i="1525" s="1"/>
  <c r="M1692" i="1525" s="1"/>
  <c r="N1692" i="1525" s="1"/>
  <c r="O1692" i="1525" s="1"/>
  <c r="K1691" i="1525"/>
  <c r="I1691" i="1525" s="1"/>
  <c r="M1691" i="1525" s="1"/>
  <c r="N1691" i="1525" s="1"/>
  <c r="O1691" i="1525" s="1"/>
  <c r="K1690" i="1525"/>
  <c r="I1690" i="1525" s="1"/>
  <c r="M1690" i="1525" s="1"/>
  <c r="N1690" i="1525" s="1"/>
  <c r="O1690" i="1525" s="1"/>
  <c r="K1689" i="1525"/>
  <c r="I1689" i="1525" s="1"/>
  <c r="M1689" i="1525" s="1"/>
  <c r="N1689" i="1525" s="1"/>
  <c r="O1689" i="1525" s="1"/>
  <c r="K1688" i="1525"/>
  <c r="I1688" i="1525" s="1"/>
  <c r="M1688" i="1525" s="1"/>
  <c r="N1688" i="1525" s="1"/>
  <c r="O1688" i="1525" s="1"/>
  <c r="K1687" i="1525"/>
  <c r="I1687" i="1525" s="1"/>
  <c r="M1687" i="1525" s="1"/>
  <c r="N1687" i="1525" s="1"/>
  <c r="O1687" i="1525" s="1"/>
  <c r="K1686" i="1525"/>
  <c r="I1686" i="1525" s="1"/>
  <c r="M1686" i="1525" s="1"/>
  <c r="N1686" i="1525" s="1"/>
  <c r="O1686" i="1525" s="1"/>
  <c r="K1685" i="1525"/>
  <c r="I1685" i="1525" s="1"/>
  <c r="M1685" i="1525" s="1"/>
  <c r="N1685" i="1525" s="1"/>
  <c r="O1685" i="1525" s="1"/>
  <c r="K1684" i="1525"/>
  <c r="I1684" i="1525" s="1"/>
  <c r="M1684" i="1525" s="1"/>
  <c r="N1684" i="1525" s="1"/>
  <c r="O1684" i="1525" s="1"/>
  <c r="K1683" i="1525"/>
  <c r="I1683" i="1525" s="1"/>
  <c r="M1683" i="1525" s="1"/>
  <c r="N1683" i="1525" s="1"/>
  <c r="O1683" i="1525" s="1"/>
  <c r="K1682" i="1525"/>
  <c r="I1682" i="1525" s="1"/>
  <c r="M1682" i="1525" s="1"/>
  <c r="N1682" i="1525" s="1"/>
  <c r="O1682" i="1525" s="1"/>
  <c r="K1681" i="1525"/>
  <c r="I1681" i="1525" s="1"/>
  <c r="M1681" i="1525" s="1"/>
  <c r="N1681" i="1525" s="1"/>
  <c r="O1681" i="1525" s="1"/>
  <c r="K1680" i="1525"/>
  <c r="I1680" i="1525" s="1"/>
  <c r="M1680" i="1525" s="1"/>
  <c r="N1680" i="1525" s="1"/>
  <c r="O1680" i="1525" s="1"/>
  <c r="K1679" i="1525"/>
  <c r="I1679" i="1525" s="1"/>
  <c r="M1679" i="1525" s="1"/>
  <c r="N1679" i="1525" s="1"/>
  <c r="O1679" i="1525" s="1"/>
  <c r="K1678" i="1525"/>
  <c r="I1678" i="1525" s="1"/>
  <c r="M1678" i="1525" s="1"/>
  <c r="N1678" i="1525" s="1"/>
  <c r="O1678" i="1525" s="1"/>
  <c r="K1677" i="1525"/>
  <c r="I1677" i="1525" s="1"/>
  <c r="M1677" i="1525" s="1"/>
  <c r="N1677" i="1525" s="1"/>
  <c r="O1677" i="1525" s="1"/>
  <c r="K1676" i="1525"/>
  <c r="I1676" i="1525" s="1"/>
  <c r="M1676" i="1525" s="1"/>
  <c r="N1676" i="1525" s="1"/>
  <c r="O1676" i="1525" s="1"/>
  <c r="K1675" i="1525"/>
  <c r="I1675" i="1525" s="1"/>
  <c r="M1675" i="1525" s="1"/>
  <c r="N1675" i="1525" s="1"/>
  <c r="O1675" i="1525" s="1"/>
  <c r="K1674" i="1525"/>
  <c r="I1674" i="1525" s="1"/>
  <c r="M1674" i="1525" s="1"/>
  <c r="N1674" i="1525" s="1"/>
  <c r="O1674" i="1525" s="1"/>
  <c r="K1673" i="1525"/>
  <c r="I1673" i="1525" s="1"/>
  <c r="M1673" i="1525" s="1"/>
  <c r="N1673" i="1525" s="1"/>
  <c r="O1673" i="1525" s="1"/>
  <c r="K1672" i="1525"/>
  <c r="I1672" i="1525" s="1"/>
  <c r="M1672" i="1525" s="1"/>
  <c r="N1672" i="1525" s="1"/>
  <c r="O1672" i="1525" s="1"/>
  <c r="K1671" i="1525"/>
  <c r="I1671" i="1525" s="1"/>
  <c r="M1671" i="1525" s="1"/>
  <c r="N1671" i="1525" s="1"/>
  <c r="O1671" i="1525" s="1"/>
  <c r="K1670" i="1525"/>
  <c r="I1670" i="1525" s="1"/>
  <c r="M1670" i="1525" s="1"/>
  <c r="N1670" i="1525" s="1"/>
  <c r="O1670" i="1525" s="1"/>
  <c r="K1669" i="1525"/>
  <c r="I1669" i="1525" s="1"/>
  <c r="M1669" i="1525" s="1"/>
  <c r="N1669" i="1525" s="1"/>
  <c r="O1669" i="1525" s="1"/>
  <c r="K1668" i="1525"/>
  <c r="I1668" i="1525" s="1"/>
  <c r="M1668" i="1525" s="1"/>
  <c r="N1668" i="1525" s="1"/>
  <c r="O1668" i="1525" s="1"/>
  <c r="K1667" i="1525"/>
  <c r="I1667" i="1525" s="1"/>
  <c r="M1667" i="1525" s="1"/>
  <c r="N1667" i="1525" s="1"/>
  <c r="O1667" i="1525" s="1"/>
  <c r="K1666" i="1525"/>
  <c r="I1666" i="1525" s="1"/>
  <c r="M1666" i="1525" s="1"/>
  <c r="N1666" i="1525" s="1"/>
  <c r="O1666" i="1525" s="1"/>
  <c r="K1665" i="1525"/>
  <c r="I1665" i="1525" s="1"/>
  <c r="M1665" i="1525" s="1"/>
  <c r="N1665" i="1525" s="1"/>
  <c r="O1665" i="1525" s="1"/>
  <c r="K1664" i="1525"/>
  <c r="I1664" i="1525" s="1"/>
  <c r="M1664" i="1525" s="1"/>
  <c r="N1664" i="1525" s="1"/>
  <c r="O1664" i="1525" s="1"/>
  <c r="K1663" i="1525"/>
  <c r="I1663" i="1525" s="1"/>
  <c r="M1663" i="1525" s="1"/>
  <c r="N1663" i="1525" s="1"/>
  <c r="O1663" i="1525" s="1"/>
  <c r="K1662" i="1525"/>
  <c r="I1662" i="1525" s="1"/>
  <c r="M1662" i="1525" s="1"/>
  <c r="N1662" i="1525" s="1"/>
  <c r="O1662" i="1525" s="1"/>
  <c r="K1661" i="1525"/>
  <c r="I1661" i="1525" s="1"/>
  <c r="M1661" i="1525" s="1"/>
  <c r="N1661" i="1525" s="1"/>
  <c r="O1661" i="1525" s="1"/>
  <c r="K1660" i="1525"/>
  <c r="I1660" i="1525" s="1"/>
  <c r="M1660" i="1525" s="1"/>
  <c r="N1660" i="1525" s="1"/>
  <c r="O1660" i="1525" s="1"/>
  <c r="K1659" i="1525"/>
  <c r="I1659" i="1525" s="1"/>
  <c r="M1659" i="1525" s="1"/>
  <c r="N1659" i="1525" s="1"/>
  <c r="O1659" i="1525" s="1"/>
  <c r="K1658" i="1525"/>
  <c r="I1658" i="1525" s="1"/>
  <c r="M1658" i="1525" s="1"/>
  <c r="N1658" i="1525" s="1"/>
  <c r="O1658" i="1525" s="1"/>
  <c r="K1657" i="1525"/>
  <c r="I1657" i="1525" s="1"/>
  <c r="M1657" i="1525" s="1"/>
  <c r="N1657" i="1525" s="1"/>
  <c r="O1657" i="1525" s="1"/>
  <c r="K1656" i="1525"/>
  <c r="I1656" i="1525" s="1"/>
  <c r="M1656" i="1525" s="1"/>
  <c r="N1656" i="1525" s="1"/>
  <c r="O1656" i="1525" s="1"/>
  <c r="K1655" i="1525"/>
  <c r="I1655" i="1525" s="1"/>
  <c r="M1655" i="1525" s="1"/>
  <c r="N1655" i="1525" s="1"/>
  <c r="O1655" i="1525" s="1"/>
  <c r="K1654" i="1525"/>
  <c r="I1654" i="1525" s="1"/>
  <c r="M1654" i="1525" s="1"/>
  <c r="N1654" i="1525" s="1"/>
  <c r="O1654" i="1525" s="1"/>
  <c r="K1653" i="1525"/>
  <c r="I1653" i="1525" s="1"/>
  <c r="M1653" i="1525" s="1"/>
  <c r="N1653" i="1525" s="1"/>
  <c r="O1653" i="1525" s="1"/>
  <c r="K1652" i="1525"/>
  <c r="I1652" i="1525" s="1"/>
  <c r="M1652" i="1525" s="1"/>
  <c r="N1652" i="1525" s="1"/>
  <c r="O1652" i="1525" s="1"/>
  <c r="K1651" i="1525"/>
  <c r="I1651" i="1525" s="1"/>
  <c r="M1651" i="1525" s="1"/>
  <c r="N1651" i="1525" s="1"/>
  <c r="O1651" i="1525" s="1"/>
  <c r="K1650" i="1525"/>
  <c r="I1650" i="1525" s="1"/>
  <c r="M1650" i="1525" s="1"/>
  <c r="N1650" i="1525" s="1"/>
  <c r="O1650" i="1525" s="1"/>
  <c r="K1649" i="1525"/>
  <c r="I1649" i="1525" s="1"/>
  <c r="M1649" i="1525" s="1"/>
  <c r="N1649" i="1525" s="1"/>
  <c r="O1649" i="1525" s="1"/>
  <c r="K1648" i="1525"/>
  <c r="I1648" i="1525" s="1"/>
  <c r="M1648" i="1525" s="1"/>
  <c r="N1648" i="1525" s="1"/>
  <c r="O1648" i="1525" s="1"/>
  <c r="K1647" i="1525"/>
  <c r="I1647" i="1525" s="1"/>
  <c r="M1647" i="1525" s="1"/>
  <c r="N1647" i="1525" s="1"/>
  <c r="O1647" i="1525" s="1"/>
  <c r="K1646" i="1525"/>
  <c r="I1646" i="1525" s="1"/>
  <c r="M1646" i="1525" s="1"/>
  <c r="N1646" i="1525" s="1"/>
  <c r="O1646" i="1525" s="1"/>
  <c r="K1645" i="1525"/>
  <c r="I1645" i="1525" s="1"/>
  <c r="M1645" i="1525" s="1"/>
  <c r="N1645" i="1525" s="1"/>
  <c r="O1645" i="1525" s="1"/>
  <c r="K1644" i="1525"/>
  <c r="I1644" i="1525" s="1"/>
  <c r="M1644" i="1525" s="1"/>
  <c r="N1644" i="1525" s="1"/>
  <c r="O1644" i="1525" s="1"/>
  <c r="K1643" i="1525"/>
  <c r="I1643" i="1525" s="1"/>
  <c r="M1643" i="1525" s="1"/>
  <c r="N1643" i="1525" s="1"/>
  <c r="O1643" i="1525" s="1"/>
  <c r="K1642" i="1525"/>
  <c r="I1642" i="1525" s="1"/>
  <c r="M1642" i="1525" s="1"/>
  <c r="N1642" i="1525" s="1"/>
  <c r="O1642" i="1525" s="1"/>
  <c r="K1641" i="1525"/>
  <c r="I1641" i="1525" s="1"/>
  <c r="M1641" i="1525" s="1"/>
  <c r="N1641" i="1525" s="1"/>
  <c r="O1641" i="1525" s="1"/>
  <c r="K1640" i="1525"/>
  <c r="I1640" i="1525" s="1"/>
  <c r="M1640" i="1525" s="1"/>
  <c r="N1640" i="1525" s="1"/>
  <c r="O1640" i="1525" s="1"/>
  <c r="K1639" i="1525"/>
  <c r="I1639" i="1525" s="1"/>
  <c r="M1639" i="1525" s="1"/>
  <c r="N1639" i="1525" s="1"/>
  <c r="O1639" i="1525" s="1"/>
  <c r="K1638" i="1525"/>
  <c r="I1638" i="1525" s="1"/>
  <c r="M1638" i="1525" s="1"/>
  <c r="N1638" i="1525" s="1"/>
  <c r="O1638" i="1525" s="1"/>
  <c r="K1637" i="1525"/>
  <c r="I1637" i="1525" s="1"/>
  <c r="M1637" i="1525" s="1"/>
  <c r="N1637" i="1525" s="1"/>
  <c r="O1637" i="1525" s="1"/>
  <c r="K1636" i="1525"/>
  <c r="I1636" i="1525" s="1"/>
  <c r="M1636" i="1525" s="1"/>
  <c r="N1636" i="1525" s="1"/>
  <c r="O1636" i="1525" s="1"/>
  <c r="K1635" i="1525"/>
  <c r="I1635" i="1525" s="1"/>
  <c r="M1635" i="1525" s="1"/>
  <c r="N1635" i="1525" s="1"/>
  <c r="O1635" i="1525" s="1"/>
  <c r="K1634" i="1525"/>
  <c r="I1634" i="1525" s="1"/>
  <c r="M1634" i="1525" s="1"/>
  <c r="N1634" i="1525" s="1"/>
  <c r="O1634" i="1525" s="1"/>
  <c r="K1633" i="1525"/>
  <c r="I1633" i="1525" s="1"/>
  <c r="M1633" i="1525" s="1"/>
  <c r="N1633" i="1525" s="1"/>
  <c r="O1633" i="1525" s="1"/>
  <c r="K1632" i="1525"/>
  <c r="I1632" i="1525" s="1"/>
  <c r="M1632" i="1525" s="1"/>
  <c r="N1632" i="1525" s="1"/>
  <c r="O1632" i="1525" s="1"/>
  <c r="K1631" i="1525"/>
  <c r="I1631" i="1525" s="1"/>
  <c r="M1631" i="1525" s="1"/>
  <c r="N1631" i="1525" s="1"/>
  <c r="O1631" i="1525" s="1"/>
  <c r="K1630" i="1525"/>
  <c r="I1630" i="1525" s="1"/>
  <c r="M1630" i="1525" s="1"/>
  <c r="N1630" i="1525" s="1"/>
  <c r="O1630" i="1525" s="1"/>
  <c r="K1629" i="1525"/>
  <c r="I1629" i="1525" s="1"/>
  <c r="M1629" i="1525" s="1"/>
  <c r="N1629" i="1525" s="1"/>
  <c r="O1629" i="1525" s="1"/>
  <c r="K1628" i="1525"/>
  <c r="I1628" i="1525" s="1"/>
  <c r="M1628" i="1525" s="1"/>
  <c r="N1628" i="1525" s="1"/>
  <c r="O1628" i="1525" s="1"/>
  <c r="K1627" i="1525"/>
  <c r="I1627" i="1525" s="1"/>
  <c r="M1627" i="1525" s="1"/>
  <c r="N1627" i="1525" s="1"/>
  <c r="O1627" i="1525" s="1"/>
  <c r="K1626" i="1525"/>
  <c r="I1626" i="1525" s="1"/>
  <c r="M1626" i="1525" s="1"/>
  <c r="N1626" i="1525" s="1"/>
  <c r="O1626" i="1525" s="1"/>
  <c r="K1625" i="1525"/>
  <c r="I1625" i="1525" s="1"/>
  <c r="M1625" i="1525" s="1"/>
  <c r="N1625" i="1525" s="1"/>
  <c r="O1625" i="1525" s="1"/>
  <c r="K1624" i="1525"/>
  <c r="I1624" i="1525" s="1"/>
  <c r="M1624" i="1525" s="1"/>
  <c r="N1624" i="1525" s="1"/>
  <c r="O1624" i="1525" s="1"/>
  <c r="K1623" i="1525"/>
  <c r="I1623" i="1525" s="1"/>
  <c r="M1623" i="1525" s="1"/>
  <c r="N1623" i="1525" s="1"/>
  <c r="O1623" i="1525" s="1"/>
  <c r="K1622" i="1525"/>
  <c r="I1622" i="1525" s="1"/>
  <c r="M1622" i="1525" s="1"/>
  <c r="N1622" i="1525" s="1"/>
  <c r="O1622" i="1525" s="1"/>
  <c r="K1621" i="1525"/>
  <c r="I1621" i="1525" s="1"/>
  <c r="M1621" i="1525" s="1"/>
  <c r="N1621" i="1525" s="1"/>
  <c r="O1621" i="1525" s="1"/>
  <c r="K1620" i="1525"/>
  <c r="I1620" i="1525" s="1"/>
  <c r="M1620" i="1525" s="1"/>
  <c r="N1620" i="1525" s="1"/>
  <c r="O1620" i="1525" s="1"/>
  <c r="K1619" i="1525"/>
  <c r="I1619" i="1525" s="1"/>
  <c r="M1619" i="1525" s="1"/>
  <c r="N1619" i="1525" s="1"/>
  <c r="O1619" i="1525" s="1"/>
  <c r="K1618" i="1525"/>
  <c r="I1618" i="1525" s="1"/>
  <c r="M1618" i="1525" s="1"/>
  <c r="N1618" i="1525" s="1"/>
  <c r="O1618" i="1525" s="1"/>
  <c r="K1617" i="1525"/>
  <c r="I1617" i="1525" s="1"/>
  <c r="M1617" i="1525" s="1"/>
  <c r="N1617" i="1525" s="1"/>
  <c r="O1617" i="1525" s="1"/>
  <c r="K1616" i="1525"/>
  <c r="I1616" i="1525" s="1"/>
  <c r="M1616" i="1525" s="1"/>
  <c r="N1616" i="1525" s="1"/>
  <c r="O1616" i="1525" s="1"/>
  <c r="K1615" i="1525"/>
  <c r="I1615" i="1525" s="1"/>
  <c r="M1615" i="1525" s="1"/>
  <c r="N1615" i="1525" s="1"/>
  <c r="O1615" i="1525" s="1"/>
  <c r="K1614" i="1525"/>
  <c r="I1614" i="1525" s="1"/>
  <c r="M1614" i="1525" s="1"/>
  <c r="N1614" i="1525" s="1"/>
  <c r="O1614" i="1525" s="1"/>
  <c r="K1613" i="1525"/>
  <c r="I1613" i="1525" s="1"/>
  <c r="M1613" i="1525" s="1"/>
  <c r="N1613" i="1525" s="1"/>
  <c r="O1613" i="1525" s="1"/>
  <c r="K1612" i="1525"/>
  <c r="I1612" i="1525" s="1"/>
  <c r="M1612" i="1525" s="1"/>
  <c r="N1612" i="1525" s="1"/>
  <c r="O1612" i="1525" s="1"/>
  <c r="K1611" i="1525"/>
  <c r="I1611" i="1525" s="1"/>
  <c r="M1611" i="1525" s="1"/>
  <c r="N1611" i="1525" s="1"/>
  <c r="O1611" i="1525" s="1"/>
  <c r="K1610" i="1525"/>
  <c r="I1610" i="1525" s="1"/>
  <c r="M1610" i="1525" s="1"/>
  <c r="N1610" i="1525" s="1"/>
  <c r="O1610" i="1525" s="1"/>
  <c r="K1609" i="1525"/>
  <c r="I1609" i="1525" s="1"/>
  <c r="M1609" i="1525" s="1"/>
  <c r="N1609" i="1525" s="1"/>
  <c r="O1609" i="1525" s="1"/>
  <c r="K1608" i="1525"/>
  <c r="I1608" i="1525" s="1"/>
  <c r="M1608" i="1525" s="1"/>
  <c r="N1608" i="1525" s="1"/>
  <c r="O1608" i="1525" s="1"/>
  <c r="K1607" i="1525"/>
  <c r="I1607" i="1525" s="1"/>
  <c r="M1607" i="1525" s="1"/>
  <c r="N1607" i="1525" s="1"/>
  <c r="O1607" i="1525" s="1"/>
  <c r="K1606" i="1525"/>
  <c r="I1606" i="1525" s="1"/>
  <c r="M1606" i="1525" s="1"/>
  <c r="N1606" i="1525" s="1"/>
  <c r="O1606" i="1525" s="1"/>
  <c r="K1605" i="1525"/>
  <c r="I1605" i="1525" s="1"/>
  <c r="M1605" i="1525" s="1"/>
  <c r="N1605" i="1525" s="1"/>
  <c r="O1605" i="1525" s="1"/>
  <c r="K1604" i="1525"/>
  <c r="I1604" i="1525" s="1"/>
  <c r="M1604" i="1525" s="1"/>
  <c r="N1604" i="1525" s="1"/>
  <c r="O1604" i="1525" s="1"/>
  <c r="K1603" i="1525"/>
  <c r="I1603" i="1525" s="1"/>
  <c r="M1603" i="1525" s="1"/>
  <c r="N1603" i="1525" s="1"/>
  <c r="O1603" i="1525" s="1"/>
  <c r="K1602" i="1525"/>
  <c r="I1602" i="1525" s="1"/>
  <c r="M1602" i="1525" s="1"/>
  <c r="N1602" i="1525" s="1"/>
  <c r="O1602" i="1525" s="1"/>
  <c r="K1601" i="1525"/>
  <c r="I1601" i="1525" s="1"/>
  <c r="M1601" i="1525" s="1"/>
  <c r="N1601" i="1525" s="1"/>
  <c r="O1601" i="1525" s="1"/>
  <c r="K1600" i="1525"/>
  <c r="I1600" i="1525" s="1"/>
  <c r="M1600" i="1525" s="1"/>
  <c r="N1600" i="1525" s="1"/>
  <c r="O1600" i="1525" s="1"/>
  <c r="K1599" i="1525"/>
  <c r="I1599" i="1525" s="1"/>
  <c r="M1599" i="1525" s="1"/>
  <c r="N1599" i="1525" s="1"/>
  <c r="O1599" i="1525" s="1"/>
  <c r="K1598" i="1525"/>
  <c r="I1598" i="1525" s="1"/>
  <c r="M1598" i="1525" s="1"/>
  <c r="N1598" i="1525" s="1"/>
  <c r="O1598" i="1525" s="1"/>
  <c r="K1597" i="1525"/>
  <c r="I1597" i="1525" s="1"/>
  <c r="M1597" i="1525" s="1"/>
  <c r="N1597" i="1525" s="1"/>
  <c r="O1597" i="1525" s="1"/>
  <c r="K1596" i="1525"/>
  <c r="I1596" i="1525" s="1"/>
  <c r="M1596" i="1525" s="1"/>
  <c r="N1596" i="1525" s="1"/>
  <c r="O1596" i="1525" s="1"/>
  <c r="K1595" i="1525"/>
  <c r="I1595" i="1525" s="1"/>
  <c r="M1595" i="1525" s="1"/>
  <c r="N1595" i="1525" s="1"/>
  <c r="O1595" i="1525" s="1"/>
  <c r="K1594" i="1525"/>
  <c r="I1594" i="1525" s="1"/>
  <c r="M1594" i="1525" s="1"/>
  <c r="N1594" i="1525" s="1"/>
  <c r="O1594" i="1525" s="1"/>
  <c r="K1593" i="1525"/>
  <c r="I1593" i="1525" s="1"/>
  <c r="M1593" i="1525" s="1"/>
  <c r="N1593" i="1525" s="1"/>
  <c r="O1593" i="1525" s="1"/>
  <c r="K1592" i="1525"/>
  <c r="I1592" i="1525" s="1"/>
  <c r="M1592" i="1525" s="1"/>
  <c r="N1592" i="1525" s="1"/>
  <c r="O1592" i="1525" s="1"/>
  <c r="K1591" i="1525"/>
  <c r="I1591" i="1525" s="1"/>
  <c r="M1591" i="1525" s="1"/>
  <c r="N1591" i="1525" s="1"/>
  <c r="O1591" i="1525" s="1"/>
  <c r="K1590" i="1525"/>
  <c r="I1590" i="1525" s="1"/>
  <c r="M1590" i="1525" s="1"/>
  <c r="N1590" i="1525" s="1"/>
  <c r="O1590" i="1525" s="1"/>
  <c r="K1589" i="1525"/>
  <c r="I1589" i="1525" s="1"/>
  <c r="M1589" i="1525" s="1"/>
  <c r="N1589" i="1525" s="1"/>
  <c r="O1589" i="1525" s="1"/>
  <c r="K1588" i="1525"/>
  <c r="I1588" i="1525" s="1"/>
  <c r="M1588" i="1525" s="1"/>
  <c r="N1588" i="1525" s="1"/>
  <c r="O1588" i="1525" s="1"/>
  <c r="K1587" i="1525"/>
  <c r="I1587" i="1525" s="1"/>
  <c r="M1587" i="1525" s="1"/>
  <c r="N1587" i="1525" s="1"/>
  <c r="O1587" i="1525" s="1"/>
  <c r="K1586" i="1525"/>
  <c r="I1586" i="1525" s="1"/>
  <c r="M1586" i="1525" s="1"/>
  <c r="N1586" i="1525" s="1"/>
  <c r="O1586" i="1525" s="1"/>
  <c r="K1585" i="1525"/>
  <c r="I1585" i="1525" s="1"/>
  <c r="M1585" i="1525" s="1"/>
  <c r="N1585" i="1525" s="1"/>
  <c r="O1585" i="1525" s="1"/>
  <c r="K1584" i="1525"/>
  <c r="I1584" i="1525" s="1"/>
  <c r="M1584" i="1525" s="1"/>
  <c r="N1584" i="1525" s="1"/>
  <c r="O1584" i="1525" s="1"/>
  <c r="K1583" i="1525"/>
  <c r="I1583" i="1525" s="1"/>
  <c r="M1583" i="1525" s="1"/>
  <c r="N1583" i="1525" s="1"/>
  <c r="O1583" i="1525" s="1"/>
  <c r="K1582" i="1525"/>
  <c r="I1582" i="1525" s="1"/>
  <c r="M1582" i="1525" s="1"/>
  <c r="N1582" i="1525" s="1"/>
  <c r="O1582" i="1525" s="1"/>
  <c r="K1581" i="1525"/>
  <c r="I1581" i="1525" s="1"/>
  <c r="M1581" i="1525" s="1"/>
  <c r="N1581" i="1525" s="1"/>
  <c r="O1581" i="1525" s="1"/>
  <c r="K1580" i="1525"/>
  <c r="I1580" i="1525" s="1"/>
  <c r="M1580" i="1525" s="1"/>
  <c r="N1580" i="1525" s="1"/>
  <c r="O1580" i="1525" s="1"/>
  <c r="K1579" i="1525"/>
  <c r="I1579" i="1525" s="1"/>
  <c r="M1579" i="1525" s="1"/>
  <c r="N1579" i="1525" s="1"/>
  <c r="O1579" i="1525" s="1"/>
  <c r="K1578" i="1525"/>
  <c r="I1578" i="1525" s="1"/>
  <c r="M1578" i="1525" s="1"/>
  <c r="N1578" i="1525" s="1"/>
  <c r="O1578" i="1525" s="1"/>
  <c r="K1577" i="1525"/>
  <c r="I1577" i="1525" s="1"/>
  <c r="M1577" i="1525" s="1"/>
  <c r="N1577" i="1525" s="1"/>
  <c r="O1577" i="1525" s="1"/>
  <c r="K1576" i="1525"/>
  <c r="I1576" i="1525" s="1"/>
  <c r="M1576" i="1525" s="1"/>
  <c r="N1576" i="1525" s="1"/>
  <c r="O1576" i="1525" s="1"/>
  <c r="K1575" i="1525"/>
  <c r="I1575" i="1525" s="1"/>
  <c r="M1575" i="1525" s="1"/>
  <c r="N1575" i="1525" s="1"/>
  <c r="O1575" i="1525" s="1"/>
  <c r="K1574" i="1525"/>
  <c r="I1574" i="1525" s="1"/>
  <c r="M1574" i="1525" s="1"/>
  <c r="N1574" i="1525" s="1"/>
  <c r="O1574" i="1525" s="1"/>
  <c r="K1573" i="1525"/>
  <c r="I1573" i="1525" s="1"/>
  <c r="M1573" i="1525" s="1"/>
  <c r="N1573" i="1525" s="1"/>
  <c r="O1573" i="1525" s="1"/>
  <c r="K1572" i="1525"/>
  <c r="I1572" i="1525" s="1"/>
  <c r="M1572" i="1525" s="1"/>
  <c r="N1572" i="1525" s="1"/>
  <c r="O1572" i="1525" s="1"/>
  <c r="K1571" i="1525"/>
  <c r="I1571" i="1525" s="1"/>
  <c r="M1571" i="1525" s="1"/>
  <c r="N1571" i="1525" s="1"/>
  <c r="O1571" i="1525" s="1"/>
  <c r="K1570" i="1525"/>
  <c r="I1570" i="1525" s="1"/>
  <c r="M1570" i="1525" s="1"/>
  <c r="N1570" i="1525" s="1"/>
  <c r="O1570" i="1525" s="1"/>
  <c r="K1569" i="1525"/>
  <c r="I1569" i="1525" s="1"/>
  <c r="M1569" i="1525" s="1"/>
  <c r="N1569" i="1525" s="1"/>
  <c r="O1569" i="1525" s="1"/>
  <c r="K1568" i="1525"/>
  <c r="I1568" i="1525" s="1"/>
  <c r="M1568" i="1525" s="1"/>
  <c r="N1568" i="1525" s="1"/>
  <c r="O1568" i="1525" s="1"/>
  <c r="K1567" i="1525"/>
  <c r="I1567" i="1525" s="1"/>
  <c r="M1567" i="1525" s="1"/>
  <c r="N1567" i="1525" s="1"/>
  <c r="O1567" i="1525" s="1"/>
  <c r="K1566" i="1525"/>
  <c r="I1566" i="1525" s="1"/>
  <c r="M1566" i="1525" s="1"/>
  <c r="N1566" i="1525" s="1"/>
  <c r="O1566" i="1525" s="1"/>
  <c r="K1565" i="1525"/>
  <c r="I1565" i="1525" s="1"/>
  <c r="M1565" i="1525" s="1"/>
  <c r="N1565" i="1525" s="1"/>
  <c r="O1565" i="1525" s="1"/>
  <c r="K1564" i="1525"/>
  <c r="I1564" i="1525" s="1"/>
  <c r="M1564" i="1525" s="1"/>
  <c r="N1564" i="1525" s="1"/>
  <c r="O1564" i="1525" s="1"/>
  <c r="K1563" i="1525"/>
  <c r="I1563" i="1525" s="1"/>
  <c r="M1563" i="1525" s="1"/>
  <c r="N1563" i="1525" s="1"/>
  <c r="O1563" i="1525" s="1"/>
  <c r="K1562" i="1525"/>
  <c r="I1562" i="1525" s="1"/>
  <c r="M1562" i="1525" s="1"/>
  <c r="N1562" i="1525" s="1"/>
  <c r="O1562" i="1525" s="1"/>
  <c r="K1561" i="1525"/>
  <c r="I1561" i="1525" s="1"/>
  <c r="M1561" i="1525" s="1"/>
  <c r="N1561" i="1525" s="1"/>
  <c r="O1561" i="1525" s="1"/>
  <c r="K1560" i="1525"/>
  <c r="I1560" i="1525" s="1"/>
  <c r="M1560" i="1525" s="1"/>
  <c r="N1560" i="1525" s="1"/>
  <c r="O1560" i="1525" s="1"/>
  <c r="K1559" i="1525"/>
  <c r="I1559" i="1525" s="1"/>
  <c r="M1559" i="1525" s="1"/>
  <c r="N1559" i="1525" s="1"/>
  <c r="O1559" i="1525" s="1"/>
  <c r="K1558" i="1525"/>
  <c r="I1558" i="1525" s="1"/>
  <c r="M1558" i="1525" s="1"/>
  <c r="N1558" i="1525" s="1"/>
  <c r="O1558" i="1525" s="1"/>
  <c r="K1557" i="1525"/>
  <c r="I1557" i="1525" s="1"/>
  <c r="M1557" i="1525" s="1"/>
  <c r="N1557" i="1525" s="1"/>
  <c r="O1557" i="1525" s="1"/>
  <c r="K1556" i="1525"/>
  <c r="I1556" i="1525" s="1"/>
  <c r="M1556" i="1525" s="1"/>
  <c r="N1556" i="1525" s="1"/>
  <c r="O1556" i="1525" s="1"/>
  <c r="K1555" i="1525"/>
  <c r="I1555" i="1525" s="1"/>
  <c r="M1555" i="1525" s="1"/>
  <c r="N1555" i="1525" s="1"/>
  <c r="O1555" i="1525" s="1"/>
  <c r="K1554" i="1525"/>
  <c r="I1554" i="1525" s="1"/>
  <c r="M1554" i="1525" s="1"/>
  <c r="N1554" i="1525" s="1"/>
  <c r="O1554" i="1525" s="1"/>
  <c r="K1553" i="1525"/>
  <c r="I1553" i="1525" s="1"/>
  <c r="M1553" i="1525" s="1"/>
  <c r="N1553" i="1525" s="1"/>
  <c r="O1553" i="1525" s="1"/>
  <c r="K1552" i="1525"/>
  <c r="I1552" i="1525" s="1"/>
  <c r="M1552" i="1525" s="1"/>
  <c r="N1552" i="1525" s="1"/>
  <c r="O1552" i="1525" s="1"/>
  <c r="K1551" i="1525"/>
  <c r="I1551" i="1525" s="1"/>
  <c r="M1551" i="1525" s="1"/>
  <c r="N1551" i="1525" s="1"/>
  <c r="O1551" i="1525" s="1"/>
  <c r="K1550" i="1525"/>
  <c r="I1550" i="1525" s="1"/>
  <c r="M1550" i="1525" s="1"/>
  <c r="N1550" i="1525" s="1"/>
  <c r="O1550" i="1525" s="1"/>
  <c r="K1549" i="1525"/>
  <c r="I1549" i="1525" s="1"/>
  <c r="M1549" i="1525" s="1"/>
  <c r="N1549" i="1525" s="1"/>
  <c r="O1549" i="1525" s="1"/>
  <c r="K1548" i="1525"/>
  <c r="I1548" i="1525" s="1"/>
  <c r="M1548" i="1525" s="1"/>
  <c r="N1548" i="1525" s="1"/>
  <c r="O1548" i="1525" s="1"/>
  <c r="K1547" i="1525"/>
  <c r="I1547" i="1525" s="1"/>
  <c r="M1547" i="1525" s="1"/>
  <c r="N1547" i="1525" s="1"/>
  <c r="O1547" i="1525" s="1"/>
  <c r="K1546" i="1525"/>
  <c r="I1546" i="1525" s="1"/>
  <c r="M1546" i="1525" s="1"/>
  <c r="N1546" i="1525" s="1"/>
  <c r="O1546" i="1525" s="1"/>
  <c r="K1545" i="1525"/>
  <c r="I1545" i="1525" s="1"/>
  <c r="M1545" i="1525" s="1"/>
  <c r="N1545" i="1525" s="1"/>
  <c r="O1545" i="1525" s="1"/>
  <c r="K1544" i="1525"/>
  <c r="I1544" i="1525" s="1"/>
  <c r="M1544" i="1525" s="1"/>
  <c r="N1544" i="1525" s="1"/>
  <c r="O1544" i="1525" s="1"/>
  <c r="K1543" i="1525"/>
  <c r="I1543" i="1525" s="1"/>
  <c r="M1543" i="1525" s="1"/>
  <c r="N1543" i="1525" s="1"/>
  <c r="O1543" i="1525" s="1"/>
  <c r="K1542" i="1525"/>
  <c r="I1542" i="1525" s="1"/>
  <c r="M1542" i="1525" s="1"/>
  <c r="N1542" i="1525" s="1"/>
  <c r="O1542" i="1525" s="1"/>
  <c r="K1541" i="1525"/>
  <c r="I1541" i="1525" s="1"/>
  <c r="M1541" i="1525" s="1"/>
  <c r="N1541" i="1525" s="1"/>
  <c r="O1541" i="1525" s="1"/>
  <c r="K1540" i="1525"/>
  <c r="I1540" i="1525" s="1"/>
  <c r="M1540" i="1525" s="1"/>
  <c r="N1540" i="1525" s="1"/>
  <c r="O1540" i="1525" s="1"/>
  <c r="K1539" i="1525"/>
  <c r="I1539" i="1525" s="1"/>
  <c r="M1539" i="1525" s="1"/>
  <c r="N1539" i="1525" s="1"/>
  <c r="O1539" i="1525" s="1"/>
  <c r="K1538" i="1525"/>
  <c r="I1538" i="1525" s="1"/>
  <c r="M1538" i="1525" s="1"/>
  <c r="N1538" i="1525" s="1"/>
  <c r="O1538" i="1525" s="1"/>
  <c r="K1537" i="1525"/>
  <c r="I1537" i="1525" s="1"/>
  <c r="M1537" i="1525" s="1"/>
  <c r="N1537" i="1525" s="1"/>
  <c r="O1537" i="1525" s="1"/>
  <c r="K1536" i="1525"/>
  <c r="I1536" i="1525" s="1"/>
  <c r="M1536" i="1525" s="1"/>
  <c r="N1536" i="1525" s="1"/>
  <c r="O1536" i="1525" s="1"/>
  <c r="K1535" i="1525"/>
  <c r="I1535" i="1525" s="1"/>
  <c r="M1535" i="1525" s="1"/>
  <c r="N1535" i="1525" s="1"/>
  <c r="O1535" i="1525" s="1"/>
  <c r="K1534" i="1525"/>
  <c r="I1534" i="1525" s="1"/>
  <c r="M1534" i="1525" s="1"/>
  <c r="N1534" i="1525" s="1"/>
  <c r="O1534" i="1525" s="1"/>
  <c r="K1533" i="1525"/>
  <c r="I1533" i="1525" s="1"/>
  <c r="M1533" i="1525" s="1"/>
  <c r="N1533" i="1525" s="1"/>
  <c r="O1533" i="1525" s="1"/>
  <c r="K1532" i="1525"/>
  <c r="I1532" i="1525" s="1"/>
  <c r="M1532" i="1525" s="1"/>
  <c r="N1532" i="1525" s="1"/>
  <c r="O1532" i="1525" s="1"/>
  <c r="K1531" i="1525"/>
  <c r="I1531" i="1525" s="1"/>
  <c r="M1531" i="1525" s="1"/>
  <c r="N1531" i="1525" s="1"/>
  <c r="O1531" i="1525" s="1"/>
  <c r="K1530" i="1525"/>
  <c r="I1530" i="1525" s="1"/>
  <c r="M1530" i="1525" s="1"/>
  <c r="N1530" i="1525" s="1"/>
  <c r="O1530" i="1525" s="1"/>
  <c r="K1529" i="1525"/>
  <c r="I1529" i="1525" s="1"/>
  <c r="M1529" i="1525" s="1"/>
  <c r="N1529" i="1525" s="1"/>
  <c r="O1529" i="1525" s="1"/>
  <c r="K1528" i="1525"/>
  <c r="I1528" i="1525" s="1"/>
  <c r="M1528" i="1525" s="1"/>
  <c r="N1528" i="1525" s="1"/>
  <c r="O1528" i="1525" s="1"/>
  <c r="K1527" i="1525"/>
  <c r="I1527" i="1525" s="1"/>
  <c r="M1527" i="1525" s="1"/>
  <c r="N1527" i="1525" s="1"/>
  <c r="O1527" i="1525" s="1"/>
  <c r="K1526" i="1525"/>
  <c r="I1526" i="1525" s="1"/>
  <c r="M1526" i="1525" s="1"/>
  <c r="N1526" i="1525" s="1"/>
  <c r="O1526" i="1525" s="1"/>
  <c r="K1525" i="1525"/>
  <c r="I1525" i="1525" s="1"/>
  <c r="M1525" i="1525" s="1"/>
  <c r="N1525" i="1525" s="1"/>
  <c r="O1525" i="1525" s="1"/>
  <c r="K1524" i="1525"/>
  <c r="I1524" i="1525" s="1"/>
  <c r="M1524" i="1525" s="1"/>
  <c r="N1524" i="1525" s="1"/>
  <c r="O1524" i="1525" s="1"/>
  <c r="K1523" i="1525"/>
  <c r="I1523" i="1525" s="1"/>
  <c r="M1523" i="1525" s="1"/>
  <c r="N1523" i="1525" s="1"/>
  <c r="O1523" i="1525" s="1"/>
  <c r="K1522" i="1525"/>
  <c r="I1522" i="1525" s="1"/>
  <c r="M1522" i="1525" s="1"/>
  <c r="N1522" i="1525" s="1"/>
  <c r="O1522" i="1525" s="1"/>
  <c r="K1521" i="1525"/>
  <c r="I1521" i="1525" s="1"/>
  <c r="M1521" i="1525" s="1"/>
  <c r="N1521" i="1525" s="1"/>
  <c r="O1521" i="1525" s="1"/>
  <c r="K1520" i="1525"/>
  <c r="I1520" i="1525" s="1"/>
  <c r="M1520" i="1525" s="1"/>
  <c r="N1520" i="1525" s="1"/>
  <c r="O1520" i="1525" s="1"/>
  <c r="K1519" i="1525"/>
  <c r="I1519" i="1525" s="1"/>
  <c r="M1519" i="1525" s="1"/>
  <c r="N1519" i="1525" s="1"/>
  <c r="O1519" i="1525" s="1"/>
  <c r="K1518" i="1525"/>
  <c r="I1518" i="1525" s="1"/>
  <c r="M1518" i="1525" s="1"/>
  <c r="N1518" i="1525" s="1"/>
  <c r="O1518" i="1525" s="1"/>
  <c r="K1517" i="1525"/>
  <c r="I1517" i="1525" s="1"/>
  <c r="M1517" i="1525" s="1"/>
  <c r="N1517" i="1525" s="1"/>
  <c r="O1517" i="1525" s="1"/>
  <c r="K1516" i="1525"/>
  <c r="I1516" i="1525" s="1"/>
  <c r="M1516" i="1525" s="1"/>
  <c r="N1516" i="1525" s="1"/>
  <c r="O1516" i="1525" s="1"/>
  <c r="K1515" i="1525"/>
  <c r="I1515" i="1525" s="1"/>
  <c r="M1515" i="1525" s="1"/>
  <c r="N1515" i="1525" s="1"/>
  <c r="O1515" i="1525" s="1"/>
  <c r="K1514" i="1525"/>
  <c r="I1514" i="1525" s="1"/>
  <c r="M1514" i="1525" s="1"/>
  <c r="N1514" i="1525" s="1"/>
  <c r="O1514" i="1525" s="1"/>
  <c r="K1513" i="1525"/>
  <c r="I1513" i="1525" s="1"/>
  <c r="M1513" i="1525" s="1"/>
  <c r="N1513" i="1525" s="1"/>
  <c r="O1513" i="1525" s="1"/>
  <c r="K1512" i="1525"/>
  <c r="I1512" i="1525" s="1"/>
  <c r="M1512" i="1525" s="1"/>
  <c r="N1512" i="1525" s="1"/>
  <c r="O1512" i="1525" s="1"/>
  <c r="K1511" i="1525"/>
  <c r="I1511" i="1525" s="1"/>
  <c r="M1511" i="1525" s="1"/>
  <c r="N1511" i="1525" s="1"/>
  <c r="O1511" i="1525" s="1"/>
  <c r="K1510" i="1525"/>
  <c r="I1510" i="1525" s="1"/>
  <c r="M1510" i="1525" s="1"/>
  <c r="N1510" i="1525" s="1"/>
  <c r="O1510" i="1525" s="1"/>
  <c r="K1509" i="1525"/>
  <c r="I1509" i="1525" s="1"/>
  <c r="M1509" i="1525" s="1"/>
  <c r="N1509" i="1525" s="1"/>
  <c r="O1509" i="1525" s="1"/>
  <c r="K1508" i="1525"/>
  <c r="I1508" i="1525" s="1"/>
  <c r="M1508" i="1525" s="1"/>
  <c r="N1508" i="1525" s="1"/>
  <c r="O1508" i="1525" s="1"/>
  <c r="K1507" i="1525"/>
  <c r="I1507" i="1525" s="1"/>
  <c r="M1507" i="1525" s="1"/>
  <c r="N1507" i="1525" s="1"/>
  <c r="O1507" i="1525" s="1"/>
  <c r="K1506" i="1525"/>
  <c r="I1506" i="1525" s="1"/>
  <c r="M1506" i="1525" s="1"/>
  <c r="N1506" i="1525" s="1"/>
  <c r="O1506" i="1525" s="1"/>
  <c r="K1505" i="1525"/>
  <c r="I1505" i="1525" s="1"/>
  <c r="M1505" i="1525" s="1"/>
  <c r="N1505" i="1525" s="1"/>
  <c r="O1505" i="1525" s="1"/>
  <c r="K1504" i="1525"/>
  <c r="I1504" i="1525" s="1"/>
  <c r="M1504" i="1525" s="1"/>
  <c r="N1504" i="1525" s="1"/>
  <c r="O1504" i="1525" s="1"/>
  <c r="K1503" i="1525"/>
  <c r="I1503" i="1525" s="1"/>
  <c r="M1503" i="1525" s="1"/>
  <c r="N1503" i="1525" s="1"/>
  <c r="O1503" i="1525" s="1"/>
  <c r="K1502" i="1525"/>
  <c r="I1502" i="1525" s="1"/>
  <c r="M1502" i="1525" s="1"/>
  <c r="N1502" i="1525" s="1"/>
  <c r="O1502" i="1525" s="1"/>
  <c r="K1501" i="1525"/>
  <c r="I1501" i="1525" s="1"/>
  <c r="M1501" i="1525" s="1"/>
  <c r="N1501" i="1525" s="1"/>
  <c r="O1501" i="1525" s="1"/>
  <c r="K1500" i="1525"/>
  <c r="I1500" i="1525" s="1"/>
  <c r="M1500" i="1525" s="1"/>
  <c r="N1500" i="1525" s="1"/>
  <c r="O1500" i="1525" s="1"/>
  <c r="K1499" i="1525"/>
  <c r="I1499" i="1525" s="1"/>
  <c r="M1499" i="1525" s="1"/>
  <c r="N1499" i="1525" s="1"/>
  <c r="O1499" i="1525" s="1"/>
  <c r="K1498" i="1525"/>
  <c r="I1498" i="1525" s="1"/>
  <c r="M1498" i="1525" s="1"/>
  <c r="N1498" i="1525" s="1"/>
  <c r="O1498" i="1525" s="1"/>
  <c r="K1497" i="1525"/>
  <c r="I1497" i="1525" s="1"/>
  <c r="M1497" i="1525" s="1"/>
  <c r="N1497" i="1525" s="1"/>
  <c r="O1497" i="1525" s="1"/>
  <c r="K1496" i="1525"/>
  <c r="I1496" i="1525" s="1"/>
  <c r="M1496" i="1525" s="1"/>
  <c r="N1496" i="1525" s="1"/>
  <c r="O1496" i="1525" s="1"/>
  <c r="K1495" i="1525"/>
  <c r="I1495" i="1525" s="1"/>
  <c r="M1495" i="1525" s="1"/>
  <c r="N1495" i="1525" s="1"/>
  <c r="O1495" i="1525" s="1"/>
  <c r="K1494" i="1525"/>
  <c r="I1494" i="1525" s="1"/>
  <c r="M1494" i="1525" s="1"/>
  <c r="N1494" i="1525" s="1"/>
  <c r="O1494" i="1525" s="1"/>
  <c r="K1493" i="1525"/>
  <c r="I1493" i="1525" s="1"/>
  <c r="M1493" i="1525" s="1"/>
  <c r="N1493" i="1525" s="1"/>
  <c r="O1493" i="1525" s="1"/>
  <c r="K1492" i="1525"/>
  <c r="I1492" i="1525" s="1"/>
  <c r="M1492" i="1525" s="1"/>
  <c r="N1492" i="1525" s="1"/>
  <c r="O1492" i="1525" s="1"/>
  <c r="K1491" i="1525"/>
  <c r="I1491" i="1525" s="1"/>
  <c r="M1491" i="1525" s="1"/>
  <c r="N1491" i="1525" s="1"/>
  <c r="O1491" i="1525" s="1"/>
  <c r="K1490" i="1525"/>
  <c r="I1490" i="1525" s="1"/>
  <c r="M1490" i="1525" s="1"/>
  <c r="N1490" i="1525" s="1"/>
  <c r="O1490" i="1525" s="1"/>
  <c r="K1489" i="1525"/>
  <c r="I1489" i="1525" s="1"/>
  <c r="M1489" i="1525" s="1"/>
  <c r="N1489" i="1525" s="1"/>
  <c r="O1489" i="1525" s="1"/>
  <c r="K1488" i="1525"/>
  <c r="I1488" i="1525" s="1"/>
  <c r="M1488" i="1525" s="1"/>
  <c r="N1488" i="1525" s="1"/>
  <c r="O1488" i="1525" s="1"/>
  <c r="K1487" i="1525"/>
  <c r="I1487" i="1525" s="1"/>
  <c r="M1487" i="1525" s="1"/>
  <c r="N1487" i="1525" s="1"/>
  <c r="O1487" i="1525" s="1"/>
  <c r="K1486" i="1525"/>
  <c r="I1486" i="1525" s="1"/>
  <c r="M1486" i="1525" s="1"/>
  <c r="N1486" i="1525" s="1"/>
  <c r="O1486" i="1525" s="1"/>
  <c r="K1485" i="1525"/>
  <c r="I1485" i="1525" s="1"/>
  <c r="M1485" i="1525" s="1"/>
  <c r="N1485" i="1525" s="1"/>
  <c r="O1485" i="1525" s="1"/>
  <c r="K1484" i="1525"/>
  <c r="I1484" i="1525" s="1"/>
  <c r="M1484" i="1525" s="1"/>
  <c r="N1484" i="1525" s="1"/>
  <c r="O1484" i="1525" s="1"/>
  <c r="K1483" i="1525"/>
  <c r="I1483" i="1525" s="1"/>
  <c r="M1483" i="1525" s="1"/>
  <c r="N1483" i="1525" s="1"/>
  <c r="O1483" i="1525" s="1"/>
  <c r="K1482" i="1525"/>
  <c r="I1482" i="1525" s="1"/>
  <c r="M1482" i="1525" s="1"/>
  <c r="N1482" i="1525" s="1"/>
  <c r="O1482" i="1525" s="1"/>
  <c r="K1481" i="1525"/>
  <c r="I1481" i="1525" s="1"/>
  <c r="M1481" i="1525" s="1"/>
  <c r="N1481" i="1525" s="1"/>
  <c r="O1481" i="1525" s="1"/>
  <c r="K1480" i="1525"/>
  <c r="I1480" i="1525" s="1"/>
  <c r="M1480" i="1525" s="1"/>
  <c r="N1480" i="1525" s="1"/>
  <c r="O1480" i="1525" s="1"/>
  <c r="K1479" i="1525"/>
  <c r="I1479" i="1525" s="1"/>
  <c r="M1479" i="1525" s="1"/>
  <c r="N1479" i="1525" s="1"/>
  <c r="O1479" i="1525" s="1"/>
  <c r="K1478" i="1525"/>
  <c r="I1478" i="1525" s="1"/>
  <c r="M1478" i="1525" s="1"/>
  <c r="N1478" i="1525" s="1"/>
  <c r="O1478" i="1525" s="1"/>
  <c r="K1477" i="1525"/>
  <c r="I1477" i="1525" s="1"/>
  <c r="M1477" i="1525" s="1"/>
  <c r="N1477" i="1525" s="1"/>
  <c r="O1477" i="1525" s="1"/>
  <c r="K1476" i="1525"/>
  <c r="I1476" i="1525" s="1"/>
  <c r="M1476" i="1525" s="1"/>
  <c r="N1476" i="1525" s="1"/>
  <c r="O1476" i="1525" s="1"/>
  <c r="K1475" i="1525"/>
  <c r="I1475" i="1525" s="1"/>
  <c r="M1475" i="1525" s="1"/>
  <c r="N1475" i="1525" s="1"/>
  <c r="O1475" i="1525" s="1"/>
  <c r="K1474" i="1525"/>
  <c r="I1474" i="1525" s="1"/>
  <c r="M1474" i="1525" s="1"/>
  <c r="N1474" i="1525" s="1"/>
  <c r="O1474" i="1525" s="1"/>
  <c r="K1473" i="1525"/>
  <c r="I1473" i="1525" s="1"/>
  <c r="M1473" i="1525" s="1"/>
  <c r="N1473" i="1525" s="1"/>
  <c r="O1473" i="1525" s="1"/>
  <c r="K1472" i="1525"/>
  <c r="I1472" i="1525" s="1"/>
  <c r="M1472" i="1525" s="1"/>
  <c r="N1472" i="1525" s="1"/>
  <c r="O1472" i="1525" s="1"/>
  <c r="K1471" i="1525"/>
  <c r="I1471" i="1525" s="1"/>
  <c r="M1471" i="1525" s="1"/>
  <c r="N1471" i="1525" s="1"/>
  <c r="O1471" i="1525" s="1"/>
  <c r="K1470" i="1525"/>
  <c r="I1470" i="1525" s="1"/>
  <c r="M1470" i="1525" s="1"/>
  <c r="N1470" i="1525" s="1"/>
  <c r="O1470" i="1525" s="1"/>
  <c r="K1469" i="1525"/>
  <c r="I1469" i="1525" s="1"/>
  <c r="M1469" i="1525" s="1"/>
  <c r="N1469" i="1525" s="1"/>
  <c r="O1469" i="1525" s="1"/>
  <c r="K1468" i="1525"/>
  <c r="I1468" i="1525" s="1"/>
  <c r="M1468" i="1525" s="1"/>
  <c r="N1468" i="1525" s="1"/>
  <c r="O1468" i="1525" s="1"/>
  <c r="K1467" i="1525"/>
  <c r="I1467" i="1525" s="1"/>
  <c r="M1467" i="1525" s="1"/>
  <c r="N1467" i="1525" s="1"/>
  <c r="O1467" i="1525" s="1"/>
  <c r="K1466" i="1525"/>
  <c r="I1466" i="1525" s="1"/>
  <c r="M1466" i="1525" s="1"/>
  <c r="N1466" i="1525" s="1"/>
  <c r="O1466" i="1525" s="1"/>
  <c r="K1465" i="1525"/>
  <c r="I1465" i="1525" s="1"/>
  <c r="M1465" i="1525" s="1"/>
  <c r="N1465" i="1525" s="1"/>
  <c r="O1465" i="1525" s="1"/>
  <c r="K1464" i="1525"/>
  <c r="I1464" i="1525" s="1"/>
  <c r="M1464" i="1525" s="1"/>
  <c r="N1464" i="1525" s="1"/>
  <c r="O1464" i="1525" s="1"/>
  <c r="K1463" i="1525"/>
  <c r="I1463" i="1525" s="1"/>
  <c r="M1463" i="1525" s="1"/>
  <c r="N1463" i="1525" s="1"/>
  <c r="O1463" i="1525" s="1"/>
  <c r="K1462" i="1525"/>
  <c r="I1462" i="1525" s="1"/>
  <c r="M1462" i="1525" s="1"/>
  <c r="N1462" i="1525" s="1"/>
  <c r="O1462" i="1525" s="1"/>
  <c r="K1461" i="1525"/>
  <c r="I1461" i="1525" s="1"/>
  <c r="M1461" i="1525" s="1"/>
  <c r="N1461" i="1525" s="1"/>
  <c r="O1461" i="1525" s="1"/>
  <c r="K1460" i="1525"/>
  <c r="I1460" i="1525" s="1"/>
  <c r="M1460" i="1525" s="1"/>
  <c r="N1460" i="1525" s="1"/>
  <c r="O1460" i="1525" s="1"/>
  <c r="K1459" i="1525"/>
  <c r="I1459" i="1525" s="1"/>
  <c r="M1459" i="1525" s="1"/>
  <c r="N1459" i="1525" s="1"/>
  <c r="O1459" i="1525" s="1"/>
  <c r="K1458" i="1525"/>
  <c r="I1458" i="1525" s="1"/>
  <c r="M1458" i="1525" s="1"/>
  <c r="N1458" i="1525" s="1"/>
  <c r="O1458" i="1525" s="1"/>
  <c r="K1457" i="1525"/>
  <c r="I1457" i="1525" s="1"/>
  <c r="M1457" i="1525" s="1"/>
  <c r="N1457" i="1525" s="1"/>
  <c r="O1457" i="1525" s="1"/>
  <c r="K1456" i="1525"/>
  <c r="I1456" i="1525" s="1"/>
  <c r="M1456" i="1525" s="1"/>
  <c r="N1456" i="1525" s="1"/>
  <c r="O1456" i="1525" s="1"/>
  <c r="K1455" i="1525"/>
  <c r="I1455" i="1525" s="1"/>
  <c r="M1455" i="1525" s="1"/>
  <c r="N1455" i="1525" s="1"/>
  <c r="O1455" i="1525" s="1"/>
  <c r="K1454" i="1525"/>
  <c r="I1454" i="1525" s="1"/>
  <c r="M1454" i="1525" s="1"/>
  <c r="N1454" i="1525" s="1"/>
  <c r="O1454" i="1525" s="1"/>
  <c r="K1453" i="1525"/>
  <c r="I1453" i="1525" s="1"/>
  <c r="M1453" i="1525" s="1"/>
  <c r="N1453" i="1525" s="1"/>
  <c r="O1453" i="1525" s="1"/>
  <c r="K1452" i="1525"/>
  <c r="I1452" i="1525" s="1"/>
  <c r="M1452" i="1525" s="1"/>
  <c r="N1452" i="1525" s="1"/>
  <c r="O1452" i="1525" s="1"/>
  <c r="K1451" i="1525"/>
  <c r="I1451" i="1525" s="1"/>
  <c r="M1451" i="1525" s="1"/>
  <c r="N1451" i="1525" s="1"/>
  <c r="O1451" i="1525" s="1"/>
  <c r="K1450" i="1525"/>
  <c r="I1450" i="1525" s="1"/>
  <c r="M1450" i="1525" s="1"/>
  <c r="N1450" i="1525" s="1"/>
  <c r="O1450" i="1525" s="1"/>
  <c r="K1449" i="1525"/>
  <c r="I1449" i="1525" s="1"/>
  <c r="M1449" i="1525" s="1"/>
  <c r="N1449" i="1525" s="1"/>
  <c r="O1449" i="1525" s="1"/>
  <c r="K1448" i="1525"/>
  <c r="I1448" i="1525" s="1"/>
  <c r="M1448" i="1525" s="1"/>
  <c r="N1448" i="1525" s="1"/>
  <c r="O1448" i="1525" s="1"/>
  <c r="K1447" i="1525"/>
  <c r="I1447" i="1525" s="1"/>
  <c r="M1447" i="1525" s="1"/>
  <c r="N1447" i="1525" s="1"/>
  <c r="O1447" i="1525" s="1"/>
  <c r="K1446" i="1525"/>
  <c r="I1446" i="1525" s="1"/>
  <c r="M1446" i="1525" s="1"/>
  <c r="N1446" i="1525" s="1"/>
  <c r="O1446" i="1525" s="1"/>
  <c r="K1445" i="1525"/>
  <c r="I1445" i="1525" s="1"/>
  <c r="M1445" i="1525" s="1"/>
  <c r="N1445" i="1525" s="1"/>
  <c r="O1445" i="1525" s="1"/>
  <c r="K1444" i="1525"/>
  <c r="I1444" i="1525" s="1"/>
  <c r="M1444" i="1525" s="1"/>
  <c r="N1444" i="1525" s="1"/>
  <c r="O1444" i="1525" s="1"/>
  <c r="K1443" i="1525"/>
  <c r="I1443" i="1525" s="1"/>
  <c r="M1443" i="1525" s="1"/>
  <c r="N1443" i="1525" s="1"/>
  <c r="O1443" i="1525" s="1"/>
  <c r="K1442" i="1525"/>
  <c r="I1442" i="1525" s="1"/>
  <c r="M1442" i="1525" s="1"/>
  <c r="N1442" i="1525" s="1"/>
  <c r="O1442" i="1525" s="1"/>
  <c r="K1441" i="1525"/>
  <c r="I1441" i="1525" s="1"/>
  <c r="M1441" i="1525" s="1"/>
  <c r="N1441" i="1525" s="1"/>
  <c r="O1441" i="1525" s="1"/>
  <c r="K1440" i="1525"/>
  <c r="I1440" i="1525" s="1"/>
  <c r="M1440" i="1525" s="1"/>
  <c r="N1440" i="1525" s="1"/>
  <c r="O1440" i="1525" s="1"/>
  <c r="K1439" i="1525"/>
  <c r="I1439" i="1525" s="1"/>
  <c r="M1439" i="1525" s="1"/>
  <c r="N1439" i="1525" s="1"/>
  <c r="O1439" i="1525" s="1"/>
  <c r="K1438" i="1525"/>
  <c r="I1438" i="1525" s="1"/>
  <c r="M1438" i="1525" s="1"/>
  <c r="N1438" i="1525" s="1"/>
  <c r="O1438" i="1525" s="1"/>
  <c r="K1437" i="1525"/>
  <c r="I1437" i="1525" s="1"/>
  <c r="M1437" i="1525" s="1"/>
  <c r="N1437" i="1525" s="1"/>
  <c r="O1437" i="1525" s="1"/>
  <c r="K1436" i="1525"/>
  <c r="I1436" i="1525" s="1"/>
  <c r="M1436" i="1525" s="1"/>
  <c r="N1436" i="1525" s="1"/>
  <c r="O1436" i="1525" s="1"/>
  <c r="K1435" i="1525"/>
  <c r="I1435" i="1525" s="1"/>
  <c r="M1435" i="1525" s="1"/>
  <c r="N1435" i="1525" s="1"/>
  <c r="O1435" i="1525" s="1"/>
  <c r="K1434" i="1525"/>
  <c r="I1434" i="1525" s="1"/>
  <c r="M1434" i="1525" s="1"/>
  <c r="N1434" i="1525" s="1"/>
  <c r="O1434" i="1525" s="1"/>
  <c r="K1433" i="1525"/>
  <c r="I1433" i="1525" s="1"/>
  <c r="M1433" i="1525" s="1"/>
  <c r="N1433" i="1525" s="1"/>
  <c r="O1433" i="1525" s="1"/>
  <c r="K1432" i="1525"/>
  <c r="I1432" i="1525" s="1"/>
  <c r="M1432" i="1525" s="1"/>
  <c r="N1432" i="1525" s="1"/>
  <c r="O1432" i="1525" s="1"/>
  <c r="K1431" i="1525"/>
  <c r="I1431" i="1525" s="1"/>
  <c r="M1431" i="1525" s="1"/>
  <c r="N1431" i="1525" s="1"/>
  <c r="O1431" i="1525" s="1"/>
  <c r="K1430" i="1525"/>
  <c r="I1430" i="1525" s="1"/>
  <c r="M1430" i="1525" s="1"/>
  <c r="N1430" i="1525" s="1"/>
  <c r="O1430" i="1525" s="1"/>
  <c r="K1429" i="1525"/>
  <c r="I1429" i="1525" s="1"/>
  <c r="M1429" i="1525" s="1"/>
  <c r="N1429" i="1525" s="1"/>
  <c r="O1429" i="1525" s="1"/>
  <c r="K1428" i="1525"/>
  <c r="I1428" i="1525" s="1"/>
  <c r="M1428" i="1525" s="1"/>
  <c r="N1428" i="1525" s="1"/>
  <c r="O1428" i="1525" s="1"/>
  <c r="K1427" i="1525"/>
  <c r="I1427" i="1525" s="1"/>
  <c r="M1427" i="1525" s="1"/>
  <c r="N1427" i="1525" s="1"/>
  <c r="O1427" i="1525" s="1"/>
  <c r="K1426" i="1525"/>
  <c r="I1426" i="1525" s="1"/>
  <c r="M1426" i="1525" s="1"/>
  <c r="N1426" i="1525" s="1"/>
  <c r="O1426" i="1525" s="1"/>
  <c r="K1425" i="1525"/>
  <c r="I1425" i="1525" s="1"/>
  <c r="M1425" i="1525" s="1"/>
  <c r="N1425" i="1525" s="1"/>
  <c r="O1425" i="1525" s="1"/>
  <c r="K1424" i="1525"/>
  <c r="I1424" i="1525" s="1"/>
  <c r="M1424" i="1525" s="1"/>
  <c r="N1424" i="1525" s="1"/>
  <c r="O1424" i="1525" s="1"/>
  <c r="K1423" i="1525"/>
  <c r="I1423" i="1525" s="1"/>
  <c r="M1423" i="1525" s="1"/>
  <c r="N1423" i="1525" s="1"/>
  <c r="O1423" i="1525" s="1"/>
  <c r="K1422" i="1525"/>
  <c r="I1422" i="1525" s="1"/>
  <c r="M1422" i="1525" s="1"/>
  <c r="N1422" i="1525" s="1"/>
  <c r="O1422" i="1525" s="1"/>
  <c r="K1421" i="1525"/>
  <c r="I1421" i="1525" s="1"/>
  <c r="M1421" i="1525" s="1"/>
  <c r="N1421" i="1525" s="1"/>
  <c r="O1421" i="1525" s="1"/>
  <c r="K1420" i="1525"/>
  <c r="I1420" i="1525" s="1"/>
  <c r="M1420" i="1525" s="1"/>
  <c r="N1420" i="1525" s="1"/>
  <c r="O1420" i="1525" s="1"/>
  <c r="K1419" i="1525"/>
  <c r="I1419" i="1525" s="1"/>
  <c r="M1419" i="1525" s="1"/>
  <c r="N1419" i="1525" s="1"/>
  <c r="O1419" i="1525" s="1"/>
  <c r="K1418" i="1525"/>
  <c r="I1418" i="1525" s="1"/>
  <c r="M1418" i="1525" s="1"/>
  <c r="N1418" i="1525" s="1"/>
  <c r="O1418" i="1525" s="1"/>
  <c r="K1417" i="1525"/>
  <c r="I1417" i="1525" s="1"/>
  <c r="M1417" i="1525" s="1"/>
  <c r="N1417" i="1525" s="1"/>
  <c r="O1417" i="1525" s="1"/>
  <c r="K1416" i="1525"/>
  <c r="I1416" i="1525" s="1"/>
  <c r="M1416" i="1525" s="1"/>
  <c r="N1416" i="1525" s="1"/>
  <c r="O1416" i="1525" s="1"/>
  <c r="K1415" i="1525"/>
  <c r="I1415" i="1525" s="1"/>
  <c r="M1415" i="1525" s="1"/>
  <c r="N1415" i="1525" s="1"/>
  <c r="O1415" i="1525" s="1"/>
  <c r="K1414" i="1525"/>
  <c r="I1414" i="1525" s="1"/>
  <c r="M1414" i="1525" s="1"/>
  <c r="N1414" i="1525" s="1"/>
  <c r="O1414" i="1525" s="1"/>
  <c r="K1413" i="1525"/>
  <c r="I1413" i="1525" s="1"/>
  <c r="M1413" i="1525" s="1"/>
  <c r="N1413" i="1525" s="1"/>
  <c r="O1413" i="1525" s="1"/>
  <c r="K1412" i="1525"/>
  <c r="I1412" i="1525" s="1"/>
  <c r="M1412" i="1525" s="1"/>
  <c r="N1412" i="1525" s="1"/>
  <c r="O1412" i="1525" s="1"/>
  <c r="K1411" i="1525"/>
  <c r="I1411" i="1525" s="1"/>
  <c r="M1411" i="1525" s="1"/>
  <c r="N1411" i="1525" s="1"/>
  <c r="O1411" i="1525" s="1"/>
  <c r="K1410" i="1525"/>
  <c r="I1410" i="1525" s="1"/>
  <c r="M1410" i="1525" s="1"/>
  <c r="N1410" i="1525" s="1"/>
  <c r="O1410" i="1525" s="1"/>
  <c r="K1409" i="1525"/>
  <c r="I1409" i="1525" s="1"/>
  <c r="M1409" i="1525" s="1"/>
  <c r="N1409" i="1525" s="1"/>
  <c r="O1409" i="1525" s="1"/>
  <c r="K1408" i="1525"/>
  <c r="I1408" i="1525" s="1"/>
  <c r="M1408" i="1525" s="1"/>
  <c r="N1408" i="1525" s="1"/>
  <c r="O1408" i="1525" s="1"/>
  <c r="K1407" i="1525"/>
  <c r="I1407" i="1525" s="1"/>
  <c r="M1407" i="1525" s="1"/>
  <c r="N1407" i="1525" s="1"/>
  <c r="O1407" i="1525" s="1"/>
  <c r="K1406" i="1525"/>
  <c r="I1406" i="1525" s="1"/>
  <c r="M1406" i="1525" s="1"/>
  <c r="N1406" i="1525" s="1"/>
  <c r="O1406" i="1525" s="1"/>
  <c r="K1405" i="1525"/>
  <c r="I1405" i="1525" s="1"/>
  <c r="M1405" i="1525" s="1"/>
  <c r="N1405" i="1525" s="1"/>
  <c r="O1405" i="1525" s="1"/>
  <c r="K1404" i="1525"/>
  <c r="I1404" i="1525" s="1"/>
  <c r="M1404" i="1525" s="1"/>
  <c r="N1404" i="1525" s="1"/>
  <c r="O1404" i="1525" s="1"/>
  <c r="K1403" i="1525"/>
  <c r="I1403" i="1525" s="1"/>
  <c r="M1403" i="1525" s="1"/>
  <c r="N1403" i="1525" s="1"/>
  <c r="O1403" i="1525" s="1"/>
  <c r="K1402" i="1525"/>
  <c r="I1402" i="1525" s="1"/>
  <c r="M1402" i="1525" s="1"/>
  <c r="N1402" i="1525" s="1"/>
  <c r="O1402" i="1525" s="1"/>
  <c r="K1401" i="1525"/>
  <c r="I1401" i="1525" s="1"/>
  <c r="M1401" i="1525" s="1"/>
  <c r="N1401" i="1525" s="1"/>
  <c r="O1401" i="1525" s="1"/>
  <c r="K1400" i="1525"/>
  <c r="I1400" i="1525" s="1"/>
  <c r="M1400" i="1525" s="1"/>
  <c r="N1400" i="1525" s="1"/>
  <c r="O1400" i="1525" s="1"/>
  <c r="K1399" i="1525"/>
  <c r="I1399" i="1525" s="1"/>
  <c r="M1399" i="1525" s="1"/>
  <c r="N1399" i="1525" s="1"/>
  <c r="O1399" i="1525" s="1"/>
  <c r="K1398" i="1525"/>
  <c r="I1398" i="1525" s="1"/>
  <c r="M1398" i="1525" s="1"/>
  <c r="N1398" i="1525" s="1"/>
  <c r="O1398" i="1525" s="1"/>
  <c r="K1397" i="1525"/>
  <c r="I1397" i="1525" s="1"/>
  <c r="M1397" i="1525" s="1"/>
  <c r="N1397" i="1525" s="1"/>
  <c r="O1397" i="1525" s="1"/>
  <c r="K1396" i="1525"/>
  <c r="I1396" i="1525" s="1"/>
  <c r="M1396" i="1525" s="1"/>
  <c r="N1396" i="1525" s="1"/>
  <c r="O1396" i="1525" s="1"/>
  <c r="K1395" i="1525"/>
  <c r="I1395" i="1525" s="1"/>
  <c r="M1395" i="1525" s="1"/>
  <c r="N1395" i="1525" s="1"/>
  <c r="O1395" i="1525" s="1"/>
  <c r="K1394" i="1525"/>
  <c r="I1394" i="1525" s="1"/>
  <c r="M1394" i="1525" s="1"/>
  <c r="N1394" i="1525" s="1"/>
  <c r="O1394" i="1525" s="1"/>
  <c r="K1393" i="1525"/>
  <c r="I1393" i="1525" s="1"/>
  <c r="M1393" i="1525" s="1"/>
  <c r="N1393" i="1525" s="1"/>
  <c r="O1393" i="1525" s="1"/>
  <c r="K1392" i="1525"/>
  <c r="I1392" i="1525" s="1"/>
  <c r="M1392" i="1525" s="1"/>
  <c r="N1392" i="1525" s="1"/>
  <c r="O1392" i="1525" s="1"/>
  <c r="K1391" i="1525"/>
  <c r="I1391" i="1525" s="1"/>
  <c r="M1391" i="1525" s="1"/>
  <c r="N1391" i="1525" s="1"/>
  <c r="O1391" i="1525" s="1"/>
  <c r="K1390" i="1525"/>
  <c r="I1390" i="1525" s="1"/>
  <c r="M1390" i="1525" s="1"/>
  <c r="N1390" i="1525" s="1"/>
  <c r="O1390" i="1525" s="1"/>
  <c r="K1389" i="1525"/>
  <c r="I1389" i="1525" s="1"/>
  <c r="M1389" i="1525" s="1"/>
  <c r="N1389" i="1525" s="1"/>
  <c r="O1389" i="1525" s="1"/>
  <c r="K1388" i="1525"/>
  <c r="I1388" i="1525" s="1"/>
  <c r="M1388" i="1525" s="1"/>
  <c r="N1388" i="1525" s="1"/>
  <c r="O1388" i="1525" s="1"/>
  <c r="K1387" i="1525"/>
  <c r="I1387" i="1525" s="1"/>
  <c r="M1387" i="1525" s="1"/>
  <c r="N1387" i="1525" s="1"/>
  <c r="O1387" i="1525" s="1"/>
  <c r="K1386" i="1525"/>
  <c r="I1386" i="1525" s="1"/>
  <c r="M1386" i="1525" s="1"/>
  <c r="N1386" i="1525" s="1"/>
  <c r="O1386" i="1525" s="1"/>
  <c r="K1385" i="1525"/>
  <c r="I1385" i="1525" s="1"/>
  <c r="M1385" i="1525" s="1"/>
  <c r="N1385" i="1525" s="1"/>
  <c r="O1385" i="1525" s="1"/>
  <c r="K1384" i="1525"/>
  <c r="I1384" i="1525" s="1"/>
  <c r="M1384" i="1525" s="1"/>
  <c r="N1384" i="1525" s="1"/>
  <c r="O1384" i="1525" s="1"/>
  <c r="K1383" i="1525"/>
  <c r="I1383" i="1525" s="1"/>
  <c r="M1383" i="1525" s="1"/>
  <c r="N1383" i="1525" s="1"/>
  <c r="O1383" i="1525" s="1"/>
  <c r="K1382" i="1525"/>
  <c r="I1382" i="1525" s="1"/>
  <c r="M1382" i="1525" s="1"/>
  <c r="N1382" i="1525" s="1"/>
  <c r="O1382" i="1525" s="1"/>
  <c r="K1381" i="1525"/>
  <c r="I1381" i="1525" s="1"/>
  <c r="M1381" i="1525" s="1"/>
  <c r="N1381" i="1525" s="1"/>
  <c r="O1381" i="1525" s="1"/>
  <c r="K1380" i="1525"/>
  <c r="I1380" i="1525" s="1"/>
  <c r="M1380" i="1525" s="1"/>
  <c r="N1380" i="1525" s="1"/>
  <c r="O1380" i="1525" s="1"/>
  <c r="K1379" i="1525"/>
  <c r="I1379" i="1525" s="1"/>
  <c r="M1379" i="1525" s="1"/>
  <c r="N1379" i="1525" s="1"/>
  <c r="O1379" i="1525" s="1"/>
  <c r="K1378" i="1525"/>
  <c r="I1378" i="1525" s="1"/>
  <c r="M1378" i="1525" s="1"/>
  <c r="N1378" i="1525" s="1"/>
  <c r="O1378" i="1525" s="1"/>
  <c r="K1377" i="1525"/>
  <c r="I1377" i="1525" s="1"/>
  <c r="M1377" i="1525" s="1"/>
  <c r="N1377" i="1525" s="1"/>
  <c r="O1377" i="1525" s="1"/>
  <c r="K1376" i="1525"/>
  <c r="I1376" i="1525" s="1"/>
  <c r="M1376" i="1525" s="1"/>
  <c r="N1376" i="1525" s="1"/>
  <c r="O1376" i="1525" s="1"/>
  <c r="K1375" i="1525"/>
  <c r="I1375" i="1525" s="1"/>
  <c r="M1375" i="1525" s="1"/>
  <c r="N1375" i="1525" s="1"/>
  <c r="O1375" i="1525" s="1"/>
  <c r="K1374" i="1525"/>
  <c r="I1374" i="1525" s="1"/>
  <c r="M1374" i="1525" s="1"/>
  <c r="N1374" i="1525" s="1"/>
  <c r="O1374" i="1525" s="1"/>
  <c r="K1373" i="1525"/>
  <c r="I1373" i="1525" s="1"/>
  <c r="M1373" i="1525" s="1"/>
  <c r="N1373" i="1525" s="1"/>
  <c r="O1373" i="1525" s="1"/>
  <c r="K1372" i="1525"/>
  <c r="I1372" i="1525" s="1"/>
  <c r="M1372" i="1525" s="1"/>
  <c r="N1372" i="1525" s="1"/>
  <c r="O1372" i="1525" s="1"/>
  <c r="K1371" i="1525"/>
  <c r="I1371" i="1525" s="1"/>
  <c r="M1371" i="1525" s="1"/>
  <c r="N1371" i="1525" s="1"/>
  <c r="O1371" i="1525" s="1"/>
  <c r="K1370" i="1525"/>
  <c r="I1370" i="1525" s="1"/>
  <c r="M1370" i="1525" s="1"/>
  <c r="N1370" i="1525" s="1"/>
  <c r="O1370" i="1525" s="1"/>
  <c r="K1369" i="1525"/>
  <c r="I1369" i="1525" s="1"/>
  <c r="M1369" i="1525" s="1"/>
  <c r="N1369" i="1525" s="1"/>
  <c r="O1369" i="1525" s="1"/>
  <c r="K1368" i="1525"/>
  <c r="I1368" i="1525" s="1"/>
  <c r="M1368" i="1525" s="1"/>
  <c r="N1368" i="1525" s="1"/>
  <c r="O1368" i="1525" s="1"/>
  <c r="K1367" i="1525"/>
  <c r="I1367" i="1525" s="1"/>
  <c r="M1367" i="1525" s="1"/>
  <c r="N1367" i="1525" s="1"/>
  <c r="O1367" i="1525" s="1"/>
  <c r="K1366" i="1525"/>
  <c r="I1366" i="1525" s="1"/>
  <c r="M1366" i="1525" s="1"/>
  <c r="N1366" i="1525" s="1"/>
  <c r="O1366" i="1525" s="1"/>
  <c r="K1365" i="1525"/>
  <c r="I1365" i="1525" s="1"/>
  <c r="M1365" i="1525" s="1"/>
  <c r="N1365" i="1525" s="1"/>
  <c r="O1365" i="1525" s="1"/>
  <c r="K1364" i="1525"/>
  <c r="I1364" i="1525" s="1"/>
  <c r="M1364" i="1525" s="1"/>
  <c r="N1364" i="1525" s="1"/>
  <c r="O1364" i="1525" s="1"/>
  <c r="K1363" i="1525"/>
  <c r="I1363" i="1525" s="1"/>
  <c r="M1363" i="1525" s="1"/>
  <c r="N1363" i="1525" s="1"/>
  <c r="O1363" i="1525" s="1"/>
  <c r="K1362" i="1525"/>
  <c r="I1362" i="1525" s="1"/>
  <c r="M1362" i="1525" s="1"/>
  <c r="N1362" i="1525" s="1"/>
  <c r="O1362" i="1525" s="1"/>
  <c r="K1361" i="1525"/>
  <c r="I1361" i="1525" s="1"/>
  <c r="M1361" i="1525" s="1"/>
  <c r="N1361" i="1525" s="1"/>
  <c r="O1361" i="1525" s="1"/>
  <c r="K1360" i="1525"/>
  <c r="I1360" i="1525" s="1"/>
  <c r="M1360" i="1525" s="1"/>
  <c r="N1360" i="1525" s="1"/>
  <c r="O1360" i="1525" s="1"/>
  <c r="K1359" i="1525"/>
  <c r="I1359" i="1525" s="1"/>
  <c r="M1359" i="1525" s="1"/>
  <c r="N1359" i="1525" s="1"/>
  <c r="O1359" i="1525" s="1"/>
  <c r="K1358" i="1525"/>
  <c r="I1358" i="1525" s="1"/>
  <c r="M1358" i="1525" s="1"/>
  <c r="N1358" i="1525" s="1"/>
  <c r="O1358" i="1525" s="1"/>
  <c r="K1357" i="1525"/>
  <c r="I1357" i="1525" s="1"/>
  <c r="M1357" i="1525" s="1"/>
  <c r="N1357" i="1525" s="1"/>
  <c r="O1357" i="1525" s="1"/>
  <c r="K1356" i="1525"/>
  <c r="I1356" i="1525" s="1"/>
  <c r="M1356" i="1525" s="1"/>
  <c r="N1356" i="1525" s="1"/>
  <c r="O1356" i="1525" s="1"/>
  <c r="K1355" i="1525"/>
  <c r="I1355" i="1525" s="1"/>
  <c r="M1355" i="1525" s="1"/>
  <c r="N1355" i="1525" s="1"/>
  <c r="O1355" i="1525" s="1"/>
  <c r="K1354" i="1525"/>
  <c r="I1354" i="1525" s="1"/>
  <c r="M1354" i="1525" s="1"/>
  <c r="N1354" i="1525" s="1"/>
  <c r="O1354" i="1525" s="1"/>
  <c r="K1353" i="1525"/>
  <c r="I1353" i="1525" s="1"/>
  <c r="M1353" i="1525" s="1"/>
  <c r="N1353" i="1525" s="1"/>
  <c r="O1353" i="1525" s="1"/>
  <c r="K1352" i="1525"/>
  <c r="I1352" i="1525" s="1"/>
  <c r="M1352" i="1525" s="1"/>
  <c r="N1352" i="1525" s="1"/>
  <c r="O1352" i="1525" s="1"/>
  <c r="K1351" i="1525"/>
  <c r="I1351" i="1525" s="1"/>
  <c r="M1351" i="1525" s="1"/>
  <c r="N1351" i="1525" s="1"/>
  <c r="O1351" i="1525" s="1"/>
  <c r="K1350" i="1525"/>
  <c r="I1350" i="1525" s="1"/>
  <c r="M1350" i="1525" s="1"/>
  <c r="N1350" i="1525" s="1"/>
  <c r="O1350" i="1525" s="1"/>
  <c r="K1349" i="1525"/>
  <c r="I1349" i="1525" s="1"/>
  <c r="M1349" i="1525" s="1"/>
  <c r="N1349" i="1525" s="1"/>
  <c r="O1349" i="1525" s="1"/>
  <c r="K1348" i="1525"/>
  <c r="I1348" i="1525" s="1"/>
  <c r="M1348" i="1525" s="1"/>
  <c r="N1348" i="1525" s="1"/>
  <c r="O1348" i="1525" s="1"/>
  <c r="K1347" i="1525"/>
  <c r="I1347" i="1525" s="1"/>
  <c r="M1347" i="1525" s="1"/>
  <c r="N1347" i="1525" s="1"/>
  <c r="O1347" i="1525" s="1"/>
  <c r="K1346" i="1525"/>
  <c r="I1346" i="1525" s="1"/>
  <c r="M1346" i="1525" s="1"/>
  <c r="N1346" i="1525" s="1"/>
  <c r="O1346" i="1525" s="1"/>
  <c r="K1345" i="1525"/>
  <c r="I1345" i="1525" s="1"/>
  <c r="M1345" i="1525" s="1"/>
  <c r="N1345" i="1525" s="1"/>
  <c r="O1345" i="1525" s="1"/>
  <c r="K1344" i="1525"/>
  <c r="I1344" i="1525" s="1"/>
  <c r="M1344" i="1525" s="1"/>
  <c r="N1344" i="1525" s="1"/>
  <c r="O1344" i="1525" s="1"/>
  <c r="K1343" i="1525"/>
  <c r="I1343" i="1525" s="1"/>
  <c r="M1343" i="1525" s="1"/>
  <c r="N1343" i="1525" s="1"/>
  <c r="O1343" i="1525" s="1"/>
  <c r="K1342" i="1525"/>
  <c r="I1342" i="1525" s="1"/>
  <c r="M1342" i="1525" s="1"/>
  <c r="N1342" i="1525" s="1"/>
  <c r="O1342" i="1525" s="1"/>
  <c r="K1341" i="1525"/>
  <c r="I1341" i="1525" s="1"/>
  <c r="M1341" i="1525" s="1"/>
  <c r="N1341" i="1525" s="1"/>
  <c r="O1341" i="1525" s="1"/>
  <c r="K1340" i="1525"/>
  <c r="I1340" i="1525" s="1"/>
  <c r="M1340" i="1525" s="1"/>
  <c r="N1340" i="1525" s="1"/>
  <c r="O1340" i="1525" s="1"/>
  <c r="K1339" i="1525"/>
  <c r="I1339" i="1525" s="1"/>
  <c r="M1339" i="1525" s="1"/>
  <c r="N1339" i="1525" s="1"/>
  <c r="O1339" i="1525" s="1"/>
  <c r="K1338" i="1525"/>
  <c r="I1338" i="1525" s="1"/>
  <c r="M1338" i="1525" s="1"/>
  <c r="N1338" i="1525" s="1"/>
  <c r="O1338" i="1525" s="1"/>
  <c r="K1337" i="1525"/>
  <c r="I1337" i="1525" s="1"/>
  <c r="M1337" i="1525" s="1"/>
  <c r="N1337" i="1525" s="1"/>
  <c r="O1337" i="1525" s="1"/>
  <c r="K1336" i="1525"/>
  <c r="I1336" i="1525" s="1"/>
  <c r="M1336" i="1525" s="1"/>
  <c r="N1336" i="1525" s="1"/>
  <c r="O1336" i="1525" s="1"/>
  <c r="K1335" i="1525"/>
  <c r="I1335" i="1525" s="1"/>
  <c r="M1335" i="1525" s="1"/>
  <c r="N1335" i="1525" s="1"/>
  <c r="O1335" i="1525" s="1"/>
  <c r="K1334" i="1525"/>
  <c r="I1334" i="1525" s="1"/>
  <c r="M1334" i="1525" s="1"/>
  <c r="N1334" i="1525" s="1"/>
  <c r="O1334" i="1525" s="1"/>
  <c r="K1333" i="1525"/>
  <c r="I1333" i="1525" s="1"/>
  <c r="M1333" i="1525" s="1"/>
  <c r="N1333" i="1525" s="1"/>
  <c r="O1333" i="1525" s="1"/>
  <c r="K1332" i="1525"/>
  <c r="I1332" i="1525" s="1"/>
  <c r="M1332" i="1525" s="1"/>
  <c r="N1332" i="1525" s="1"/>
  <c r="O1332" i="1525" s="1"/>
  <c r="K1331" i="1525"/>
  <c r="I1331" i="1525" s="1"/>
  <c r="M1331" i="1525" s="1"/>
  <c r="N1331" i="1525" s="1"/>
  <c r="O1331" i="1525" s="1"/>
  <c r="K1330" i="1525"/>
  <c r="I1330" i="1525" s="1"/>
  <c r="M1330" i="1525" s="1"/>
  <c r="N1330" i="1525" s="1"/>
  <c r="O1330" i="1525" s="1"/>
  <c r="K1329" i="1525"/>
  <c r="I1329" i="1525" s="1"/>
  <c r="M1329" i="1525" s="1"/>
  <c r="N1329" i="1525" s="1"/>
  <c r="O1329" i="1525" s="1"/>
  <c r="K1328" i="1525"/>
  <c r="I1328" i="1525" s="1"/>
  <c r="M1328" i="1525" s="1"/>
  <c r="N1328" i="1525" s="1"/>
  <c r="O1328" i="1525" s="1"/>
  <c r="K1327" i="1525"/>
  <c r="I1327" i="1525" s="1"/>
  <c r="M1327" i="1525" s="1"/>
  <c r="N1327" i="1525" s="1"/>
  <c r="O1327" i="1525" s="1"/>
  <c r="K1326" i="1525"/>
  <c r="I1326" i="1525" s="1"/>
  <c r="M1326" i="1525" s="1"/>
  <c r="N1326" i="1525" s="1"/>
  <c r="O1326" i="1525" s="1"/>
  <c r="K1325" i="1525"/>
  <c r="I1325" i="1525" s="1"/>
  <c r="M1325" i="1525" s="1"/>
  <c r="N1325" i="1525" s="1"/>
  <c r="O1325" i="1525" s="1"/>
  <c r="K1324" i="1525"/>
  <c r="I1324" i="1525" s="1"/>
  <c r="M1324" i="1525" s="1"/>
  <c r="N1324" i="1525" s="1"/>
  <c r="O1324" i="1525" s="1"/>
  <c r="K1323" i="1525"/>
  <c r="I1323" i="1525" s="1"/>
  <c r="M1323" i="1525" s="1"/>
  <c r="N1323" i="1525" s="1"/>
  <c r="O1323" i="1525" s="1"/>
  <c r="K1322" i="1525"/>
  <c r="I1322" i="1525" s="1"/>
  <c r="M1322" i="1525" s="1"/>
  <c r="N1322" i="1525" s="1"/>
  <c r="O1322" i="1525" s="1"/>
  <c r="K1321" i="1525"/>
  <c r="I1321" i="1525" s="1"/>
  <c r="M1321" i="1525" s="1"/>
  <c r="N1321" i="1525" s="1"/>
  <c r="O1321" i="1525" s="1"/>
  <c r="K1320" i="1525"/>
  <c r="I1320" i="1525" s="1"/>
  <c r="M1320" i="1525" s="1"/>
  <c r="N1320" i="1525" s="1"/>
  <c r="O1320" i="1525" s="1"/>
  <c r="K1319" i="1525"/>
  <c r="I1319" i="1525" s="1"/>
  <c r="M1319" i="1525" s="1"/>
  <c r="N1319" i="1525" s="1"/>
  <c r="O1319" i="1525" s="1"/>
  <c r="K1318" i="1525"/>
  <c r="I1318" i="1525" s="1"/>
  <c r="M1318" i="1525" s="1"/>
  <c r="N1318" i="1525" s="1"/>
  <c r="O1318" i="1525" s="1"/>
  <c r="K1317" i="1525"/>
  <c r="I1317" i="1525" s="1"/>
  <c r="M1317" i="1525" s="1"/>
  <c r="N1317" i="1525" s="1"/>
  <c r="O1317" i="1525" s="1"/>
  <c r="K1316" i="1525"/>
  <c r="I1316" i="1525" s="1"/>
  <c r="M1316" i="1525" s="1"/>
  <c r="N1316" i="1525" s="1"/>
  <c r="O1316" i="1525" s="1"/>
  <c r="K1315" i="1525"/>
  <c r="I1315" i="1525" s="1"/>
  <c r="M1315" i="1525" s="1"/>
  <c r="N1315" i="1525" s="1"/>
  <c r="O1315" i="1525" s="1"/>
  <c r="K1314" i="1525"/>
  <c r="I1314" i="1525" s="1"/>
  <c r="M1314" i="1525" s="1"/>
  <c r="N1314" i="1525" s="1"/>
  <c r="O1314" i="1525" s="1"/>
  <c r="K1313" i="1525"/>
  <c r="I1313" i="1525" s="1"/>
  <c r="M1313" i="1525" s="1"/>
  <c r="N1313" i="1525" s="1"/>
  <c r="O1313" i="1525" s="1"/>
  <c r="K1312" i="1525"/>
  <c r="I1312" i="1525" s="1"/>
  <c r="M1312" i="1525" s="1"/>
  <c r="N1312" i="1525" s="1"/>
  <c r="O1312" i="1525" s="1"/>
  <c r="K1311" i="1525"/>
  <c r="I1311" i="1525" s="1"/>
  <c r="M1311" i="1525" s="1"/>
  <c r="N1311" i="1525" s="1"/>
  <c r="O1311" i="1525" s="1"/>
  <c r="K1310" i="1525"/>
  <c r="I1310" i="1525" s="1"/>
  <c r="M1310" i="1525" s="1"/>
  <c r="N1310" i="1525" s="1"/>
  <c r="O1310" i="1525" s="1"/>
  <c r="K1309" i="1525"/>
  <c r="I1309" i="1525" s="1"/>
  <c r="M1309" i="1525" s="1"/>
  <c r="N1309" i="1525" s="1"/>
  <c r="O1309" i="1525" s="1"/>
  <c r="K1308" i="1525"/>
  <c r="I1308" i="1525" s="1"/>
  <c r="M1308" i="1525" s="1"/>
  <c r="N1308" i="1525" s="1"/>
  <c r="O1308" i="1525" s="1"/>
  <c r="K1307" i="1525"/>
  <c r="I1307" i="1525" s="1"/>
  <c r="M1307" i="1525" s="1"/>
  <c r="N1307" i="1525" s="1"/>
  <c r="O1307" i="1525" s="1"/>
  <c r="K1306" i="1525"/>
  <c r="I1306" i="1525" s="1"/>
  <c r="M1306" i="1525" s="1"/>
  <c r="N1306" i="1525" s="1"/>
  <c r="O1306" i="1525" s="1"/>
  <c r="K1305" i="1525"/>
  <c r="I1305" i="1525" s="1"/>
  <c r="M1305" i="1525" s="1"/>
  <c r="N1305" i="1525" s="1"/>
  <c r="O1305" i="1525" s="1"/>
  <c r="K1304" i="1525"/>
  <c r="I1304" i="1525" s="1"/>
  <c r="M1304" i="1525" s="1"/>
  <c r="N1304" i="1525" s="1"/>
  <c r="O1304" i="1525" s="1"/>
  <c r="K1303" i="1525"/>
  <c r="I1303" i="1525" s="1"/>
  <c r="M1303" i="1525" s="1"/>
  <c r="N1303" i="1525" s="1"/>
  <c r="O1303" i="1525" s="1"/>
  <c r="K1302" i="1525"/>
  <c r="I1302" i="1525" s="1"/>
  <c r="M1302" i="1525" s="1"/>
  <c r="N1302" i="1525" s="1"/>
  <c r="O1302" i="1525" s="1"/>
  <c r="K1301" i="1525"/>
  <c r="I1301" i="1525" s="1"/>
  <c r="M1301" i="1525" s="1"/>
  <c r="N1301" i="1525" s="1"/>
  <c r="O1301" i="1525" s="1"/>
  <c r="K1300" i="1525"/>
  <c r="I1300" i="1525" s="1"/>
  <c r="M1300" i="1525" s="1"/>
  <c r="N1300" i="1525" s="1"/>
  <c r="O1300" i="1525" s="1"/>
  <c r="K1299" i="1525"/>
  <c r="I1299" i="1525" s="1"/>
  <c r="M1299" i="1525" s="1"/>
  <c r="N1299" i="1525" s="1"/>
  <c r="O1299" i="1525" s="1"/>
  <c r="K1298" i="1525"/>
  <c r="I1298" i="1525" s="1"/>
  <c r="M1298" i="1525" s="1"/>
  <c r="N1298" i="1525" s="1"/>
  <c r="O1298" i="1525" s="1"/>
  <c r="K1297" i="1525"/>
  <c r="I1297" i="1525" s="1"/>
  <c r="M1297" i="1525" s="1"/>
  <c r="N1297" i="1525" s="1"/>
  <c r="O1297" i="1525" s="1"/>
  <c r="K1296" i="1525"/>
  <c r="I1296" i="1525" s="1"/>
  <c r="M1296" i="1525" s="1"/>
  <c r="N1296" i="1525" s="1"/>
  <c r="O1296" i="1525" s="1"/>
  <c r="K1295" i="1525"/>
  <c r="I1295" i="1525" s="1"/>
  <c r="M1295" i="1525" s="1"/>
  <c r="N1295" i="1525" s="1"/>
  <c r="O1295" i="1525" s="1"/>
  <c r="K1294" i="1525"/>
  <c r="I1294" i="1525" s="1"/>
  <c r="M1294" i="1525" s="1"/>
  <c r="N1294" i="1525" s="1"/>
  <c r="O1294" i="1525" s="1"/>
  <c r="K1293" i="1525"/>
  <c r="I1293" i="1525" s="1"/>
  <c r="M1293" i="1525" s="1"/>
  <c r="N1293" i="1525" s="1"/>
  <c r="O1293" i="1525" s="1"/>
  <c r="K1292" i="1525"/>
  <c r="I1292" i="1525" s="1"/>
  <c r="M1292" i="1525" s="1"/>
  <c r="N1292" i="1525" s="1"/>
  <c r="O1292" i="1525" s="1"/>
  <c r="K1291" i="1525"/>
  <c r="I1291" i="1525" s="1"/>
  <c r="M1291" i="1525" s="1"/>
  <c r="N1291" i="1525" s="1"/>
  <c r="O1291" i="1525" s="1"/>
  <c r="K1290" i="1525"/>
  <c r="I1290" i="1525" s="1"/>
  <c r="M1290" i="1525" s="1"/>
  <c r="N1290" i="1525" s="1"/>
  <c r="O1290" i="1525" s="1"/>
  <c r="K1289" i="1525"/>
  <c r="I1289" i="1525" s="1"/>
  <c r="M1289" i="1525" s="1"/>
  <c r="N1289" i="1525" s="1"/>
  <c r="O1289" i="1525" s="1"/>
  <c r="K1288" i="1525"/>
  <c r="I1288" i="1525" s="1"/>
  <c r="M1288" i="1525" s="1"/>
  <c r="N1288" i="1525" s="1"/>
  <c r="O1288" i="1525" s="1"/>
  <c r="K1287" i="1525"/>
  <c r="I1287" i="1525" s="1"/>
  <c r="M1287" i="1525" s="1"/>
  <c r="N1287" i="1525" s="1"/>
  <c r="O1287" i="1525" s="1"/>
  <c r="K1286" i="1525"/>
  <c r="I1286" i="1525" s="1"/>
  <c r="M1286" i="1525" s="1"/>
  <c r="N1286" i="1525" s="1"/>
  <c r="O1286" i="1525" s="1"/>
  <c r="K1285" i="1525"/>
  <c r="I1285" i="1525" s="1"/>
  <c r="M1285" i="1525" s="1"/>
  <c r="N1285" i="1525" s="1"/>
  <c r="O1285" i="1525" s="1"/>
  <c r="K1284" i="1525"/>
  <c r="I1284" i="1525" s="1"/>
  <c r="M1284" i="1525" s="1"/>
  <c r="N1284" i="1525" s="1"/>
  <c r="O1284" i="1525" s="1"/>
  <c r="K1283" i="1525"/>
  <c r="I1283" i="1525" s="1"/>
  <c r="M1283" i="1525" s="1"/>
  <c r="N1283" i="1525" s="1"/>
  <c r="O1283" i="1525" s="1"/>
  <c r="K1282" i="1525"/>
  <c r="I1282" i="1525" s="1"/>
  <c r="M1282" i="1525" s="1"/>
  <c r="N1282" i="1525" s="1"/>
  <c r="O1282" i="1525" s="1"/>
  <c r="K1281" i="1525"/>
  <c r="I1281" i="1525" s="1"/>
  <c r="M1281" i="1525" s="1"/>
  <c r="N1281" i="1525" s="1"/>
  <c r="O1281" i="1525" s="1"/>
  <c r="K1280" i="1525"/>
  <c r="I1280" i="1525" s="1"/>
  <c r="M1280" i="1525" s="1"/>
  <c r="N1280" i="1525" s="1"/>
  <c r="O1280" i="1525" s="1"/>
  <c r="K1279" i="1525"/>
  <c r="I1279" i="1525" s="1"/>
  <c r="M1279" i="1525" s="1"/>
  <c r="N1279" i="1525" s="1"/>
  <c r="O1279" i="1525" s="1"/>
  <c r="K1278" i="1525"/>
  <c r="I1278" i="1525" s="1"/>
  <c r="M1278" i="1525" s="1"/>
  <c r="N1278" i="1525" s="1"/>
  <c r="O1278" i="1525" s="1"/>
  <c r="K1277" i="1525"/>
  <c r="I1277" i="1525" s="1"/>
  <c r="M1277" i="1525" s="1"/>
  <c r="N1277" i="1525" s="1"/>
  <c r="O1277" i="1525" s="1"/>
  <c r="K1276" i="1525"/>
  <c r="I1276" i="1525" s="1"/>
  <c r="M1276" i="1525" s="1"/>
  <c r="N1276" i="1525" s="1"/>
  <c r="O1276" i="1525" s="1"/>
  <c r="K1275" i="1525"/>
  <c r="I1275" i="1525" s="1"/>
  <c r="M1275" i="1525" s="1"/>
  <c r="N1275" i="1525" s="1"/>
  <c r="O1275" i="1525" s="1"/>
  <c r="K1274" i="1525"/>
  <c r="I1274" i="1525" s="1"/>
  <c r="M1274" i="1525" s="1"/>
  <c r="N1274" i="1525" s="1"/>
  <c r="O1274" i="1525" s="1"/>
  <c r="K1273" i="1525"/>
  <c r="I1273" i="1525" s="1"/>
  <c r="M1273" i="1525" s="1"/>
  <c r="N1273" i="1525" s="1"/>
  <c r="O1273" i="1525" s="1"/>
  <c r="K1272" i="1525"/>
  <c r="I1272" i="1525" s="1"/>
  <c r="M1272" i="1525" s="1"/>
  <c r="N1272" i="1525" s="1"/>
  <c r="O1272" i="1525" s="1"/>
  <c r="K1271" i="1525"/>
  <c r="I1271" i="1525" s="1"/>
  <c r="M1271" i="1525" s="1"/>
  <c r="N1271" i="1525" s="1"/>
  <c r="O1271" i="1525" s="1"/>
  <c r="K1270" i="1525"/>
  <c r="I1270" i="1525" s="1"/>
  <c r="M1270" i="1525" s="1"/>
  <c r="N1270" i="1525" s="1"/>
  <c r="O1270" i="1525" s="1"/>
  <c r="K1269" i="1525"/>
  <c r="I1269" i="1525" s="1"/>
  <c r="M1269" i="1525" s="1"/>
  <c r="N1269" i="1525" s="1"/>
  <c r="O1269" i="1525" s="1"/>
  <c r="K1268" i="1525"/>
  <c r="I1268" i="1525" s="1"/>
  <c r="M1268" i="1525" s="1"/>
  <c r="N1268" i="1525" s="1"/>
  <c r="O1268" i="1525" s="1"/>
  <c r="K1267" i="1525"/>
  <c r="I1267" i="1525" s="1"/>
  <c r="M1267" i="1525" s="1"/>
  <c r="N1267" i="1525" s="1"/>
  <c r="O1267" i="1525" s="1"/>
  <c r="K1266" i="1525"/>
  <c r="I1266" i="1525" s="1"/>
  <c r="M1266" i="1525" s="1"/>
  <c r="N1266" i="1525" s="1"/>
  <c r="O1266" i="1525" s="1"/>
  <c r="K1265" i="1525"/>
  <c r="I1265" i="1525" s="1"/>
  <c r="M1265" i="1525" s="1"/>
  <c r="N1265" i="1525" s="1"/>
  <c r="O1265" i="1525" s="1"/>
  <c r="K1264" i="1525"/>
  <c r="I1264" i="1525" s="1"/>
  <c r="M1264" i="1525" s="1"/>
  <c r="N1264" i="1525" s="1"/>
  <c r="O1264" i="1525" s="1"/>
  <c r="K1263" i="1525"/>
  <c r="I1263" i="1525" s="1"/>
  <c r="M1263" i="1525" s="1"/>
  <c r="N1263" i="1525" s="1"/>
  <c r="O1263" i="1525" s="1"/>
  <c r="K1262" i="1525"/>
  <c r="I1262" i="1525" s="1"/>
  <c r="M1262" i="1525" s="1"/>
  <c r="N1262" i="1525" s="1"/>
  <c r="O1262" i="1525" s="1"/>
  <c r="K1261" i="1525"/>
  <c r="I1261" i="1525" s="1"/>
  <c r="M1261" i="1525" s="1"/>
  <c r="N1261" i="1525" s="1"/>
  <c r="O1261" i="1525" s="1"/>
  <c r="K1260" i="1525"/>
  <c r="I1260" i="1525" s="1"/>
  <c r="M1260" i="1525" s="1"/>
  <c r="N1260" i="1525" s="1"/>
  <c r="O1260" i="1525" s="1"/>
  <c r="K1259" i="1525"/>
  <c r="I1259" i="1525" s="1"/>
  <c r="M1259" i="1525" s="1"/>
  <c r="N1259" i="1525" s="1"/>
  <c r="O1259" i="1525" s="1"/>
  <c r="K1258" i="1525"/>
  <c r="I1258" i="1525" s="1"/>
  <c r="M1258" i="1525" s="1"/>
  <c r="N1258" i="1525" s="1"/>
  <c r="O1258" i="1525" s="1"/>
  <c r="K1257" i="1525"/>
  <c r="I1257" i="1525" s="1"/>
  <c r="M1257" i="1525" s="1"/>
  <c r="N1257" i="1525" s="1"/>
  <c r="O1257" i="1525" s="1"/>
  <c r="K1256" i="1525"/>
  <c r="I1256" i="1525" s="1"/>
  <c r="M1256" i="1525" s="1"/>
  <c r="N1256" i="1525" s="1"/>
  <c r="O1256" i="1525" s="1"/>
  <c r="K1255" i="1525"/>
  <c r="I1255" i="1525" s="1"/>
  <c r="M1255" i="1525" s="1"/>
  <c r="N1255" i="1525" s="1"/>
  <c r="O1255" i="1525" s="1"/>
  <c r="K1254" i="1525"/>
  <c r="I1254" i="1525" s="1"/>
  <c r="M1254" i="1525" s="1"/>
  <c r="N1254" i="1525" s="1"/>
  <c r="O1254" i="1525" s="1"/>
  <c r="K1253" i="1525"/>
  <c r="I1253" i="1525" s="1"/>
  <c r="M1253" i="1525" s="1"/>
  <c r="N1253" i="1525" s="1"/>
  <c r="O1253" i="1525" s="1"/>
  <c r="K1252" i="1525"/>
  <c r="I1252" i="1525" s="1"/>
  <c r="M1252" i="1525" s="1"/>
  <c r="N1252" i="1525" s="1"/>
  <c r="O1252" i="1525" s="1"/>
  <c r="K1251" i="1525"/>
  <c r="I1251" i="1525" s="1"/>
  <c r="M1251" i="1525" s="1"/>
  <c r="N1251" i="1525" s="1"/>
  <c r="O1251" i="1525" s="1"/>
  <c r="K1250" i="1525"/>
  <c r="I1250" i="1525" s="1"/>
  <c r="M1250" i="1525" s="1"/>
  <c r="N1250" i="1525" s="1"/>
  <c r="O1250" i="1525" s="1"/>
  <c r="K1249" i="1525"/>
  <c r="I1249" i="1525" s="1"/>
  <c r="M1249" i="1525" s="1"/>
  <c r="N1249" i="1525" s="1"/>
  <c r="O1249" i="1525" s="1"/>
  <c r="K1248" i="1525"/>
  <c r="I1248" i="1525" s="1"/>
  <c r="M1248" i="1525" s="1"/>
  <c r="N1248" i="1525" s="1"/>
  <c r="O1248" i="1525" s="1"/>
  <c r="K1247" i="1525"/>
  <c r="I1247" i="1525" s="1"/>
  <c r="M1247" i="1525" s="1"/>
  <c r="N1247" i="1525" s="1"/>
  <c r="O1247" i="1525" s="1"/>
  <c r="K1246" i="1525"/>
  <c r="I1246" i="1525" s="1"/>
  <c r="M1246" i="1525" s="1"/>
  <c r="N1246" i="1525" s="1"/>
  <c r="O1246" i="1525" s="1"/>
  <c r="K1245" i="1525"/>
  <c r="I1245" i="1525" s="1"/>
  <c r="M1245" i="1525" s="1"/>
  <c r="N1245" i="1525" s="1"/>
  <c r="O1245" i="1525" s="1"/>
  <c r="K1244" i="1525"/>
  <c r="I1244" i="1525" s="1"/>
  <c r="M1244" i="1525" s="1"/>
  <c r="N1244" i="1525" s="1"/>
  <c r="O1244" i="1525" s="1"/>
  <c r="K1243" i="1525"/>
  <c r="I1243" i="1525" s="1"/>
  <c r="M1243" i="1525" s="1"/>
  <c r="N1243" i="1525" s="1"/>
  <c r="O1243" i="1525" s="1"/>
  <c r="K1242" i="1525"/>
  <c r="I1242" i="1525" s="1"/>
  <c r="M1242" i="1525" s="1"/>
  <c r="N1242" i="1525" s="1"/>
  <c r="O1242" i="1525" s="1"/>
  <c r="K1241" i="1525"/>
  <c r="I1241" i="1525" s="1"/>
  <c r="M1241" i="1525" s="1"/>
  <c r="N1241" i="1525" s="1"/>
  <c r="O1241" i="1525" s="1"/>
  <c r="K1240" i="1525"/>
  <c r="I1240" i="1525" s="1"/>
  <c r="M1240" i="1525" s="1"/>
  <c r="N1240" i="1525" s="1"/>
  <c r="O1240" i="1525" s="1"/>
  <c r="K1239" i="1525"/>
  <c r="I1239" i="1525" s="1"/>
  <c r="M1239" i="1525" s="1"/>
  <c r="N1239" i="1525" s="1"/>
  <c r="O1239" i="1525" s="1"/>
  <c r="K1238" i="1525"/>
  <c r="I1238" i="1525" s="1"/>
  <c r="M1238" i="1525" s="1"/>
  <c r="N1238" i="1525" s="1"/>
  <c r="O1238" i="1525" s="1"/>
  <c r="K1237" i="1525"/>
  <c r="I1237" i="1525" s="1"/>
  <c r="M1237" i="1525" s="1"/>
  <c r="N1237" i="1525" s="1"/>
  <c r="O1237" i="1525" s="1"/>
  <c r="K1236" i="1525"/>
  <c r="I1236" i="1525" s="1"/>
  <c r="M1236" i="1525" s="1"/>
  <c r="N1236" i="1525" s="1"/>
  <c r="O1236" i="1525" s="1"/>
  <c r="K1235" i="1525"/>
  <c r="I1235" i="1525" s="1"/>
  <c r="M1235" i="1525" s="1"/>
  <c r="N1235" i="1525" s="1"/>
  <c r="O1235" i="1525" s="1"/>
  <c r="K1234" i="1525"/>
  <c r="I1234" i="1525" s="1"/>
  <c r="M1234" i="1525" s="1"/>
  <c r="N1234" i="1525" s="1"/>
  <c r="O1234" i="1525" s="1"/>
  <c r="K1233" i="1525"/>
  <c r="I1233" i="1525" s="1"/>
  <c r="M1233" i="1525" s="1"/>
  <c r="N1233" i="1525" s="1"/>
  <c r="O1233" i="1525" s="1"/>
  <c r="K1232" i="1525"/>
  <c r="I1232" i="1525" s="1"/>
  <c r="M1232" i="1525" s="1"/>
  <c r="N1232" i="1525" s="1"/>
  <c r="O1232" i="1525" s="1"/>
  <c r="K1231" i="1525"/>
  <c r="I1231" i="1525" s="1"/>
  <c r="M1231" i="1525" s="1"/>
  <c r="N1231" i="1525" s="1"/>
  <c r="O1231" i="1525" s="1"/>
  <c r="K1230" i="1525"/>
  <c r="I1230" i="1525" s="1"/>
  <c r="M1230" i="1525" s="1"/>
  <c r="N1230" i="1525" s="1"/>
  <c r="O1230" i="1525" s="1"/>
  <c r="K1229" i="1525"/>
  <c r="I1229" i="1525" s="1"/>
  <c r="M1229" i="1525" s="1"/>
  <c r="N1229" i="1525" s="1"/>
  <c r="O1229" i="1525" s="1"/>
  <c r="K1228" i="1525"/>
  <c r="I1228" i="1525" s="1"/>
  <c r="M1228" i="1525" s="1"/>
  <c r="N1228" i="1525" s="1"/>
  <c r="O1228" i="1525" s="1"/>
  <c r="K1227" i="1525"/>
  <c r="I1227" i="1525" s="1"/>
  <c r="M1227" i="1525" s="1"/>
  <c r="N1227" i="1525" s="1"/>
  <c r="O1227" i="1525" s="1"/>
  <c r="K1226" i="1525"/>
  <c r="I1226" i="1525" s="1"/>
  <c r="M1226" i="1525" s="1"/>
  <c r="N1226" i="1525" s="1"/>
  <c r="O1226" i="1525" s="1"/>
  <c r="K1225" i="1525"/>
  <c r="I1225" i="1525" s="1"/>
  <c r="M1225" i="1525" s="1"/>
  <c r="N1225" i="1525" s="1"/>
  <c r="O1225" i="1525" s="1"/>
  <c r="K1224" i="1525"/>
  <c r="I1224" i="1525" s="1"/>
  <c r="M1224" i="1525" s="1"/>
  <c r="N1224" i="1525" s="1"/>
  <c r="O1224" i="1525" s="1"/>
  <c r="K1223" i="1525"/>
  <c r="I1223" i="1525" s="1"/>
  <c r="M1223" i="1525" s="1"/>
  <c r="N1223" i="1525" s="1"/>
  <c r="O1223" i="1525" s="1"/>
  <c r="K1222" i="1525"/>
  <c r="I1222" i="1525" s="1"/>
  <c r="M1222" i="1525" s="1"/>
  <c r="N1222" i="1525" s="1"/>
  <c r="O1222" i="1525" s="1"/>
  <c r="K1221" i="1525"/>
  <c r="I1221" i="1525" s="1"/>
  <c r="M1221" i="1525" s="1"/>
  <c r="N1221" i="1525" s="1"/>
  <c r="O1221" i="1525" s="1"/>
  <c r="K1220" i="1525"/>
  <c r="I1220" i="1525" s="1"/>
  <c r="M1220" i="1525" s="1"/>
  <c r="N1220" i="1525" s="1"/>
  <c r="O1220" i="1525" s="1"/>
  <c r="K1219" i="1525"/>
  <c r="I1219" i="1525" s="1"/>
  <c r="M1219" i="1525" s="1"/>
  <c r="N1219" i="1525" s="1"/>
  <c r="O1219" i="1525" s="1"/>
  <c r="K1218" i="1525"/>
  <c r="I1218" i="1525" s="1"/>
  <c r="M1218" i="1525" s="1"/>
  <c r="N1218" i="1525" s="1"/>
  <c r="O1218" i="1525" s="1"/>
  <c r="K1217" i="1525"/>
  <c r="I1217" i="1525" s="1"/>
  <c r="M1217" i="1525" s="1"/>
  <c r="N1217" i="1525" s="1"/>
  <c r="O1217" i="1525" s="1"/>
  <c r="K1216" i="1525"/>
  <c r="I1216" i="1525" s="1"/>
  <c r="M1216" i="1525" s="1"/>
  <c r="N1216" i="1525" s="1"/>
  <c r="O1216" i="1525" s="1"/>
  <c r="K1215" i="1525"/>
  <c r="I1215" i="1525" s="1"/>
  <c r="M1215" i="1525" s="1"/>
  <c r="N1215" i="1525" s="1"/>
  <c r="O1215" i="1525" s="1"/>
  <c r="K1214" i="1525"/>
  <c r="I1214" i="1525" s="1"/>
  <c r="M1214" i="1525" s="1"/>
  <c r="N1214" i="1525" s="1"/>
  <c r="O1214" i="1525" s="1"/>
  <c r="K1213" i="1525"/>
  <c r="I1213" i="1525" s="1"/>
  <c r="M1213" i="1525" s="1"/>
  <c r="N1213" i="1525" s="1"/>
  <c r="O1213" i="1525" s="1"/>
  <c r="K1212" i="1525"/>
  <c r="I1212" i="1525" s="1"/>
  <c r="M1212" i="1525" s="1"/>
  <c r="N1212" i="1525" s="1"/>
  <c r="O1212" i="1525" s="1"/>
  <c r="K1211" i="1525"/>
  <c r="I1211" i="1525" s="1"/>
  <c r="M1211" i="1525" s="1"/>
  <c r="N1211" i="1525" s="1"/>
  <c r="O1211" i="1525" s="1"/>
  <c r="K1210" i="1525"/>
  <c r="I1210" i="1525" s="1"/>
  <c r="M1210" i="1525" s="1"/>
  <c r="N1210" i="1525" s="1"/>
  <c r="O1210" i="1525" s="1"/>
  <c r="K1209" i="1525"/>
  <c r="I1209" i="1525" s="1"/>
  <c r="M1209" i="1525" s="1"/>
  <c r="N1209" i="1525" s="1"/>
  <c r="O1209" i="1525" s="1"/>
  <c r="K1208" i="1525"/>
  <c r="I1208" i="1525" s="1"/>
  <c r="M1208" i="1525" s="1"/>
  <c r="N1208" i="1525" s="1"/>
  <c r="O1208" i="1525" s="1"/>
  <c r="K1207" i="1525"/>
  <c r="I1207" i="1525" s="1"/>
  <c r="M1207" i="1525" s="1"/>
  <c r="N1207" i="1525" s="1"/>
  <c r="O1207" i="1525" s="1"/>
  <c r="K1206" i="1525"/>
  <c r="I1206" i="1525" s="1"/>
  <c r="M1206" i="1525" s="1"/>
  <c r="N1206" i="1525" s="1"/>
  <c r="O1206" i="1525" s="1"/>
  <c r="K1205" i="1525"/>
  <c r="I1205" i="1525" s="1"/>
  <c r="M1205" i="1525" s="1"/>
  <c r="N1205" i="1525" s="1"/>
  <c r="O1205" i="1525" s="1"/>
  <c r="K1204" i="1525"/>
  <c r="I1204" i="1525" s="1"/>
  <c r="M1204" i="1525" s="1"/>
  <c r="N1204" i="1525" s="1"/>
  <c r="O1204" i="1525" s="1"/>
  <c r="K1203" i="1525"/>
  <c r="I1203" i="1525" s="1"/>
  <c r="M1203" i="1525" s="1"/>
  <c r="N1203" i="1525" s="1"/>
  <c r="O1203" i="1525" s="1"/>
  <c r="K1202" i="1525"/>
  <c r="I1202" i="1525" s="1"/>
  <c r="M1202" i="1525" s="1"/>
  <c r="N1202" i="1525" s="1"/>
  <c r="O1202" i="1525" s="1"/>
  <c r="K1201" i="1525"/>
  <c r="I1201" i="1525" s="1"/>
  <c r="M1201" i="1525" s="1"/>
  <c r="N1201" i="1525" s="1"/>
  <c r="O1201" i="1525" s="1"/>
  <c r="K1200" i="1525"/>
  <c r="I1200" i="1525" s="1"/>
  <c r="M1200" i="1525" s="1"/>
  <c r="N1200" i="1525" s="1"/>
  <c r="O1200" i="1525" s="1"/>
  <c r="K1199" i="1525"/>
  <c r="I1199" i="1525" s="1"/>
  <c r="M1199" i="1525" s="1"/>
  <c r="N1199" i="1525" s="1"/>
  <c r="O1199" i="1525" s="1"/>
  <c r="K1198" i="1525"/>
  <c r="I1198" i="1525" s="1"/>
  <c r="M1198" i="1525" s="1"/>
  <c r="N1198" i="1525" s="1"/>
  <c r="O1198" i="1525" s="1"/>
  <c r="K1197" i="1525"/>
  <c r="I1197" i="1525" s="1"/>
  <c r="M1197" i="1525" s="1"/>
  <c r="N1197" i="1525" s="1"/>
  <c r="O1197" i="1525" s="1"/>
  <c r="K1196" i="1525"/>
  <c r="I1196" i="1525" s="1"/>
  <c r="M1196" i="1525" s="1"/>
  <c r="N1196" i="1525" s="1"/>
  <c r="O1196" i="1525" s="1"/>
  <c r="K1195" i="1525"/>
  <c r="I1195" i="1525" s="1"/>
  <c r="M1195" i="1525" s="1"/>
  <c r="N1195" i="1525" s="1"/>
  <c r="O1195" i="1525" s="1"/>
  <c r="K1194" i="1525"/>
  <c r="I1194" i="1525" s="1"/>
  <c r="M1194" i="1525" s="1"/>
  <c r="N1194" i="1525" s="1"/>
  <c r="O1194" i="1525" s="1"/>
  <c r="K1193" i="1525"/>
  <c r="I1193" i="1525" s="1"/>
  <c r="M1193" i="1525" s="1"/>
  <c r="N1193" i="1525" s="1"/>
  <c r="O1193" i="1525" s="1"/>
  <c r="K1192" i="1525"/>
  <c r="I1192" i="1525" s="1"/>
  <c r="M1192" i="1525" s="1"/>
  <c r="N1192" i="1525" s="1"/>
  <c r="O1192" i="1525" s="1"/>
  <c r="K1191" i="1525"/>
  <c r="I1191" i="1525" s="1"/>
  <c r="M1191" i="1525" s="1"/>
  <c r="N1191" i="1525" s="1"/>
  <c r="O1191" i="1525" s="1"/>
  <c r="K1190" i="1525"/>
  <c r="I1190" i="1525" s="1"/>
  <c r="M1190" i="1525" s="1"/>
  <c r="N1190" i="1525" s="1"/>
  <c r="O1190" i="1525" s="1"/>
  <c r="K1189" i="1525"/>
  <c r="I1189" i="1525" s="1"/>
  <c r="M1189" i="1525" s="1"/>
  <c r="N1189" i="1525" s="1"/>
  <c r="O1189" i="1525" s="1"/>
  <c r="K1188" i="1525"/>
  <c r="I1188" i="1525" s="1"/>
  <c r="M1188" i="1525" s="1"/>
  <c r="N1188" i="1525" s="1"/>
  <c r="O1188" i="1525" s="1"/>
  <c r="K1187" i="1525"/>
  <c r="I1187" i="1525" s="1"/>
  <c r="M1187" i="1525" s="1"/>
  <c r="N1187" i="1525" s="1"/>
  <c r="O1187" i="1525" s="1"/>
  <c r="K1186" i="1525"/>
  <c r="I1186" i="1525" s="1"/>
  <c r="M1186" i="1525" s="1"/>
  <c r="N1186" i="1525" s="1"/>
  <c r="O1186" i="1525" s="1"/>
  <c r="K1185" i="1525"/>
  <c r="I1185" i="1525" s="1"/>
  <c r="M1185" i="1525" s="1"/>
  <c r="N1185" i="1525" s="1"/>
  <c r="O1185" i="1525" s="1"/>
  <c r="K1184" i="1525"/>
  <c r="I1184" i="1525" s="1"/>
  <c r="M1184" i="1525" s="1"/>
  <c r="N1184" i="1525" s="1"/>
  <c r="O1184" i="1525" s="1"/>
  <c r="K1183" i="1525"/>
  <c r="I1183" i="1525" s="1"/>
  <c r="M1183" i="1525" s="1"/>
  <c r="N1183" i="1525" s="1"/>
  <c r="O1183" i="1525" s="1"/>
  <c r="K1182" i="1525"/>
  <c r="I1182" i="1525" s="1"/>
  <c r="M1182" i="1525" s="1"/>
  <c r="N1182" i="1525" s="1"/>
  <c r="O1182" i="1525" s="1"/>
  <c r="K1181" i="1525"/>
  <c r="I1181" i="1525" s="1"/>
  <c r="M1181" i="1525" s="1"/>
  <c r="N1181" i="1525" s="1"/>
  <c r="O1181" i="1525" s="1"/>
  <c r="K1180" i="1525"/>
  <c r="I1180" i="1525" s="1"/>
  <c r="M1180" i="1525" s="1"/>
  <c r="N1180" i="1525" s="1"/>
  <c r="O1180" i="1525" s="1"/>
  <c r="K1179" i="1525"/>
  <c r="I1179" i="1525" s="1"/>
  <c r="M1179" i="1525" s="1"/>
  <c r="N1179" i="1525" s="1"/>
  <c r="O1179" i="1525" s="1"/>
  <c r="K1178" i="1525"/>
  <c r="I1178" i="1525" s="1"/>
  <c r="M1178" i="1525" s="1"/>
  <c r="N1178" i="1525" s="1"/>
  <c r="O1178" i="1525" s="1"/>
  <c r="K1177" i="1525"/>
  <c r="I1177" i="1525" s="1"/>
  <c r="M1177" i="1525" s="1"/>
  <c r="N1177" i="1525" s="1"/>
  <c r="O1177" i="1525" s="1"/>
  <c r="K1176" i="1525"/>
  <c r="I1176" i="1525" s="1"/>
  <c r="M1176" i="1525" s="1"/>
  <c r="N1176" i="1525" s="1"/>
  <c r="O1176" i="1525" s="1"/>
  <c r="K1175" i="1525"/>
  <c r="I1175" i="1525" s="1"/>
  <c r="M1175" i="1525" s="1"/>
  <c r="N1175" i="1525" s="1"/>
  <c r="O1175" i="1525" s="1"/>
  <c r="K1174" i="1525"/>
  <c r="I1174" i="1525" s="1"/>
  <c r="M1174" i="1525" s="1"/>
  <c r="N1174" i="1525" s="1"/>
  <c r="O1174" i="1525" s="1"/>
  <c r="K1173" i="1525"/>
  <c r="I1173" i="1525" s="1"/>
  <c r="M1173" i="1525" s="1"/>
  <c r="N1173" i="1525" s="1"/>
  <c r="O1173" i="1525" s="1"/>
  <c r="K1172" i="1525"/>
  <c r="I1172" i="1525" s="1"/>
  <c r="M1172" i="1525" s="1"/>
  <c r="N1172" i="1525" s="1"/>
  <c r="O1172" i="1525" s="1"/>
  <c r="K1171" i="1525"/>
  <c r="I1171" i="1525" s="1"/>
  <c r="M1171" i="1525" s="1"/>
  <c r="N1171" i="1525" s="1"/>
  <c r="O1171" i="1525" s="1"/>
  <c r="K1170" i="1525"/>
  <c r="I1170" i="1525" s="1"/>
  <c r="M1170" i="1525" s="1"/>
  <c r="N1170" i="1525" s="1"/>
  <c r="O1170" i="1525" s="1"/>
  <c r="K1169" i="1525"/>
  <c r="I1169" i="1525" s="1"/>
  <c r="M1169" i="1525" s="1"/>
  <c r="N1169" i="1525" s="1"/>
  <c r="O1169" i="1525" s="1"/>
  <c r="K1168" i="1525"/>
  <c r="I1168" i="1525" s="1"/>
  <c r="M1168" i="1525" s="1"/>
  <c r="N1168" i="1525" s="1"/>
  <c r="O1168" i="1525" s="1"/>
  <c r="K1167" i="1525"/>
  <c r="I1167" i="1525" s="1"/>
  <c r="M1167" i="1525" s="1"/>
  <c r="N1167" i="1525" s="1"/>
  <c r="O1167" i="1525" s="1"/>
  <c r="K1166" i="1525"/>
  <c r="I1166" i="1525" s="1"/>
  <c r="M1166" i="1525" s="1"/>
  <c r="N1166" i="1525" s="1"/>
  <c r="O1166" i="1525" s="1"/>
  <c r="K1165" i="1525"/>
  <c r="I1165" i="1525" s="1"/>
  <c r="M1165" i="1525" s="1"/>
  <c r="N1165" i="1525" s="1"/>
  <c r="O1165" i="1525" s="1"/>
  <c r="K1164" i="1525"/>
  <c r="I1164" i="1525" s="1"/>
  <c r="M1164" i="1525" s="1"/>
  <c r="N1164" i="1525" s="1"/>
  <c r="O1164" i="1525" s="1"/>
  <c r="K1163" i="1525"/>
  <c r="I1163" i="1525" s="1"/>
  <c r="M1163" i="1525" s="1"/>
  <c r="N1163" i="1525" s="1"/>
  <c r="O1163" i="1525" s="1"/>
  <c r="K1162" i="1525"/>
  <c r="I1162" i="1525" s="1"/>
  <c r="M1162" i="1525" s="1"/>
  <c r="N1162" i="1525" s="1"/>
  <c r="O1162" i="1525" s="1"/>
  <c r="K1161" i="1525"/>
  <c r="I1161" i="1525" s="1"/>
  <c r="M1161" i="1525" s="1"/>
  <c r="N1161" i="1525" s="1"/>
  <c r="O1161" i="1525" s="1"/>
  <c r="K1160" i="1525"/>
  <c r="I1160" i="1525" s="1"/>
  <c r="M1160" i="1525" s="1"/>
  <c r="N1160" i="1525" s="1"/>
  <c r="O1160" i="1525" s="1"/>
  <c r="K1159" i="1525"/>
  <c r="I1159" i="1525" s="1"/>
  <c r="M1159" i="1525" s="1"/>
  <c r="N1159" i="1525" s="1"/>
  <c r="O1159" i="1525" s="1"/>
  <c r="K1158" i="1525"/>
  <c r="I1158" i="1525" s="1"/>
  <c r="M1158" i="1525" s="1"/>
  <c r="N1158" i="1525" s="1"/>
  <c r="O1158" i="1525" s="1"/>
  <c r="K1157" i="1525"/>
  <c r="I1157" i="1525" s="1"/>
  <c r="M1157" i="1525" s="1"/>
  <c r="N1157" i="1525" s="1"/>
  <c r="O1157" i="1525" s="1"/>
  <c r="K1156" i="1525"/>
  <c r="I1156" i="1525" s="1"/>
  <c r="M1156" i="1525" s="1"/>
  <c r="N1156" i="1525" s="1"/>
  <c r="O1156" i="1525" s="1"/>
  <c r="K1155" i="1525"/>
  <c r="I1155" i="1525" s="1"/>
  <c r="M1155" i="1525" s="1"/>
  <c r="N1155" i="1525" s="1"/>
  <c r="O1155" i="1525" s="1"/>
  <c r="K1154" i="1525"/>
  <c r="I1154" i="1525" s="1"/>
  <c r="M1154" i="1525" s="1"/>
  <c r="N1154" i="1525" s="1"/>
  <c r="O1154" i="1525" s="1"/>
  <c r="K1153" i="1525"/>
  <c r="I1153" i="1525" s="1"/>
  <c r="M1153" i="1525" s="1"/>
  <c r="N1153" i="1525" s="1"/>
  <c r="O1153" i="1525" s="1"/>
  <c r="K1152" i="1525"/>
  <c r="I1152" i="1525" s="1"/>
  <c r="M1152" i="1525" s="1"/>
  <c r="N1152" i="1525" s="1"/>
  <c r="O1152" i="1525" s="1"/>
  <c r="K1151" i="1525"/>
  <c r="I1151" i="1525" s="1"/>
  <c r="M1151" i="1525" s="1"/>
  <c r="N1151" i="1525" s="1"/>
  <c r="O1151" i="1525" s="1"/>
  <c r="K1150" i="1525"/>
  <c r="I1150" i="1525" s="1"/>
  <c r="M1150" i="1525" s="1"/>
  <c r="N1150" i="1525" s="1"/>
  <c r="O1150" i="1525" s="1"/>
  <c r="K1149" i="1525"/>
  <c r="I1149" i="1525" s="1"/>
  <c r="M1149" i="1525" s="1"/>
  <c r="N1149" i="1525" s="1"/>
  <c r="O1149" i="1525" s="1"/>
  <c r="K1148" i="1525"/>
  <c r="I1148" i="1525" s="1"/>
  <c r="M1148" i="1525" s="1"/>
  <c r="N1148" i="1525" s="1"/>
  <c r="O1148" i="1525" s="1"/>
  <c r="K1147" i="1525"/>
  <c r="I1147" i="1525" s="1"/>
  <c r="M1147" i="1525" s="1"/>
  <c r="N1147" i="1525" s="1"/>
  <c r="O1147" i="1525" s="1"/>
  <c r="K1146" i="1525"/>
  <c r="I1146" i="1525" s="1"/>
  <c r="M1146" i="1525" s="1"/>
  <c r="N1146" i="1525" s="1"/>
  <c r="O1146" i="1525" s="1"/>
  <c r="K1145" i="1525"/>
  <c r="I1145" i="1525" s="1"/>
  <c r="M1145" i="1525" s="1"/>
  <c r="N1145" i="1525" s="1"/>
  <c r="O1145" i="1525" s="1"/>
  <c r="K1144" i="1525"/>
  <c r="I1144" i="1525" s="1"/>
  <c r="M1144" i="1525" s="1"/>
  <c r="N1144" i="1525" s="1"/>
  <c r="O1144" i="1525" s="1"/>
  <c r="K1143" i="1525"/>
  <c r="I1143" i="1525" s="1"/>
  <c r="M1143" i="1525" s="1"/>
  <c r="N1143" i="1525" s="1"/>
  <c r="O1143" i="1525" s="1"/>
  <c r="K1142" i="1525"/>
  <c r="I1142" i="1525" s="1"/>
  <c r="M1142" i="1525" s="1"/>
  <c r="N1142" i="1525" s="1"/>
  <c r="O1142" i="1525" s="1"/>
  <c r="K1141" i="1525"/>
  <c r="I1141" i="1525" s="1"/>
  <c r="M1141" i="1525" s="1"/>
  <c r="N1141" i="1525" s="1"/>
  <c r="O1141" i="1525" s="1"/>
  <c r="K1140" i="1525"/>
  <c r="I1140" i="1525" s="1"/>
  <c r="M1140" i="1525" s="1"/>
  <c r="N1140" i="1525" s="1"/>
  <c r="O1140" i="1525" s="1"/>
  <c r="K1139" i="1525"/>
  <c r="I1139" i="1525" s="1"/>
  <c r="M1139" i="1525" s="1"/>
  <c r="N1139" i="1525" s="1"/>
  <c r="O1139" i="1525" s="1"/>
  <c r="K1138" i="1525"/>
  <c r="I1138" i="1525" s="1"/>
  <c r="M1138" i="1525" s="1"/>
  <c r="N1138" i="1525" s="1"/>
  <c r="O1138" i="1525" s="1"/>
  <c r="K1137" i="1525"/>
  <c r="I1137" i="1525" s="1"/>
  <c r="M1137" i="1525" s="1"/>
  <c r="N1137" i="1525" s="1"/>
  <c r="O1137" i="1525" s="1"/>
  <c r="K1136" i="1525"/>
  <c r="I1136" i="1525" s="1"/>
  <c r="M1136" i="1525" s="1"/>
  <c r="N1136" i="1525" s="1"/>
  <c r="O1136" i="1525" s="1"/>
  <c r="K1135" i="1525"/>
  <c r="I1135" i="1525" s="1"/>
  <c r="M1135" i="1525" s="1"/>
  <c r="N1135" i="1525" s="1"/>
  <c r="O1135" i="1525" s="1"/>
  <c r="K1134" i="1525"/>
  <c r="I1134" i="1525" s="1"/>
  <c r="M1134" i="1525" s="1"/>
  <c r="N1134" i="1525" s="1"/>
  <c r="O1134" i="1525" s="1"/>
  <c r="K1133" i="1525"/>
  <c r="I1133" i="1525" s="1"/>
  <c r="M1133" i="1525" s="1"/>
  <c r="N1133" i="1525" s="1"/>
  <c r="O1133" i="1525" s="1"/>
  <c r="K1132" i="1525"/>
  <c r="I1132" i="1525" s="1"/>
  <c r="M1132" i="1525" s="1"/>
  <c r="N1132" i="1525" s="1"/>
  <c r="O1132" i="1525" s="1"/>
  <c r="K1131" i="1525"/>
  <c r="I1131" i="1525" s="1"/>
  <c r="M1131" i="1525" s="1"/>
  <c r="N1131" i="1525" s="1"/>
  <c r="O1131" i="1525" s="1"/>
  <c r="K1130" i="1525"/>
  <c r="I1130" i="1525" s="1"/>
  <c r="M1130" i="1525" s="1"/>
  <c r="N1130" i="1525" s="1"/>
  <c r="O1130" i="1525" s="1"/>
  <c r="K1129" i="1525"/>
  <c r="I1129" i="1525" s="1"/>
  <c r="M1129" i="1525" s="1"/>
  <c r="N1129" i="1525" s="1"/>
  <c r="O1129" i="1525" s="1"/>
  <c r="K1128" i="1525"/>
  <c r="I1128" i="1525" s="1"/>
  <c r="M1128" i="1525" s="1"/>
  <c r="N1128" i="1525" s="1"/>
  <c r="O1128" i="1525" s="1"/>
  <c r="K1127" i="1525"/>
  <c r="I1127" i="1525" s="1"/>
  <c r="M1127" i="1525" s="1"/>
  <c r="N1127" i="1525" s="1"/>
  <c r="O1127" i="1525" s="1"/>
  <c r="K1126" i="1525"/>
  <c r="I1126" i="1525" s="1"/>
  <c r="M1126" i="1525" s="1"/>
  <c r="N1126" i="1525" s="1"/>
  <c r="O1126" i="1525" s="1"/>
  <c r="K1125" i="1525"/>
  <c r="I1125" i="1525" s="1"/>
  <c r="M1125" i="1525" s="1"/>
  <c r="N1125" i="1525" s="1"/>
  <c r="O1125" i="1525" s="1"/>
  <c r="K1124" i="1525"/>
  <c r="I1124" i="1525" s="1"/>
  <c r="M1124" i="1525" s="1"/>
  <c r="N1124" i="1525" s="1"/>
  <c r="O1124" i="1525" s="1"/>
  <c r="K1123" i="1525"/>
  <c r="I1123" i="1525" s="1"/>
  <c r="M1123" i="1525" s="1"/>
  <c r="N1123" i="1525" s="1"/>
  <c r="O1123" i="1525" s="1"/>
  <c r="K1122" i="1525"/>
  <c r="I1122" i="1525" s="1"/>
  <c r="M1122" i="1525" s="1"/>
  <c r="N1122" i="1525" s="1"/>
  <c r="O1122" i="1525" s="1"/>
  <c r="K1121" i="1525"/>
  <c r="I1121" i="1525" s="1"/>
  <c r="M1121" i="1525" s="1"/>
  <c r="N1121" i="1525" s="1"/>
  <c r="O1121" i="1525" s="1"/>
  <c r="K1120" i="1525"/>
  <c r="I1120" i="1525" s="1"/>
  <c r="M1120" i="1525" s="1"/>
  <c r="N1120" i="1525" s="1"/>
  <c r="O1120" i="1525" s="1"/>
  <c r="K1119" i="1525"/>
  <c r="I1119" i="1525" s="1"/>
  <c r="M1119" i="1525" s="1"/>
  <c r="N1119" i="1525" s="1"/>
  <c r="O1119" i="1525" s="1"/>
  <c r="K1118" i="1525"/>
  <c r="I1118" i="1525" s="1"/>
  <c r="M1118" i="1525" s="1"/>
  <c r="N1118" i="1525" s="1"/>
  <c r="O1118" i="1525" s="1"/>
  <c r="K1117" i="1525"/>
  <c r="I1117" i="1525" s="1"/>
  <c r="M1117" i="1525" s="1"/>
  <c r="N1117" i="1525" s="1"/>
  <c r="O1117" i="1525" s="1"/>
  <c r="K1116" i="1525"/>
  <c r="I1116" i="1525" s="1"/>
  <c r="M1116" i="1525" s="1"/>
  <c r="N1116" i="1525" s="1"/>
  <c r="O1116" i="1525" s="1"/>
  <c r="K1115" i="1525"/>
  <c r="I1115" i="1525" s="1"/>
  <c r="M1115" i="1525" s="1"/>
  <c r="N1115" i="1525" s="1"/>
  <c r="O1115" i="1525" s="1"/>
  <c r="K1114" i="1525"/>
  <c r="I1114" i="1525" s="1"/>
  <c r="M1114" i="1525" s="1"/>
  <c r="N1114" i="1525" s="1"/>
  <c r="O1114" i="1525" s="1"/>
  <c r="K1113" i="1525"/>
  <c r="I1113" i="1525" s="1"/>
  <c r="M1113" i="1525" s="1"/>
  <c r="N1113" i="1525" s="1"/>
  <c r="O1113" i="1525" s="1"/>
  <c r="K1112" i="1525"/>
  <c r="I1112" i="1525" s="1"/>
  <c r="M1112" i="1525" s="1"/>
  <c r="N1112" i="1525" s="1"/>
  <c r="O1112" i="1525" s="1"/>
  <c r="K1111" i="1525"/>
  <c r="I1111" i="1525" s="1"/>
  <c r="M1111" i="1525" s="1"/>
  <c r="N1111" i="1525" s="1"/>
  <c r="O1111" i="1525" s="1"/>
  <c r="K1110" i="1525"/>
  <c r="I1110" i="1525" s="1"/>
  <c r="M1110" i="1525" s="1"/>
  <c r="N1110" i="1525" s="1"/>
  <c r="O1110" i="1525" s="1"/>
  <c r="K1109" i="1525"/>
  <c r="I1109" i="1525" s="1"/>
  <c r="M1109" i="1525" s="1"/>
  <c r="N1109" i="1525" s="1"/>
  <c r="O1109" i="1525" s="1"/>
  <c r="K1108" i="1525"/>
  <c r="I1108" i="1525" s="1"/>
  <c r="M1108" i="1525" s="1"/>
  <c r="N1108" i="1525" s="1"/>
  <c r="O1108" i="1525" s="1"/>
  <c r="K1107" i="1525"/>
  <c r="I1107" i="1525" s="1"/>
  <c r="M1107" i="1525" s="1"/>
  <c r="N1107" i="1525" s="1"/>
  <c r="O1107" i="1525" s="1"/>
  <c r="K1106" i="1525"/>
  <c r="I1106" i="1525" s="1"/>
  <c r="M1106" i="1525" s="1"/>
  <c r="N1106" i="1525" s="1"/>
  <c r="O1106" i="1525" s="1"/>
  <c r="K1105" i="1525"/>
  <c r="I1105" i="1525" s="1"/>
  <c r="M1105" i="1525" s="1"/>
  <c r="N1105" i="1525" s="1"/>
  <c r="O1105" i="1525" s="1"/>
  <c r="K1104" i="1525"/>
  <c r="I1104" i="1525" s="1"/>
  <c r="M1104" i="1525" s="1"/>
  <c r="N1104" i="1525" s="1"/>
  <c r="O1104" i="1525" s="1"/>
  <c r="K1103" i="1525"/>
  <c r="I1103" i="1525" s="1"/>
  <c r="M1103" i="1525" s="1"/>
  <c r="N1103" i="1525" s="1"/>
  <c r="O1103" i="1525" s="1"/>
  <c r="K1102" i="1525"/>
  <c r="I1102" i="1525" s="1"/>
  <c r="M1102" i="1525" s="1"/>
  <c r="N1102" i="1525" s="1"/>
  <c r="O1102" i="1525" s="1"/>
  <c r="K1101" i="1525"/>
  <c r="I1101" i="1525" s="1"/>
  <c r="M1101" i="1525" s="1"/>
  <c r="N1101" i="1525" s="1"/>
  <c r="O1101" i="1525" s="1"/>
  <c r="K1100" i="1525"/>
  <c r="I1100" i="1525" s="1"/>
  <c r="M1100" i="1525" s="1"/>
  <c r="N1100" i="1525" s="1"/>
  <c r="O1100" i="1525" s="1"/>
  <c r="K1099" i="1525"/>
  <c r="I1099" i="1525" s="1"/>
  <c r="M1099" i="1525" s="1"/>
  <c r="N1099" i="1525" s="1"/>
  <c r="O1099" i="1525" s="1"/>
  <c r="K1098" i="1525"/>
  <c r="I1098" i="1525" s="1"/>
  <c r="M1098" i="1525" s="1"/>
  <c r="N1098" i="1525" s="1"/>
  <c r="O1098" i="1525" s="1"/>
  <c r="K1097" i="1525"/>
  <c r="I1097" i="1525" s="1"/>
  <c r="M1097" i="1525" s="1"/>
  <c r="N1097" i="1525" s="1"/>
  <c r="O1097" i="1525" s="1"/>
  <c r="K1096" i="1525"/>
  <c r="I1096" i="1525" s="1"/>
  <c r="M1096" i="1525" s="1"/>
  <c r="N1096" i="1525" s="1"/>
  <c r="O1096" i="1525" s="1"/>
  <c r="K1095" i="1525"/>
  <c r="I1095" i="1525" s="1"/>
  <c r="M1095" i="1525" s="1"/>
  <c r="N1095" i="1525" s="1"/>
  <c r="O1095" i="1525" s="1"/>
  <c r="K1094" i="1525"/>
  <c r="I1094" i="1525" s="1"/>
  <c r="M1094" i="1525" s="1"/>
  <c r="N1094" i="1525" s="1"/>
  <c r="O1094" i="1525" s="1"/>
  <c r="K1093" i="1525"/>
  <c r="I1093" i="1525" s="1"/>
  <c r="M1093" i="1525" s="1"/>
  <c r="N1093" i="1525" s="1"/>
  <c r="O1093" i="1525" s="1"/>
  <c r="K1092" i="1525"/>
  <c r="I1092" i="1525" s="1"/>
  <c r="M1092" i="1525" s="1"/>
  <c r="N1092" i="1525" s="1"/>
  <c r="O1092" i="1525" s="1"/>
  <c r="K1091" i="1525"/>
  <c r="I1091" i="1525" s="1"/>
  <c r="M1091" i="1525" s="1"/>
  <c r="N1091" i="1525" s="1"/>
  <c r="O1091" i="1525" s="1"/>
  <c r="K1090" i="1525"/>
  <c r="I1090" i="1525" s="1"/>
  <c r="M1090" i="1525" s="1"/>
  <c r="N1090" i="1525" s="1"/>
  <c r="O1090" i="1525" s="1"/>
  <c r="K1089" i="1525"/>
  <c r="I1089" i="1525" s="1"/>
  <c r="M1089" i="1525" s="1"/>
  <c r="N1089" i="1525" s="1"/>
  <c r="O1089" i="1525" s="1"/>
  <c r="K1088" i="1525"/>
  <c r="I1088" i="1525" s="1"/>
  <c r="M1088" i="1525" s="1"/>
  <c r="N1088" i="1525" s="1"/>
  <c r="O1088" i="1525" s="1"/>
  <c r="K1087" i="1525"/>
  <c r="I1087" i="1525" s="1"/>
  <c r="M1087" i="1525" s="1"/>
  <c r="N1087" i="1525" s="1"/>
  <c r="O1087" i="1525" s="1"/>
  <c r="K1086" i="1525"/>
  <c r="I1086" i="1525" s="1"/>
  <c r="M1086" i="1525" s="1"/>
  <c r="N1086" i="1525" s="1"/>
  <c r="O1086" i="1525" s="1"/>
  <c r="K1085" i="1525"/>
  <c r="I1085" i="1525" s="1"/>
  <c r="M1085" i="1525" s="1"/>
  <c r="N1085" i="1525" s="1"/>
  <c r="O1085" i="1525" s="1"/>
  <c r="K1084" i="1525"/>
  <c r="I1084" i="1525" s="1"/>
  <c r="M1084" i="1525" s="1"/>
  <c r="N1084" i="1525" s="1"/>
  <c r="O1084" i="1525" s="1"/>
  <c r="K1083" i="1525"/>
  <c r="I1083" i="1525" s="1"/>
  <c r="M1083" i="1525" s="1"/>
  <c r="N1083" i="1525" s="1"/>
  <c r="O1083" i="1525" s="1"/>
  <c r="K1082" i="1525"/>
  <c r="I1082" i="1525" s="1"/>
  <c r="M1082" i="1525" s="1"/>
  <c r="N1082" i="1525" s="1"/>
  <c r="O1082" i="1525" s="1"/>
  <c r="K1081" i="1525"/>
  <c r="I1081" i="1525" s="1"/>
  <c r="M1081" i="1525" s="1"/>
  <c r="N1081" i="1525" s="1"/>
  <c r="O1081" i="1525" s="1"/>
  <c r="K1080" i="1525"/>
  <c r="I1080" i="1525" s="1"/>
  <c r="M1080" i="1525" s="1"/>
  <c r="N1080" i="1525" s="1"/>
  <c r="O1080" i="1525" s="1"/>
  <c r="K1079" i="1525"/>
  <c r="I1079" i="1525" s="1"/>
  <c r="M1079" i="1525" s="1"/>
  <c r="N1079" i="1525" s="1"/>
  <c r="O1079" i="1525" s="1"/>
  <c r="K1078" i="1525"/>
  <c r="I1078" i="1525" s="1"/>
  <c r="M1078" i="1525" s="1"/>
  <c r="N1078" i="1525" s="1"/>
  <c r="O1078" i="1525" s="1"/>
  <c r="K1077" i="1525"/>
  <c r="I1077" i="1525" s="1"/>
  <c r="M1077" i="1525" s="1"/>
  <c r="N1077" i="1525" s="1"/>
  <c r="O1077" i="1525" s="1"/>
  <c r="K1076" i="1525"/>
  <c r="I1076" i="1525" s="1"/>
  <c r="M1076" i="1525" s="1"/>
  <c r="N1076" i="1525" s="1"/>
  <c r="O1076" i="1525" s="1"/>
  <c r="K1075" i="1525"/>
  <c r="I1075" i="1525" s="1"/>
  <c r="M1075" i="1525" s="1"/>
  <c r="N1075" i="1525" s="1"/>
  <c r="O1075" i="1525" s="1"/>
  <c r="K1074" i="1525"/>
  <c r="I1074" i="1525" s="1"/>
  <c r="M1074" i="1525" s="1"/>
  <c r="N1074" i="1525" s="1"/>
  <c r="O1074" i="1525" s="1"/>
  <c r="K1073" i="1525"/>
  <c r="I1073" i="1525" s="1"/>
  <c r="M1073" i="1525" s="1"/>
  <c r="N1073" i="1525" s="1"/>
  <c r="O1073" i="1525" s="1"/>
  <c r="K1072" i="1525"/>
  <c r="I1072" i="1525" s="1"/>
  <c r="M1072" i="1525" s="1"/>
  <c r="N1072" i="1525" s="1"/>
  <c r="O1072" i="1525" s="1"/>
  <c r="K1071" i="1525"/>
  <c r="I1071" i="1525" s="1"/>
  <c r="M1071" i="1525" s="1"/>
  <c r="N1071" i="1525" s="1"/>
  <c r="O1071" i="1525" s="1"/>
  <c r="K1070" i="1525"/>
  <c r="I1070" i="1525" s="1"/>
  <c r="M1070" i="1525" s="1"/>
  <c r="N1070" i="1525" s="1"/>
  <c r="O1070" i="1525" s="1"/>
  <c r="K1069" i="1525"/>
  <c r="I1069" i="1525" s="1"/>
  <c r="M1069" i="1525" s="1"/>
  <c r="N1069" i="1525" s="1"/>
  <c r="O1069" i="1525" s="1"/>
  <c r="K1068" i="1525"/>
  <c r="I1068" i="1525" s="1"/>
  <c r="M1068" i="1525" s="1"/>
  <c r="N1068" i="1525" s="1"/>
  <c r="O1068" i="1525" s="1"/>
  <c r="K1067" i="1525"/>
  <c r="I1067" i="1525" s="1"/>
  <c r="M1067" i="1525" s="1"/>
  <c r="N1067" i="1525" s="1"/>
  <c r="O1067" i="1525" s="1"/>
  <c r="K1066" i="1525"/>
  <c r="I1066" i="1525" s="1"/>
  <c r="M1066" i="1525" s="1"/>
  <c r="N1066" i="1525" s="1"/>
  <c r="O1066" i="1525" s="1"/>
  <c r="K1065" i="1525"/>
  <c r="I1065" i="1525" s="1"/>
  <c r="M1065" i="1525" s="1"/>
  <c r="N1065" i="1525" s="1"/>
  <c r="O1065" i="1525" s="1"/>
  <c r="K1064" i="1525"/>
  <c r="I1064" i="1525" s="1"/>
  <c r="M1064" i="1525" s="1"/>
  <c r="N1064" i="1525" s="1"/>
  <c r="O1064" i="1525" s="1"/>
  <c r="K1063" i="1525"/>
  <c r="I1063" i="1525" s="1"/>
  <c r="M1063" i="1525" s="1"/>
  <c r="N1063" i="1525" s="1"/>
  <c r="O1063" i="1525" s="1"/>
  <c r="K1062" i="1525"/>
  <c r="I1062" i="1525" s="1"/>
  <c r="M1062" i="1525" s="1"/>
  <c r="N1062" i="1525" s="1"/>
  <c r="O1062" i="1525" s="1"/>
  <c r="K1061" i="1525"/>
  <c r="I1061" i="1525" s="1"/>
  <c r="M1061" i="1525" s="1"/>
  <c r="N1061" i="1525" s="1"/>
  <c r="O1061" i="1525" s="1"/>
  <c r="K1060" i="1525"/>
  <c r="I1060" i="1525" s="1"/>
  <c r="M1060" i="1525" s="1"/>
  <c r="N1060" i="1525" s="1"/>
  <c r="O1060" i="1525" s="1"/>
  <c r="K1059" i="1525"/>
  <c r="I1059" i="1525" s="1"/>
  <c r="M1059" i="1525" s="1"/>
  <c r="N1059" i="1525" s="1"/>
  <c r="O1059" i="1525" s="1"/>
  <c r="K1058" i="1525"/>
  <c r="I1058" i="1525" s="1"/>
  <c r="M1058" i="1525" s="1"/>
  <c r="N1058" i="1525" s="1"/>
  <c r="O1058" i="1525" s="1"/>
  <c r="K1057" i="1525"/>
  <c r="I1057" i="1525" s="1"/>
  <c r="M1057" i="1525" s="1"/>
  <c r="N1057" i="1525" s="1"/>
  <c r="O1057" i="1525" s="1"/>
  <c r="K1056" i="1525"/>
  <c r="I1056" i="1525" s="1"/>
  <c r="M1056" i="1525" s="1"/>
  <c r="N1056" i="1525" s="1"/>
  <c r="O1056" i="1525" s="1"/>
  <c r="K1055" i="1525"/>
  <c r="I1055" i="1525" s="1"/>
  <c r="M1055" i="1525" s="1"/>
  <c r="N1055" i="1525" s="1"/>
  <c r="O1055" i="1525" s="1"/>
  <c r="K1054" i="1525"/>
  <c r="I1054" i="1525" s="1"/>
  <c r="M1054" i="1525" s="1"/>
  <c r="N1054" i="1525" s="1"/>
  <c r="O1054" i="1525" s="1"/>
  <c r="K1053" i="1525"/>
  <c r="I1053" i="1525" s="1"/>
  <c r="M1053" i="1525" s="1"/>
  <c r="N1053" i="1525" s="1"/>
  <c r="O1053" i="1525" s="1"/>
  <c r="K1052" i="1525"/>
  <c r="I1052" i="1525" s="1"/>
  <c r="M1052" i="1525" s="1"/>
  <c r="N1052" i="1525" s="1"/>
  <c r="O1052" i="1525" s="1"/>
  <c r="K1051" i="1525"/>
  <c r="I1051" i="1525" s="1"/>
  <c r="M1051" i="1525" s="1"/>
  <c r="N1051" i="1525" s="1"/>
  <c r="O1051" i="1525" s="1"/>
  <c r="K1050" i="1525"/>
  <c r="I1050" i="1525" s="1"/>
  <c r="M1050" i="1525" s="1"/>
  <c r="N1050" i="1525" s="1"/>
  <c r="O1050" i="1525" s="1"/>
  <c r="K1049" i="1525"/>
  <c r="I1049" i="1525" s="1"/>
  <c r="M1049" i="1525" s="1"/>
  <c r="N1049" i="1525" s="1"/>
  <c r="O1049" i="1525" s="1"/>
  <c r="K1048" i="1525"/>
  <c r="I1048" i="1525" s="1"/>
  <c r="M1048" i="1525" s="1"/>
  <c r="N1048" i="1525" s="1"/>
  <c r="O1048" i="1525" s="1"/>
  <c r="K1047" i="1525"/>
  <c r="I1047" i="1525" s="1"/>
  <c r="M1047" i="1525" s="1"/>
  <c r="N1047" i="1525" s="1"/>
  <c r="O1047" i="1525" s="1"/>
  <c r="K1046" i="1525"/>
  <c r="I1046" i="1525" s="1"/>
  <c r="M1046" i="1525" s="1"/>
  <c r="N1046" i="1525" s="1"/>
  <c r="O1046" i="1525" s="1"/>
  <c r="K1045" i="1525"/>
  <c r="I1045" i="1525" s="1"/>
  <c r="M1045" i="1525" s="1"/>
  <c r="N1045" i="1525" s="1"/>
  <c r="O1045" i="1525" s="1"/>
  <c r="K1044" i="1525"/>
  <c r="I1044" i="1525" s="1"/>
  <c r="M1044" i="1525" s="1"/>
  <c r="N1044" i="1525" s="1"/>
  <c r="O1044" i="1525" s="1"/>
  <c r="K1043" i="1525"/>
  <c r="I1043" i="1525" s="1"/>
  <c r="M1043" i="1525" s="1"/>
  <c r="N1043" i="1525" s="1"/>
  <c r="O1043" i="1525" s="1"/>
  <c r="K1042" i="1525"/>
  <c r="I1042" i="1525" s="1"/>
  <c r="M1042" i="1525" s="1"/>
  <c r="N1042" i="1525" s="1"/>
  <c r="O1042" i="1525" s="1"/>
  <c r="K1041" i="1525"/>
  <c r="I1041" i="1525" s="1"/>
  <c r="M1041" i="1525" s="1"/>
  <c r="N1041" i="1525" s="1"/>
  <c r="O1041" i="1525" s="1"/>
  <c r="K1040" i="1525"/>
  <c r="I1040" i="1525" s="1"/>
  <c r="M1040" i="1525" s="1"/>
  <c r="N1040" i="1525" s="1"/>
  <c r="O1040" i="1525" s="1"/>
  <c r="K1039" i="1525"/>
  <c r="I1039" i="1525" s="1"/>
  <c r="M1039" i="1525" s="1"/>
  <c r="N1039" i="1525" s="1"/>
  <c r="O1039" i="1525" s="1"/>
  <c r="K1038" i="1525"/>
  <c r="I1038" i="1525" s="1"/>
  <c r="M1038" i="1525" s="1"/>
  <c r="N1038" i="1525" s="1"/>
  <c r="O1038" i="1525" s="1"/>
  <c r="K1037" i="1525"/>
  <c r="I1037" i="1525" s="1"/>
  <c r="M1037" i="1525" s="1"/>
  <c r="N1037" i="1525" s="1"/>
  <c r="O1037" i="1525" s="1"/>
  <c r="K1036" i="1525"/>
  <c r="I1036" i="1525" s="1"/>
  <c r="M1036" i="1525" s="1"/>
  <c r="N1036" i="1525" s="1"/>
  <c r="O1036" i="1525" s="1"/>
  <c r="K1035" i="1525"/>
  <c r="I1035" i="1525" s="1"/>
  <c r="M1035" i="1525" s="1"/>
  <c r="N1035" i="1525" s="1"/>
  <c r="O1035" i="1525" s="1"/>
  <c r="K1034" i="1525"/>
  <c r="I1034" i="1525" s="1"/>
  <c r="M1034" i="1525" s="1"/>
  <c r="N1034" i="1525" s="1"/>
  <c r="O1034" i="1525" s="1"/>
  <c r="K1033" i="1525"/>
  <c r="I1033" i="1525" s="1"/>
  <c r="M1033" i="1525" s="1"/>
  <c r="N1033" i="1525" s="1"/>
  <c r="O1033" i="1525" s="1"/>
  <c r="K1032" i="1525"/>
  <c r="I1032" i="1525" s="1"/>
  <c r="M1032" i="1525" s="1"/>
  <c r="N1032" i="1525" s="1"/>
  <c r="O1032" i="1525" s="1"/>
  <c r="K1031" i="1525"/>
  <c r="I1031" i="1525" s="1"/>
  <c r="M1031" i="1525" s="1"/>
  <c r="N1031" i="1525" s="1"/>
  <c r="O1031" i="1525" s="1"/>
  <c r="K1030" i="1525"/>
  <c r="I1030" i="1525" s="1"/>
  <c r="M1030" i="1525" s="1"/>
  <c r="N1030" i="1525" s="1"/>
  <c r="O1030" i="1525" s="1"/>
  <c r="K1029" i="1525"/>
  <c r="I1029" i="1525" s="1"/>
  <c r="M1029" i="1525" s="1"/>
  <c r="N1029" i="1525" s="1"/>
  <c r="O1029" i="1525" s="1"/>
  <c r="K1028" i="1525"/>
  <c r="I1028" i="1525" s="1"/>
  <c r="M1028" i="1525" s="1"/>
  <c r="N1028" i="1525" s="1"/>
  <c r="O1028" i="1525" s="1"/>
  <c r="K1027" i="1525"/>
  <c r="I1027" i="1525" s="1"/>
  <c r="M1027" i="1525" s="1"/>
  <c r="N1027" i="1525" s="1"/>
  <c r="O1027" i="1525" s="1"/>
  <c r="K1026" i="1525"/>
  <c r="I1026" i="1525" s="1"/>
  <c r="M1026" i="1525" s="1"/>
  <c r="N1026" i="1525" s="1"/>
  <c r="O1026" i="1525" s="1"/>
  <c r="K1025" i="1525"/>
  <c r="I1025" i="1525" s="1"/>
  <c r="M1025" i="1525" s="1"/>
  <c r="N1025" i="1525" s="1"/>
  <c r="O1025" i="1525" s="1"/>
  <c r="K1024" i="1525"/>
  <c r="I1024" i="1525" s="1"/>
  <c r="M1024" i="1525" s="1"/>
  <c r="N1024" i="1525" s="1"/>
  <c r="O1024" i="1525" s="1"/>
  <c r="K1023" i="1525"/>
  <c r="I1023" i="1525" s="1"/>
  <c r="M1023" i="1525" s="1"/>
  <c r="N1023" i="1525" s="1"/>
  <c r="O1023" i="1525" s="1"/>
  <c r="K1022" i="1525"/>
  <c r="I1022" i="1525" s="1"/>
  <c r="M1022" i="1525" s="1"/>
  <c r="N1022" i="1525" s="1"/>
  <c r="O1022" i="1525" s="1"/>
  <c r="K1021" i="1525"/>
  <c r="I1021" i="1525" s="1"/>
  <c r="M1021" i="1525" s="1"/>
  <c r="N1021" i="1525" s="1"/>
  <c r="O1021" i="1525" s="1"/>
  <c r="K1020" i="1525"/>
  <c r="I1020" i="1525" s="1"/>
  <c r="M1020" i="1525" s="1"/>
  <c r="N1020" i="1525" s="1"/>
  <c r="O1020" i="1525" s="1"/>
  <c r="K1019" i="1525"/>
  <c r="I1019" i="1525" s="1"/>
  <c r="M1019" i="1525" s="1"/>
  <c r="N1019" i="1525" s="1"/>
  <c r="O1019" i="1525" s="1"/>
  <c r="K1018" i="1525"/>
  <c r="I1018" i="1525" s="1"/>
  <c r="M1018" i="1525" s="1"/>
  <c r="N1018" i="1525" s="1"/>
  <c r="O1018" i="1525" s="1"/>
  <c r="K1017" i="1525"/>
  <c r="I1017" i="1525" s="1"/>
  <c r="M1017" i="1525" s="1"/>
  <c r="N1017" i="1525" s="1"/>
  <c r="O1017" i="1525" s="1"/>
  <c r="K1016" i="1525"/>
  <c r="I1016" i="1525" s="1"/>
  <c r="M1016" i="1525" s="1"/>
  <c r="N1016" i="1525" s="1"/>
  <c r="O1016" i="1525" s="1"/>
  <c r="K1015" i="1525"/>
  <c r="I1015" i="1525" s="1"/>
  <c r="M1015" i="1525" s="1"/>
  <c r="N1015" i="1525" s="1"/>
  <c r="O1015" i="1525" s="1"/>
  <c r="K1014" i="1525"/>
  <c r="I1014" i="1525" s="1"/>
  <c r="M1014" i="1525" s="1"/>
  <c r="N1014" i="1525" s="1"/>
  <c r="O1014" i="1525" s="1"/>
  <c r="K1013" i="1525"/>
  <c r="I1013" i="1525" s="1"/>
  <c r="M1013" i="1525" s="1"/>
  <c r="N1013" i="1525" s="1"/>
  <c r="O1013" i="1525" s="1"/>
  <c r="K1012" i="1525"/>
  <c r="I1012" i="1525" s="1"/>
  <c r="M1012" i="1525" s="1"/>
  <c r="N1012" i="1525" s="1"/>
  <c r="O1012" i="1525" s="1"/>
  <c r="K1011" i="1525"/>
  <c r="I1011" i="1525" s="1"/>
  <c r="M1011" i="1525" s="1"/>
  <c r="N1011" i="1525" s="1"/>
  <c r="O1011" i="1525" s="1"/>
  <c r="K1010" i="1525"/>
  <c r="I1010" i="1525" s="1"/>
  <c r="M1010" i="1525" s="1"/>
  <c r="N1010" i="1525" s="1"/>
  <c r="O1010" i="1525" s="1"/>
  <c r="K1009" i="1525"/>
  <c r="I1009" i="1525" s="1"/>
  <c r="M1009" i="1525" s="1"/>
  <c r="N1009" i="1525" s="1"/>
  <c r="O1009" i="1525" s="1"/>
  <c r="K1008" i="1525"/>
  <c r="I1008" i="1525" s="1"/>
  <c r="M1008" i="1525" s="1"/>
  <c r="N1008" i="1525" s="1"/>
  <c r="O1008" i="1525" s="1"/>
  <c r="K1007" i="1525"/>
  <c r="I1007" i="1525" s="1"/>
  <c r="M1007" i="1525" s="1"/>
  <c r="N1007" i="1525" s="1"/>
  <c r="O1007" i="1525" s="1"/>
  <c r="K1006" i="1525"/>
  <c r="I1006" i="1525" s="1"/>
  <c r="M1006" i="1525" s="1"/>
  <c r="N1006" i="1525" s="1"/>
  <c r="O1006" i="1525" s="1"/>
  <c r="K1005" i="1525"/>
  <c r="I1005" i="1525" s="1"/>
  <c r="M1005" i="1525" s="1"/>
  <c r="N1005" i="1525" s="1"/>
  <c r="O1005" i="1525" s="1"/>
  <c r="K1004" i="1525"/>
  <c r="I1004" i="1525" s="1"/>
  <c r="M1004" i="1525" s="1"/>
  <c r="N1004" i="1525" s="1"/>
  <c r="O1004" i="1525" s="1"/>
  <c r="K1003" i="1525"/>
  <c r="I1003" i="1525" s="1"/>
  <c r="M1003" i="1525" s="1"/>
  <c r="N1003" i="1525" s="1"/>
  <c r="O1003" i="1525" s="1"/>
  <c r="K1002" i="1525"/>
  <c r="I1002" i="1525" s="1"/>
  <c r="M1002" i="1525" s="1"/>
  <c r="N1002" i="1525" s="1"/>
  <c r="O1002" i="1525" s="1"/>
  <c r="K1001" i="1525"/>
  <c r="I1001" i="1525" s="1"/>
  <c r="M1001" i="1525" s="1"/>
  <c r="N1001" i="1525" s="1"/>
  <c r="O1001" i="1525" s="1"/>
  <c r="K1000" i="1525"/>
  <c r="I1000" i="1525" s="1"/>
  <c r="M1000" i="1525" s="1"/>
  <c r="N1000" i="1525" s="1"/>
  <c r="O1000" i="1525" s="1"/>
  <c r="K999" i="1525"/>
  <c r="I999" i="1525" s="1"/>
  <c r="M999" i="1525" s="1"/>
  <c r="N999" i="1525" s="1"/>
  <c r="O999" i="1525" s="1"/>
  <c r="K998" i="1525"/>
  <c r="I998" i="1525" s="1"/>
  <c r="M998" i="1525" s="1"/>
  <c r="N998" i="1525" s="1"/>
  <c r="O998" i="1525" s="1"/>
  <c r="K997" i="1525"/>
  <c r="I997" i="1525" s="1"/>
  <c r="M997" i="1525" s="1"/>
  <c r="N997" i="1525" s="1"/>
  <c r="O997" i="1525" s="1"/>
  <c r="K996" i="1525"/>
  <c r="I996" i="1525" s="1"/>
  <c r="M996" i="1525" s="1"/>
  <c r="N996" i="1525" s="1"/>
  <c r="O996" i="1525" s="1"/>
  <c r="K995" i="1525"/>
  <c r="I995" i="1525" s="1"/>
  <c r="M995" i="1525" s="1"/>
  <c r="N995" i="1525" s="1"/>
  <c r="O995" i="1525" s="1"/>
  <c r="K994" i="1525"/>
  <c r="I994" i="1525" s="1"/>
  <c r="M994" i="1525" s="1"/>
  <c r="N994" i="1525" s="1"/>
  <c r="O994" i="1525" s="1"/>
  <c r="K993" i="1525"/>
  <c r="I993" i="1525" s="1"/>
  <c r="M993" i="1525" s="1"/>
  <c r="N993" i="1525" s="1"/>
  <c r="O993" i="1525" s="1"/>
  <c r="K992" i="1525"/>
  <c r="I992" i="1525" s="1"/>
  <c r="M992" i="1525" s="1"/>
  <c r="N992" i="1525" s="1"/>
  <c r="O992" i="1525" s="1"/>
  <c r="K991" i="1525"/>
  <c r="I991" i="1525" s="1"/>
  <c r="M991" i="1525" s="1"/>
  <c r="N991" i="1525" s="1"/>
  <c r="O991" i="1525" s="1"/>
  <c r="K990" i="1525"/>
  <c r="I990" i="1525" s="1"/>
  <c r="M990" i="1525" s="1"/>
  <c r="N990" i="1525" s="1"/>
  <c r="O990" i="1525" s="1"/>
  <c r="K989" i="1525"/>
  <c r="I989" i="1525" s="1"/>
  <c r="M989" i="1525" s="1"/>
  <c r="N989" i="1525" s="1"/>
  <c r="O989" i="1525" s="1"/>
  <c r="K988" i="1525"/>
  <c r="I988" i="1525" s="1"/>
  <c r="M988" i="1525" s="1"/>
  <c r="N988" i="1525" s="1"/>
  <c r="O988" i="1525" s="1"/>
  <c r="K987" i="1525"/>
  <c r="I987" i="1525" s="1"/>
  <c r="M987" i="1525" s="1"/>
  <c r="N987" i="1525" s="1"/>
  <c r="O987" i="1525" s="1"/>
  <c r="K986" i="1525"/>
  <c r="I986" i="1525" s="1"/>
  <c r="M986" i="1525" s="1"/>
  <c r="N986" i="1525" s="1"/>
  <c r="O986" i="1525" s="1"/>
  <c r="K985" i="1525"/>
  <c r="I985" i="1525" s="1"/>
  <c r="M985" i="1525" s="1"/>
  <c r="N985" i="1525" s="1"/>
  <c r="O985" i="1525" s="1"/>
  <c r="K984" i="1525"/>
  <c r="I984" i="1525" s="1"/>
  <c r="M984" i="1525" s="1"/>
  <c r="N984" i="1525" s="1"/>
  <c r="O984" i="1525" s="1"/>
  <c r="K983" i="1525"/>
  <c r="I983" i="1525" s="1"/>
  <c r="M983" i="1525" s="1"/>
  <c r="N983" i="1525" s="1"/>
  <c r="O983" i="1525" s="1"/>
  <c r="K982" i="1525"/>
  <c r="I982" i="1525" s="1"/>
  <c r="M982" i="1525" s="1"/>
  <c r="N982" i="1525" s="1"/>
  <c r="O982" i="1525" s="1"/>
  <c r="K981" i="1525"/>
  <c r="I981" i="1525" s="1"/>
  <c r="M981" i="1525" s="1"/>
  <c r="N981" i="1525" s="1"/>
  <c r="O981" i="1525" s="1"/>
  <c r="K980" i="1525"/>
  <c r="I980" i="1525" s="1"/>
  <c r="M980" i="1525" s="1"/>
  <c r="N980" i="1525" s="1"/>
  <c r="O980" i="1525" s="1"/>
  <c r="K979" i="1525"/>
  <c r="I979" i="1525" s="1"/>
  <c r="M979" i="1525" s="1"/>
  <c r="N979" i="1525" s="1"/>
  <c r="O979" i="1525" s="1"/>
  <c r="K978" i="1525"/>
  <c r="I978" i="1525" s="1"/>
  <c r="M978" i="1525" s="1"/>
  <c r="N978" i="1525" s="1"/>
  <c r="O978" i="1525" s="1"/>
  <c r="K977" i="1525"/>
  <c r="I977" i="1525" s="1"/>
  <c r="M977" i="1525" s="1"/>
  <c r="N977" i="1525" s="1"/>
  <c r="O977" i="1525" s="1"/>
  <c r="K976" i="1525"/>
  <c r="I976" i="1525" s="1"/>
  <c r="M976" i="1525" s="1"/>
  <c r="N976" i="1525" s="1"/>
  <c r="O976" i="1525" s="1"/>
  <c r="K975" i="1525"/>
  <c r="I975" i="1525" s="1"/>
  <c r="M975" i="1525" s="1"/>
  <c r="N975" i="1525" s="1"/>
  <c r="O975" i="1525" s="1"/>
  <c r="K974" i="1525"/>
  <c r="I974" i="1525" s="1"/>
  <c r="M974" i="1525" s="1"/>
  <c r="N974" i="1525" s="1"/>
  <c r="O974" i="1525" s="1"/>
  <c r="K973" i="1525"/>
  <c r="I973" i="1525" s="1"/>
  <c r="M973" i="1525" s="1"/>
  <c r="N973" i="1525" s="1"/>
  <c r="O973" i="1525" s="1"/>
  <c r="K972" i="1525"/>
  <c r="I972" i="1525" s="1"/>
  <c r="M972" i="1525" s="1"/>
  <c r="N972" i="1525" s="1"/>
  <c r="O972" i="1525" s="1"/>
  <c r="K971" i="1525"/>
  <c r="I971" i="1525" s="1"/>
  <c r="M971" i="1525" s="1"/>
  <c r="N971" i="1525" s="1"/>
  <c r="O971" i="1525" s="1"/>
  <c r="K970" i="1525"/>
  <c r="I970" i="1525" s="1"/>
  <c r="M970" i="1525" s="1"/>
  <c r="N970" i="1525" s="1"/>
  <c r="O970" i="1525" s="1"/>
  <c r="K969" i="1525"/>
  <c r="I969" i="1525" s="1"/>
  <c r="M969" i="1525" s="1"/>
  <c r="N969" i="1525" s="1"/>
  <c r="O969" i="1525" s="1"/>
  <c r="K968" i="1525"/>
  <c r="I968" i="1525" s="1"/>
  <c r="M968" i="1525" s="1"/>
  <c r="N968" i="1525" s="1"/>
  <c r="O968" i="1525" s="1"/>
  <c r="K967" i="1525"/>
  <c r="I967" i="1525" s="1"/>
  <c r="M967" i="1525" s="1"/>
  <c r="N967" i="1525" s="1"/>
  <c r="O967" i="1525" s="1"/>
  <c r="K966" i="1525"/>
  <c r="I966" i="1525" s="1"/>
  <c r="M966" i="1525" s="1"/>
  <c r="N966" i="1525" s="1"/>
  <c r="O966" i="1525" s="1"/>
  <c r="K965" i="1525"/>
  <c r="I965" i="1525" s="1"/>
  <c r="M965" i="1525" s="1"/>
  <c r="N965" i="1525" s="1"/>
  <c r="O965" i="1525" s="1"/>
  <c r="K964" i="1525"/>
  <c r="I964" i="1525" s="1"/>
  <c r="M964" i="1525" s="1"/>
  <c r="N964" i="1525" s="1"/>
  <c r="O964" i="1525" s="1"/>
  <c r="K963" i="1525"/>
  <c r="I963" i="1525" s="1"/>
  <c r="M963" i="1525" s="1"/>
  <c r="N963" i="1525" s="1"/>
  <c r="O963" i="1525" s="1"/>
  <c r="K962" i="1525"/>
  <c r="I962" i="1525" s="1"/>
  <c r="M962" i="1525" s="1"/>
  <c r="N962" i="1525" s="1"/>
  <c r="O962" i="1525" s="1"/>
  <c r="K961" i="1525"/>
  <c r="I961" i="1525" s="1"/>
  <c r="M961" i="1525" s="1"/>
  <c r="N961" i="1525" s="1"/>
  <c r="O961" i="1525" s="1"/>
  <c r="K960" i="1525"/>
  <c r="I960" i="1525" s="1"/>
  <c r="M960" i="1525" s="1"/>
  <c r="N960" i="1525" s="1"/>
  <c r="O960" i="1525" s="1"/>
  <c r="K959" i="1525"/>
  <c r="I959" i="1525" s="1"/>
  <c r="M959" i="1525" s="1"/>
  <c r="N959" i="1525" s="1"/>
  <c r="O959" i="1525" s="1"/>
  <c r="K958" i="1525"/>
  <c r="I958" i="1525" s="1"/>
  <c r="M958" i="1525" s="1"/>
  <c r="N958" i="1525" s="1"/>
  <c r="O958" i="1525" s="1"/>
  <c r="K957" i="1525"/>
  <c r="I957" i="1525" s="1"/>
  <c r="M957" i="1525" s="1"/>
  <c r="N957" i="1525" s="1"/>
  <c r="O957" i="1525" s="1"/>
  <c r="K956" i="1525"/>
  <c r="I956" i="1525" s="1"/>
  <c r="M956" i="1525" s="1"/>
  <c r="N956" i="1525" s="1"/>
  <c r="O956" i="1525" s="1"/>
  <c r="K955" i="1525"/>
  <c r="I955" i="1525" s="1"/>
  <c r="M955" i="1525" s="1"/>
  <c r="N955" i="1525" s="1"/>
  <c r="O955" i="1525" s="1"/>
  <c r="K954" i="1525"/>
  <c r="I954" i="1525" s="1"/>
  <c r="M954" i="1525" s="1"/>
  <c r="N954" i="1525" s="1"/>
  <c r="O954" i="1525" s="1"/>
  <c r="K953" i="1525"/>
  <c r="I953" i="1525" s="1"/>
  <c r="M953" i="1525" s="1"/>
  <c r="N953" i="1525" s="1"/>
  <c r="O953" i="1525" s="1"/>
  <c r="K952" i="1525"/>
  <c r="I952" i="1525" s="1"/>
  <c r="M952" i="1525" s="1"/>
  <c r="N952" i="1525" s="1"/>
  <c r="O952" i="1525" s="1"/>
  <c r="K951" i="1525"/>
  <c r="I951" i="1525" s="1"/>
  <c r="M951" i="1525" s="1"/>
  <c r="N951" i="1525" s="1"/>
  <c r="O951" i="1525" s="1"/>
  <c r="K950" i="1525"/>
  <c r="I950" i="1525" s="1"/>
  <c r="M950" i="1525" s="1"/>
  <c r="N950" i="1525" s="1"/>
  <c r="O950" i="1525" s="1"/>
  <c r="K949" i="1525"/>
  <c r="I949" i="1525" s="1"/>
  <c r="M949" i="1525" s="1"/>
  <c r="N949" i="1525" s="1"/>
  <c r="O949" i="1525" s="1"/>
  <c r="K948" i="1525"/>
  <c r="I948" i="1525" s="1"/>
  <c r="M948" i="1525" s="1"/>
  <c r="N948" i="1525" s="1"/>
  <c r="O948" i="1525" s="1"/>
  <c r="K947" i="1525"/>
  <c r="I947" i="1525" s="1"/>
  <c r="M947" i="1525" s="1"/>
  <c r="N947" i="1525" s="1"/>
  <c r="O947" i="1525" s="1"/>
  <c r="K946" i="1525"/>
  <c r="I946" i="1525" s="1"/>
  <c r="M946" i="1525" s="1"/>
  <c r="N946" i="1525" s="1"/>
  <c r="O946" i="1525" s="1"/>
  <c r="K945" i="1525"/>
  <c r="I945" i="1525" s="1"/>
  <c r="M945" i="1525" s="1"/>
  <c r="N945" i="1525" s="1"/>
  <c r="O945" i="1525" s="1"/>
  <c r="K944" i="1525"/>
  <c r="I944" i="1525" s="1"/>
  <c r="M944" i="1525" s="1"/>
  <c r="N944" i="1525" s="1"/>
  <c r="O944" i="1525" s="1"/>
  <c r="K943" i="1525"/>
  <c r="I943" i="1525" s="1"/>
  <c r="M943" i="1525" s="1"/>
  <c r="N943" i="1525" s="1"/>
  <c r="O943" i="1525" s="1"/>
  <c r="K942" i="1525"/>
  <c r="I942" i="1525" s="1"/>
  <c r="M942" i="1525" s="1"/>
  <c r="N942" i="1525" s="1"/>
  <c r="O942" i="1525" s="1"/>
  <c r="K941" i="1525"/>
  <c r="I941" i="1525" s="1"/>
  <c r="M941" i="1525" s="1"/>
  <c r="N941" i="1525" s="1"/>
  <c r="O941" i="1525" s="1"/>
  <c r="K940" i="1525"/>
  <c r="I940" i="1525" s="1"/>
  <c r="M940" i="1525" s="1"/>
  <c r="N940" i="1525" s="1"/>
  <c r="O940" i="1525" s="1"/>
  <c r="K939" i="1525"/>
  <c r="I939" i="1525" s="1"/>
  <c r="M939" i="1525" s="1"/>
  <c r="N939" i="1525" s="1"/>
  <c r="O939" i="1525" s="1"/>
  <c r="K938" i="1525"/>
  <c r="I938" i="1525" s="1"/>
  <c r="M938" i="1525" s="1"/>
  <c r="N938" i="1525" s="1"/>
  <c r="O938" i="1525" s="1"/>
  <c r="K937" i="1525"/>
  <c r="I937" i="1525" s="1"/>
  <c r="M937" i="1525" s="1"/>
  <c r="N937" i="1525" s="1"/>
  <c r="O937" i="1525" s="1"/>
  <c r="K936" i="1525"/>
  <c r="I936" i="1525" s="1"/>
  <c r="M936" i="1525" s="1"/>
  <c r="N936" i="1525" s="1"/>
  <c r="O936" i="1525" s="1"/>
  <c r="K935" i="1525"/>
  <c r="I935" i="1525" s="1"/>
  <c r="M935" i="1525" s="1"/>
  <c r="N935" i="1525" s="1"/>
  <c r="O935" i="1525" s="1"/>
  <c r="K934" i="1525"/>
  <c r="I934" i="1525" s="1"/>
  <c r="M934" i="1525" s="1"/>
  <c r="N934" i="1525" s="1"/>
  <c r="O934" i="1525" s="1"/>
  <c r="K933" i="1525"/>
  <c r="I933" i="1525" s="1"/>
  <c r="M933" i="1525" s="1"/>
  <c r="N933" i="1525" s="1"/>
  <c r="O933" i="1525" s="1"/>
  <c r="K932" i="1525"/>
  <c r="I932" i="1525" s="1"/>
  <c r="M932" i="1525" s="1"/>
  <c r="N932" i="1525" s="1"/>
  <c r="O932" i="1525" s="1"/>
  <c r="K931" i="1525"/>
  <c r="I931" i="1525" s="1"/>
  <c r="M931" i="1525" s="1"/>
  <c r="N931" i="1525" s="1"/>
  <c r="O931" i="1525" s="1"/>
  <c r="K930" i="1525"/>
  <c r="I930" i="1525" s="1"/>
  <c r="M930" i="1525" s="1"/>
  <c r="N930" i="1525" s="1"/>
  <c r="O930" i="1525" s="1"/>
  <c r="K929" i="1525"/>
  <c r="I929" i="1525" s="1"/>
  <c r="M929" i="1525" s="1"/>
  <c r="N929" i="1525" s="1"/>
  <c r="O929" i="1525" s="1"/>
  <c r="K928" i="1525"/>
  <c r="I928" i="1525" s="1"/>
  <c r="M928" i="1525" s="1"/>
  <c r="N928" i="1525" s="1"/>
  <c r="O928" i="1525" s="1"/>
  <c r="K927" i="1525"/>
  <c r="I927" i="1525" s="1"/>
  <c r="M927" i="1525" s="1"/>
  <c r="N927" i="1525" s="1"/>
  <c r="O927" i="1525" s="1"/>
  <c r="K926" i="1525"/>
  <c r="I926" i="1525" s="1"/>
  <c r="M926" i="1525" s="1"/>
  <c r="N926" i="1525" s="1"/>
  <c r="O926" i="1525" s="1"/>
  <c r="K925" i="1525"/>
  <c r="I925" i="1525" s="1"/>
  <c r="M925" i="1525" s="1"/>
  <c r="N925" i="1525" s="1"/>
  <c r="O925" i="1525" s="1"/>
  <c r="K924" i="1525"/>
  <c r="I924" i="1525" s="1"/>
  <c r="M924" i="1525" s="1"/>
  <c r="N924" i="1525" s="1"/>
  <c r="O924" i="1525" s="1"/>
  <c r="K923" i="1525"/>
  <c r="I923" i="1525" s="1"/>
  <c r="M923" i="1525" s="1"/>
  <c r="N923" i="1525" s="1"/>
  <c r="O923" i="1525" s="1"/>
  <c r="K922" i="1525"/>
  <c r="I922" i="1525" s="1"/>
  <c r="M922" i="1525" s="1"/>
  <c r="N922" i="1525" s="1"/>
  <c r="O922" i="1525" s="1"/>
  <c r="K921" i="1525"/>
  <c r="I921" i="1525" s="1"/>
  <c r="M921" i="1525" s="1"/>
  <c r="N921" i="1525" s="1"/>
  <c r="O921" i="1525" s="1"/>
  <c r="K920" i="1525"/>
  <c r="I920" i="1525" s="1"/>
  <c r="M920" i="1525" s="1"/>
  <c r="N920" i="1525" s="1"/>
  <c r="O920" i="1525" s="1"/>
  <c r="K919" i="1525"/>
  <c r="I919" i="1525" s="1"/>
  <c r="M919" i="1525" s="1"/>
  <c r="N919" i="1525" s="1"/>
  <c r="O919" i="1525" s="1"/>
  <c r="K918" i="1525"/>
  <c r="I918" i="1525" s="1"/>
  <c r="M918" i="1525" s="1"/>
  <c r="N918" i="1525" s="1"/>
  <c r="O918" i="1525" s="1"/>
  <c r="K917" i="1525"/>
  <c r="I917" i="1525" s="1"/>
  <c r="M917" i="1525" s="1"/>
  <c r="N917" i="1525" s="1"/>
  <c r="O917" i="1525" s="1"/>
  <c r="K916" i="1525"/>
  <c r="I916" i="1525" s="1"/>
  <c r="M916" i="1525" s="1"/>
  <c r="N916" i="1525" s="1"/>
  <c r="O916" i="1525" s="1"/>
  <c r="K915" i="1525"/>
  <c r="I915" i="1525" s="1"/>
  <c r="M915" i="1525" s="1"/>
  <c r="N915" i="1525" s="1"/>
  <c r="O915" i="1525" s="1"/>
  <c r="K914" i="1525"/>
  <c r="I914" i="1525" s="1"/>
  <c r="M914" i="1525" s="1"/>
  <c r="N914" i="1525" s="1"/>
  <c r="O914" i="1525" s="1"/>
  <c r="K913" i="1525"/>
  <c r="I913" i="1525" s="1"/>
  <c r="M913" i="1525" s="1"/>
  <c r="N913" i="1525" s="1"/>
  <c r="O913" i="1525" s="1"/>
  <c r="K912" i="1525"/>
  <c r="I912" i="1525" s="1"/>
  <c r="M912" i="1525" s="1"/>
  <c r="N912" i="1525" s="1"/>
  <c r="O912" i="1525" s="1"/>
  <c r="K911" i="1525"/>
  <c r="I911" i="1525" s="1"/>
  <c r="M911" i="1525" s="1"/>
  <c r="N911" i="1525" s="1"/>
  <c r="O911" i="1525" s="1"/>
  <c r="K910" i="1525"/>
  <c r="I910" i="1525" s="1"/>
  <c r="M910" i="1525" s="1"/>
  <c r="N910" i="1525" s="1"/>
  <c r="O910" i="1525" s="1"/>
  <c r="K909" i="1525"/>
  <c r="I909" i="1525" s="1"/>
  <c r="M909" i="1525" s="1"/>
  <c r="N909" i="1525" s="1"/>
  <c r="O909" i="1525" s="1"/>
  <c r="K908" i="1525"/>
  <c r="I908" i="1525" s="1"/>
  <c r="M908" i="1525" s="1"/>
  <c r="N908" i="1525" s="1"/>
  <c r="O908" i="1525" s="1"/>
  <c r="K907" i="1525"/>
  <c r="I907" i="1525" s="1"/>
  <c r="M907" i="1525" s="1"/>
  <c r="N907" i="1525" s="1"/>
  <c r="O907" i="1525" s="1"/>
  <c r="K906" i="1525"/>
  <c r="I906" i="1525" s="1"/>
  <c r="M906" i="1525" s="1"/>
  <c r="N906" i="1525" s="1"/>
  <c r="O906" i="1525" s="1"/>
  <c r="K905" i="1525"/>
  <c r="I905" i="1525" s="1"/>
  <c r="M905" i="1525" s="1"/>
  <c r="N905" i="1525" s="1"/>
  <c r="O905" i="1525" s="1"/>
  <c r="K904" i="1525"/>
  <c r="I904" i="1525" s="1"/>
  <c r="M904" i="1525" s="1"/>
  <c r="N904" i="1525" s="1"/>
  <c r="O904" i="1525" s="1"/>
  <c r="K903" i="1525"/>
  <c r="I903" i="1525" s="1"/>
  <c r="M903" i="1525" s="1"/>
  <c r="N903" i="1525" s="1"/>
  <c r="O903" i="1525" s="1"/>
  <c r="K902" i="1525"/>
  <c r="I902" i="1525" s="1"/>
  <c r="M902" i="1525" s="1"/>
  <c r="N902" i="1525" s="1"/>
  <c r="O902" i="1525" s="1"/>
  <c r="K901" i="1525"/>
  <c r="I901" i="1525" s="1"/>
  <c r="M901" i="1525" s="1"/>
  <c r="N901" i="1525" s="1"/>
  <c r="O901" i="1525" s="1"/>
  <c r="K900" i="1525"/>
  <c r="I900" i="1525" s="1"/>
  <c r="M900" i="1525" s="1"/>
  <c r="N900" i="1525" s="1"/>
  <c r="O900" i="1525" s="1"/>
  <c r="K899" i="1525"/>
  <c r="I899" i="1525" s="1"/>
  <c r="M899" i="1525" s="1"/>
  <c r="N899" i="1525" s="1"/>
  <c r="O899" i="1525" s="1"/>
  <c r="K898" i="1525"/>
  <c r="I898" i="1525" s="1"/>
  <c r="M898" i="1525" s="1"/>
  <c r="N898" i="1525" s="1"/>
  <c r="O898" i="1525" s="1"/>
  <c r="K897" i="1525"/>
  <c r="I897" i="1525" s="1"/>
  <c r="M897" i="1525" s="1"/>
  <c r="N897" i="1525" s="1"/>
  <c r="O897" i="1525" s="1"/>
  <c r="K896" i="1525"/>
  <c r="I896" i="1525" s="1"/>
  <c r="M896" i="1525" s="1"/>
  <c r="N896" i="1525" s="1"/>
  <c r="O896" i="1525" s="1"/>
  <c r="K895" i="1525"/>
  <c r="I895" i="1525" s="1"/>
  <c r="M895" i="1525" s="1"/>
  <c r="N895" i="1525" s="1"/>
  <c r="O895" i="1525" s="1"/>
  <c r="K894" i="1525"/>
  <c r="I894" i="1525" s="1"/>
  <c r="M894" i="1525" s="1"/>
  <c r="N894" i="1525" s="1"/>
  <c r="O894" i="1525" s="1"/>
  <c r="K893" i="1525"/>
  <c r="I893" i="1525" s="1"/>
  <c r="M893" i="1525" s="1"/>
  <c r="N893" i="1525" s="1"/>
  <c r="O893" i="1525" s="1"/>
  <c r="K892" i="1525"/>
  <c r="I892" i="1525" s="1"/>
  <c r="M892" i="1525" s="1"/>
  <c r="N892" i="1525" s="1"/>
  <c r="O892" i="1525" s="1"/>
  <c r="K891" i="1525"/>
  <c r="I891" i="1525" s="1"/>
  <c r="M891" i="1525" s="1"/>
  <c r="N891" i="1525" s="1"/>
  <c r="O891" i="1525" s="1"/>
  <c r="K890" i="1525"/>
  <c r="I890" i="1525" s="1"/>
  <c r="M890" i="1525" s="1"/>
  <c r="N890" i="1525" s="1"/>
  <c r="O890" i="1525" s="1"/>
  <c r="K889" i="1525"/>
  <c r="I889" i="1525" s="1"/>
  <c r="M889" i="1525" s="1"/>
  <c r="N889" i="1525" s="1"/>
  <c r="O889" i="1525" s="1"/>
  <c r="K888" i="1525"/>
  <c r="I888" i="1525" s="1"/>
  <c r="M888" i="1525" s="1"/>
  <c r="N888" i="1525" s="1"/>
  <c r="O888" i="1525" s="1"/>
  <c r="K887" i="1525"/>
  <c r="I887" i="1525" s="1"/>
  <c r="M887" i="1525" s="1"/>
  <c r="N887" i="1525" s="1"/>
  <c r="O887" i="1525" s="1"/>
  <c r="K886" i="1525"/>
  <c r="I886" i="1525" s="1"/>
  <c r="M886" i="1525" s="1"/>
  <c r="N886" i="1525" s="1"/>
  <c r="O886" i="1525" s="1"/>
  <c r="K885" i="1525"/>
  <c r="I885" i="1525" s="1"/>
  <c r="M885" i="1525" s="1"/>
  <c r="N885" i="1525" s="1"/>
  <c r="O885" i="1525" s="1"/>
  <c r="K884" i="1525"/>
  <c r="I884" i="1525" s="1"/>
  <c r="M884" i="1525" s="1"/>
  <c r="N884" i="1525" s="1"/>
  <c r="O884" i="1525" s="1"/>
  <c r="K883" i="1525"/>
  <c r="I883" i="1525" s="1"/>
  <c r="M883" i="1525" s="1"/>
  <c r="N883" i="1525" s="1"/>
  <c r="O883" i="1525" s="1"/>
  <c r="K882" i="1525"/>
  <c r="I882" i="1525" s="1"/>
  <c r="M882" i="1525" s="1"/>
  <c r="N882" i="1525" s="1"/>
  <c r="O882" i="1525" s="1"/>
  <c r="K881" i="1525"/>
  <c r="I881" i="1525" s="1"/>
  <c r="M881" i="1525" s="1"/>
  <c r="N881" i="1525" s="1"/>
  <c r="O881" i="1525" s="1"/>
  <c r="K880" i="1525"/>
  <c r="I880" i="1525" s="1"/>
  <c r="M880" i="1525" s="1"/>
  <c r="N880" i="1525" s="1"/>
  <c r="O880" i="1525" s="1"/>
  <c r="K879" i="1525"/>
  <c r="I879" i="1525" s="1"/>
  <c r="M879" i="1525" s="1"/>
  <c r="N879" i="1525" s="1"/>
  <c r="O879" i="1525" s="1"/>
  <c r="K878" i="1525"/>
  <c r="I878" i="1525" s="1"/>
  <c r="M878" i="1525" s="1"/>
  <c r="N878" i="1525" s="1"/>
  <c r="O878" i="1525" s="1"/>
  <c r="K877" i="1525"/>
  <c r="I877" i="1525" s="1"/>
  <c r="M877" i="1525" s="1"/>
  <c r="N877" i="1525" s="1"/>
  <c r="O877" i="1525" s="1"/>
  <c r="K876" i="1525"/>
  <c r="I876" i="1525" s="1"/>
  <c r="M876" i="1525" s="1"/>
  <c r="N876" i="1525" s="1"/>
  <c r="O876" i="1525" s="1"/>
  <c r="K875" i="1525"/>
  <c r="I875" i="1525" s="1"/>
  <c r="M875" i="1525" s="1"/>
  <c r="N875" i="1525" s="1"/>
  <c r="O875" i="1525" s="1"/>
  <c r="K874" i="1525"/>
  <c r="I874" i="1525" s="1"/>
  <c r="M874" i="1525" s="1"/>
  <c r="N874" i="1525" s="1"/>
  <c r="O874" i="1525" s="1"/>
  <c r="K873" i="1525"/>
  <c r="I873" i="1525" s="1"/>
  <c r="M873" i="1525" s="1"/>
  <c r="N873" i="1525" s="1"/>
  <c r="O873" i="1525" s="1"/>
  <c r="K872" i="1525"/>
  <c r="I872" i="1525" s="1"/>
  <c r="M872" i="1525" s="1"/>
  <c r="N872" i="1525" s="1"/>
  <c r="O872" i="1525" s="1"/>
  <c r="K871" i="1525"/>
  <c r="I871" i="1525" s="1"/>
  <c r="M871" i="1525" s="1"/>
  <c r="N871" i="1525" s="1"/>
  <c r="O871" i="1525" s="1"/>
  <c r="K870" i="1525"/>
  <c r="I870" i="1525" s="1"/>
  <c r="M870" i="1525" s="1"/>
  <c r="N870" i="1525" s="1"/>
  <c r="O870" i="1525" s="1"/>
  <c r="K869" i="1525"/>
  <c r="I869" i="1525" s="1"/>
  <c r="M869" i="1525" s="1"/>
  <c r="N869" i="1525" s="1"/>
  <c r="O869" i="1525" s="1"/>
  <c r="K868" i="1525"/>
  <c r="I868" i="1525" s="1"/>
  <c r="M868" i="1525" s="1"/>
  <c r="N868" i="1525" s="1"/>
  <c r="O868" i="1525" s="1"/>
  <c r="K867" i="1525"/>
  <c r="I867" i="1525" s="1"/>
  <c r="M867" i="1525" s="1"/>
  <c r="N867" i="1525" s="1"/>
  <c r="O867" i="1525" s="1"/>
  <c r="K866" i="1525"/>
  <c r="I866" i="1525" s="1"/>
  <c r="M866" i="1525" s="1"/>
  <c r="N866" i="1525" s="1"/>
  <c r="O866" i="1525" s="1"/>
  <c r="K865" i="1525"/>
  <c r="I865" i="1525" s="1"/>
  <c r="M865" i="1525" s="1"/>
  <c r="N865" i="1525" s="1"/>
  <c r="O865" i="1525" s="1"/>
  <c r="K864" i="1525"/>
  <c r="I864" i="1525" s="1"/>
  <c r="M864" i="1525" s="1"/>
  <c r="N864" i="1525" s="1"/>
  <c r="O864" i="1525" s="1"/>
  <c r="K863" i="1525"/>
  <c r="I863" i="1525" s="1"/>
  <c r="M863" i="1525" s="1"/>
  <c r="N863" i="1525" s="1"/>
  <c r="O863" i="1525" s="1"/>
  <c r="K862" i="1525"/>
  <c r="I862" i="1525" s="1"/>
  <c r="M862" i="1525" s="1"/>
  <c r="N862" i="1525" s="1"/>
  <c r="O862" i="1525" s="1"/>
  <c r="K861" i="1525"/>
  <c r="I861" i="1525" s="1"/>
  <c r="M861" i="1525" s="1"/>
  <c r="N861" i="1525" s="1"/>
  <c r="O861" i="1525" s="1"/>
  <c r="K860" i="1525"/>
  <c r="I860" i="1525" s="1"/>
  <c r="M860" i="1525" s="1"/>
  <c r="N860" i="1525" s="1"/>
  <c r="O860" i="1525" s="1"/>
  <c r="K859" i="1525"/>
  <c r="I859" i="1525" s="1"/>
  <c r="M859" i="1525" s="1"/>
  <c r="N859" i="1525" s="1"/>
  <c r="O859" i="1525" s="1"/>
  <c r="K858" i="1525"/>
  <c r="I858" i="1525" s="1"/>
  <c r="M858" i="1525" s="1"/>
  <c r="N858" i="1525" s="1"/>
  <c r="O858" i="1525" s="1"/>
  <c r="K857" i="1525"/>
  <c r="I857" i="1525" s="1"/>
  <c r="M857" i="1525" s="1"/>
  <c r="N857" i="1525" s="1"/>
  <c r="O857" i="1525" s="1"/>
  <c r="K856" i="1525"/>
  <c r="I856" i="1525" s="1"/>
  <c r="M856" i="1525" s="1"/>
  <c r="N856" i="1525" s="1"/>
  <c r="O856" i="1525" s="1"/>
  <c r="K855" i="1525"/>
  <c r="I855" i="1525" s="1"/>
  <c r="M855" i="1525" s="1"/>
  <c r="N855" i="1525" s="1"/>
  <c r="O855" i="1525" s="1"/>
  <c r="K854" i="1525"/>
  <c r="I854" i="1525" s="1"/>
  <c r="M854" i="1525" s="1"/>
  <c r="N854" i="1525" s="1"/>
  <c r="O854" i="1525" s="1"/>
  <c r="K853" i="1525"/>
  <c r="I853" i="1525" s="1"/>
  <c r="M853" i="1525" s="1"/>
  <c r="N853" i="1525" s="1"/>
  <c r="O853" i="1525" s="1"/>
  <c r="K852" i="1525"/>
  <c r="I852" i="1525" s="1"/>
  <c r="M852" i="1525" s="1"/>
  <c r="N852" i="1525" s="1"/>
  <c r="O852" i="1525" s="1"/>
  <c r="K851" i="1525"/>
  <c r="I851" i="1525" s="1"/>
  <c r="M851" i="1525" s="1"/>
  <c r="N851" i="1525" s="1"/>
  <c r="O851" i="1525" s="1"/>
  <c r="K850" i="1525"/>
  <c r="I850" i="1525" s="1"/>
  <c r="M850" i="1525" s="1"/>
  <c r="N850" i="1525" s="1"/>
  <c r="O850" i="1525" s="1"/>
  <c r="K849" i="1525"/>
  <c r="I849" i="1525" s="1"/>
  <c r="M849" i="1525" s="1"/>
  <c r="N849" i="1525" s="1"/>
  <c r="O849" i="1525" s="1"/>
  <c r="K848" i="1525"/>
  <c r="I848" i="1525" s="1"/>
  <c r="M848" i="1525" s="1"/>
  <c r="N848" i="1525" s="1"/>
  <c r="O848" i="1525" s="1"/>
  <c r="K847" i="1525"/>
  <c r="I847" i="1525" s="1"/>
  <c r="M847" i="1525" s="1"/>
  <c r="N847" i="1525" s="1"/>
  <c r="O847" i="1525" s="1"/>
  <c r="K846" i="1525"/>
  <c r="I846" i="1525" s="1"/>
  <c r="M846" i="1525" s="1"/>
  <c r="N846" i="1525" s="1"/>
  <c r="O846" i="1525" s="1"/>
  <c r="K845" i="1525"/>
  <c r="I845" i="1525" s="1"/>
  <c r="M845" i="1525" s="1"/>
  <c r="N845" i="1525" s="1"/>
  <c r="O845" i="1525" s="1"/>
  <c r="K844" i="1525"/>
  <c r="I844" i="1525" s="1"/>
  <c r="M844" i="1525" s="1"/>
  <c r="N844" i="1525" s="1"/>
  <c r="O844" i="1525" s="1"/>
  <c r="K843" i="1525"/>
  <c r="I843" i="1525" s="1"/>
  <c r="M843" i="1525" s="1"/>
  <c r="N843" i="1525" s="1"/>
  <c r="O843" i="1525" s="1"/>
  <c r="K842" i="1525"/>
  <c r="I842" i="1525" s="1"/>
  <c r="M842" i="1525" s="1"/>
  <c r="N842" i="1525" s="1"/>
  <c r="O842" i="1525" s="1"/>
  <c r="K841" i="1525"/>
  <c r="I841" i="1525" s="1"/>
  <c r="M841" i="1525" s="1"/>
  <c r="N841" i="1525" s="1"/>
  <c r="O841" i="1525" s="1"/>
  <c r="K840" i="1525"/>
  <c r="I840" i="1525" s="1"/>
  <c r="M840" i="1525" s="1"/>
  <c r="N840" i="1525" s="1"/>
  <c r="O840" i="1525" s="1"/>
  <c r="K839" i="1525"/>
  <c r="I839" i="1525" s="1"/>
  <c r="M839" i="1525" s="1"/>
  <c r="N839" i="1525" s="1"/>
  <c r="O839" i="1525" s="1"/>
  <c r="K838" i="1525"/>
  <c r="I838" i="1525" s="1"/>
  <c r="M838" i="1525" s="1"/>
  <c r="N838" i="1525" s="1"/>
  <c r="O838" i="1525" s="1"/>
  <c r="K837" i="1525"/>
  <c r="I837" i="1525" s="1"/>
  <c r="M837" i="1525" s="1"/>
  <c r="N837" i="1525" s="1"/>
  <c r="O837" i="1525" s="1"/>
  <c r="K836" i="1525"/>
  <c r="I836" i="1525" s="1"/>
  <c r="M836" i="1525" s="1"/>
  <c r="N836" i="1525" s="1"/>
  <c r="O836" i="1525" s="1"/>
  <c r="K835" i="1525"/>
  <c r="I835" i="1525" s="1"/>
  <c r="M835" i="1525" s="1"/>
  <c r="N835" i="1525" s="1"/>
  <c r="O835" i="1525" s="1"/>
  <c r="K834" i="1525"/>
  <c r="I834" i="1525" s="1"/>
  <c r="M834" i="1525" s="1"/>
  <c r="N834" i="1525" s="1"/>
  <c r="O834" i="1525" s="1"/>
  <c r="K833" i="1525"/>
  <c r="I833" i="1525" s="1"/>
  <c r="M833" i="1525" s="1"/>
  <c r="N833" i="1525" s="1"/>
  <c r="O833" i="1525" s="1"/>
  <c r="K832" i="1525"/>
  <c r="I832" i="1525" s="1"/>
  <c r="M832" i="1525" s="1"/>
  <c r="N832" i="1525" s="1"/>
  <c r="O832" i="1525" s="1"/>
  <c r="K831" i="1525"/>
  <c r="I831" i="1525" s="1"/>
  <c r="M831" i="1525" s="1"/>
  <c r="N831" i="1525" s="1"/>
  <c r="O831" i="1525" s="1"/>
  <c r="K830" i="1525"/>
  <c r="I830" i="1525" s="1"/>
  <c r="M830" i="1525" s="1"/>
  <c r="N830" i="1525" s="1"/>
  <c r="O830" i="1525" s="1"/>
  <c r="K829" i="1525"/>
  <c r="I829" i="1525" s="1"/>
  <c r="M829" i="1525" s="1"/>
  <c r="N829" i="1525" s="1"/>
  <c r="O829" i="1525" s="1"/>
  <c r="K828" i="1525"/>
  <c r="I828" i="1525" s="1"/>
  <c r="M828" i="1525" s="1"/>
  <c r="N828" i="1525" s="1"/>
  <c r="O828" i="1525" s="1"/>
  <c r="K827" i="1525"/>
  <c r="I827" i="1525" s="1"/>
  <c r="M827" i="1525" s="1"/>
  <c r="N827" i="1525" s="1"/>
  <c r="O827" i="1525" s="1"/>
  <c r="K826" i="1525"/>
  <c r="I826" i="1525" s="1"/>
  <c r="M826" i="1525" s="1"/>
  <c r="N826" i="1525" s="1"/>
  <c r="O826" i="1525" s="1"/>
  <c r="K825" i="1525"/>
  <c r="I825" i="1525" s="1"/>
  <c r="M825" i="1525" s="1"/>
  <c r="N825" i="1525" s="1"/>
  <c r="O825" i="1525" s="1"/>
  <c r="K824" i="1525"/>
  <c r="I824" i="1525" s="1"/>
  <c r="M824" i="1525" s="1"/>
  <c r="N824" i="1525" s="1"/>
  <c r="O824" i="1525" s="1"/>
  <c r="K823" i="1525"/>
  <c r="I823" i="1525" s="1"/>
  <c r="M823" i="1525" s="1"/>
  <c r="N823" i="1525" s="1"/>
  <c r="O823" i="1525" s="1"/>
  <c r="K822" i="1525"/>
  <c r="I822" i="1525" s="1"/>
  <c r="M822" i="1525" s="1"/>
  <c r="N822" i="1525" s="1"/>
  <c r="O822" i="1525" s="1"/>
  <c r="K821" i="1525"/>
  <c r="I821" i="1525" s="1"/>
  <c r="M821" i="1525" s="1"/>
  <c r="N821" i="1525" s="1"/>
  <c r="O821" i="1525" s="1"/>
  <c r="K820" i="1525"/>
  <c r="I820" i="1525" s="1"/>
  <c r="M820" i="1525" s="1"/>
  <c r="N820" i="1525" s="1"/>
  <c r="O820" i="1525" s="1"/>
  <c r="K819" i="1525"/>
  <c r="I819" i="1525" s="1"/>
  <c r="M819" i="1525" s="1"/>
  <c r="N819" i="1525" s="1"/>
  <c r="O819" i="1525" s="1"/>
  <c r="K818" i="1525"/>
  <c r="I818" i="1525" s="1"/>
  <c r="M818" i="1525" s="1"/>
  <c r="N818" i="1525" s="1"/>
  <c r="O818" i="1525" s="1"/>
  <c r="K817" i="1525"/>
  <c r="I817" i="1525" s="1"/>
  <c r="M817" i="1525" s="1"/>
  <c r="N817" i="1525" s="1"/>
  <c r="O817" i="1525" s="1"/>
  <c r="K816" i="1525"/>
  <c r="I816" i="1525" s="1"/>
  <c r="M816" i="1525" s="1"/>
  <c r="N816" i="1525" s="1"/>
  <c r="O816" i="1525" s="1"/>
  <c r="K815" i="1525"/>
  <c r="I815" i="1525" s="1"/>
  <c r="M815" i="1525" s="1"/>
  <c r="N815" i="1525" s="1"/>
  <c r="O815" i="1525" s="1"/>
  <c r="K814" i="1525"/>
  <c r="I814" i="1525" s="1"/>
  <c r="M814" i="1525" s="1"/>
  <c r="N814" i="1525" s="1"/>
  <c r="O814" i="1525" s="1"/>
  <c r="K813" i="1525"/>
  <c r="I813" i="1525" s="1"/>
  <c r="M813" i="1525" s="1"/>
  <c r="N813" i="1525" s="1"/>
  <c r="O813" i="1525" s="1"/>
  <c r="K812" i="1525"/>
  <c r="I812" i="1525" s="1"/>
  <c r="M812" i="1525" s="1"/>
  <c r="N812" i="1525" s="1"/>
  <c r="O812" i="1525" s="1"/>
  <c r="K811" i="1525"/>
  <c r="I811" i="1525" s="1"/>
  <c r="M811" i="1525" s="1"/>
  <c r="N811" i="1525" s="1"/>
  <c r="O811" i="1525" s="1"/>
  <c r="K810" i="1525"/>
  <c r="I810" i="1525" s="1"/>
  <c r="M810" i="1525" s="1"/>
  <c r="N810" i="1525" s="1"/>
  <c r="O810" i="1525" s="1"/>
  <c r="K809" i="1525"/>
  <c r="I809" i="1525" s="1"/>
  <c r="M809" i="1525" s="1"/>
  <c r="N809" i="1525" s="1"/>
  <c r="O809" i="1525" s="1"/>
  <c r="K808" i="1525"/>
  <c r="I808" i="1525" s="1"/>
  <c r="M808" i="1525" s="1"/>
  <c r="N808" i="1525" s="1"/>
  <c r="O808" i="1525" s="1"/>
  <c r="K807" i="1525"/>
  <c r="I807" i="1525" s="1"/>
  <c r="M807" i="1525" s="1"/>
  <c r="N807" i="1525" s="1"/>
  <c r="O807" i="1525" s="1"/>
  <c r="K806" i="1525"/>
  <c r="I806" i="1525" s="1"/>
  <c r="M806" i="1525" s="1"/>
  <c r="N806" i="1525" s="1"/>
  <c r="O806" i="1525" s="1"/>
  <c r="K805" i="1525"/>
  <c r="I805" i="1525" s="1"/>
  <c r="M805" i="1525" s="1"/>
  <c r="N805" i="1525" s="1"/>
  <c r="O805" i="1525" s="1"/>
  <c r="K804" i="1525"/>
  <c r="I804" i="1525" s="1"/>
  <c r="M804" i="1525" s="1"/>
  <c r="N804" i="1525" s="1"/>
  <c r="O804" i="1525" s="1"/>
  <c r="K803" i="1525"/>
  <c r="I803" i="1525" s="1"/>
  <c r="M803" i="1525" s="1"/>
  <c r="N803" i="1525" s="1"/>
  <c r="O803" i="1525" s="1"/>
  <c r="K802" i="1525"/>
  <c r="I802" i="1525" s="1"/>
  <c r="M802" i="1525" s="1"/>
  <c r="N802" i="1525" s="1"/>
  <c r="O802" i="1525" s="1"/>
  <c r="K801" i="1525"/>
  <c r="I801" i="1525" s="1"/>
  <c r="M801" i="1525" s="1"/>
  <c r="N801" i="1525" s="1"/>
  <c r="O801" i="1525" s="1"/>
  <c r="K800" i="1525"/>
  <c r="I800" i="1525" s="1"/>
  <c r="M800" i="1525" s="1"/>
  <c r="N800" i="1525" s="1"/>
  <c r="O800" i="1525" s="1"/>
  <c r="K799" i="1525"/>
  <c r="I799" i="1525" s="1"/>
  <c r="M799" i="1525" s="1"/>
  <c r="N799" i="1525" s="1"/>
  <c r="O799" i="1525" s="1"/>
  <c r="K798" i="1525"/>
  <c r="I798" i="1525" s="1"/>
  <c r="M798" i="1525" s="1"/>
  <c r="N798" i="1525" s="1"/>
  <c r="O798" i="1525" s="1"/>
  <c r="K797" i="1525"/>
  <c r="I797" i="1525" s="1"/>
  <c r="M797" i="1525" s="1"/>
  <c r="N797" i="1525" s="1"/>
  <c r="O797" i="1525" s="1"/>
  <c r="K796" i="1525"/>
  <c r="I796" i="1525" s="1"/>
  <c r="M796" i="1525" s="1"/>
  <c r="N796" i="1525" s="1"/>
  <c r="O796" i="1525" s="1"/>
  <c r="K795" i="1525"/>
  <c r="I795" i="1525" s="1"/>
  <c r="M795" i="1525" s="1"/>
  <c r="N795" i="1525" s="1"/>
  <c r="O795" i="1525" s="1"/>
  <c r="K794" i="1525"/>
  <c r="I794" i="1525" s="1"/>
  <c r="M794" i="1525" s="1"/>
  <c r="N794" i="1525" s="1"/>
  <c r="O794" i="1525" s="1"/>
  <c r="K793" i="1525"/>
  <c r="I793" i="1525" s="1"/>
  <c r="M793" i="1525" s="1"/>
  <c r="N793" i="1525" s="1"/>
  <c r="O793" i="1525" s="1"/>
  <c r="K792" i="1525"/>
  <c r="I792" i="1525" s="1"/>
  <c r="M792" i="1525" s="1"/>
  <c r="N792" i="1525" s="1"/>
  <c r="O792" i="1525" s="1"/>
  <c r="K791" i="1525"/>
  <c r="I791" i="1525" s="1"/>
  <c r="M791" i="1525" s="1"/>
  <c r="N791" i="1525" s="1"/>
  <c r="O791" i="1525" s="1"/>
  <c r="K790" i="1525"/>
  <c r="I790" i="1525" s="1"/>
  <c r="M790" i="1525" s="1"/>
  <c r="N790" i="1525" s="1"/>
  <c r="O790" i="1525" s="1"/>
  <c r="K789" i="1525"/>
  <c r="I789" i="1525" s="1"/>
  <c r="M789" i="1525" s="1"/>
  <c r="N789" i="1525" s="1"/>
  <c r="O789" i="1525" s="1"/>
  <c r="K788" i="1525"/>
  <c r="I788" i="1525" s="1"/>
  <c r="M788" i="1525" s="1"/>
  <c r="N788" i="1525" s="1"/>
  <c r="O788" i="1525" s="1"/>
  <c r="K787" i="1525"/>
  <c r="I787" i="1525" s="1"/>
  <c r="M787" i="1525" s="1"/>
  <c r="N787" i="1525" s="1"/>
  <c r="O787" i="1525" s="1"/>
  <c r="K786" i="1525"/>
  <c r="I786" i="1525" s="1"/>
  <c r="M786" i="1525" s="1"/>
  <c r="N786" i="1525" s="1"/>
  <c r="O786" i="1525" s="1"/>
  <c r="K785" i="1525"/>
  <c r="I785" i="1525" s="1"/>
  <c r="M785" i="1525" s="1"/>
  <c r="N785" i="1525" s="1"/>
  <c r="O785" i="1525" s="1"/>
  <c r="K784" i="1525"/>
  <c r="I784" i="1525" s="1"/>
  <c r="M784" i="1525" s="1"/>
  <c r="N784" i="1525" s="1"/>
  <c r="O784" i="1525" s="1"/>
  <c r="K783" i="1525"/>
  <c r="I783" i="1525" s="1"/>
  <c r="M783" i="1525" s="1"/>
  <c r="N783" i="1525" s="1"/>
  <c r="O783" i="1525" s="1"/>
  <c r="K782" i="1525"/>
  <c r="I782" i="1525" s="1"/>
  <c r="M782" i="1525" s="1"/>
  <c r="N782" i="1525" s="1"/>
  <c r="O782" i="1525" s="1"/>
  <c r="K781" i="1525"/>
  <c r="I781" i="1525" s="1"/>
  <c r="M781" i="1525" s="1"/>
  <c r="N781" i="1525" s="1"/>
  <c r="O781" i="1525" s="1"/>
  <c r="K780" i="1525"/>
  <c r="I780" i="1525" s="1"/>
  <c r="M780" i="1525" s="1"/>
  <c r="N780" i="1525" s="1"/>
  <c r="O780" i="1525" s="1"/>
  <c r="K779" i="1525"/>
  <c r="I779" i="1525" s="1"/>
  <c r="M779" i="1525" s="1"/>
  <c r="N779" i="1525" s="1"/>
  <c r="O779" i="1525" s="1"/>
  <c r="K778" i="1525"/>
  <c r="I778" i="1525" s="1"/>
  <c r="M778" i="1525" s="1"/>
  <c r="N778" i="1525" s="1"/>
  <c r="O778" i="1525" s="1"/>
  <c r="K777" i="1525"/>
  <c r="I777" i="1525" s="1"/>
  <c r="M777" i="1525" s="1"/>
  <c r="N777" i="1525" s="1"/>
  <c r="O777" i="1525" s="1"/>
  <c r="K776" i="1525"/>
  <c r="I776" i="1525" s="1"/>
  <c r="M776" i="1525" s="1"/>
  <c r="N776" i="1525" s="1"/>
  <c r="O776" i="1525" s="1"/>
  <c r="K775" i="1525"/>
  <c r="I775" i="1525" s="1"/>
  <c r="M775" i="1525" s="1"/>
  <c r="N775" i="1525" s="1"/>
  <c r="O775" i="1525" s="1"/>
  <c r="K774" i="1525"/>
  <c r="I774" i="1525" s="1"/>
  <c r="M774" i="1525" s="1"/>
  <c r="N774" i="1525" s="1"/>
  <c r="O774" i="1525" s="1"/>
  <c r="K773" i="1525"/>
  <c r="I773" i="1525" s="1"/>
  <c r="M773" i="1525" s="1"/>
  <c r="N773" i="1525" s="1"/>
  <c r="O773" i="1525" s="1"/>
  <c r="K772" i="1525"/>
  <c r="I772" i="1525" s="1"/>
  <c r="M772" i="1525" s="1"/>
  <c r="N772" i="1525" s="1"/>
  <c r="O772" i="1525" s="1"/>
  <c r="K771" i="1525"/>
  <c r="I771" i="1525" s="1"/>
  <c r="M771" i="1525" s="1"/>
  <c r="N771" i="1525" s="1"/>
  <c r="O771" i="1525" s="1"/>
  <c r="K770" i="1525"/>
  <c r="I770" i="1525" s="1"/>
  <c r="M770" i="1525" s="1"/>
  <c r="N770" i="1525" s="1"/>
  <c r="O770" i="1525" s="1"/>
  <c r="K769" i="1525"/>
  <c r="I769" i="1525" s="1"/>
  <c r="M769" i="1525" s="1"/>
  <c r="N769" i="1525" s="1"/>
  <c r="O769" i="1525" s="1"/>
  <c r="K768" i="1525"/>
  <c r="I768" i="1525" s="1"/>
  <c r="M768" i="1525" s="1"/>
  <c r="N768" i="1525" s="1"/>
  <c r="O768" i="1525" s="1"/>
  <c r="K767" i="1525"/>
  <c r="I767" i="1525" s="1"/>
  <c r="M767" i="1525" s="1"/>
  <c r="N767" i="1525" s="1"/>
  <c r="O767" i="1525" s="1"/>
  <c r="K766" i="1525"/>
  <c r="I766" i="1525" s="1"/>
  <c r="M766" i="1525" s="1"/>
  <c r="N766" i="1525" s="1"/>
  <c r="O766" i="1525" s="1"/>
  <c r="K765" i="1525"/>
  <c r="I765" i="1525" s="1"/>
  <c r="M765" i="1525" s="1"/>
  <c r="N765" i="1525" s="1"/>
  <c r="O765" i="1525" s="1"/>
  <c r="K764" i="1525"/>
  <c r="I764" i="1525" s="1"/>
  <c r="M764" i="1525" s="1"/>
  <c r="N764" i="1525" s="1"/>
  <c r="O764" i="1525" s="1"/>
  <c r="K763" i="1525"/>
  <c r="I763" i="1525" s="1"/>
  <c r="M763" i="1525" s="1"/>
  <c r="N763" i="1525" s="1"/>
  <c r="O763" i="1525" s="1"/>
  <c r="K762" i="1525"/>
  <c r="I762" i="1525" s="1"/>
  <c r="M762" i="1525" s="1"/>
  <c r="N762" i="1525" s="1"/>
  <c r="O762" i="1525" s="1"/>
  <c r="K761" i="1525"/>
  <c r="I761" i="1525" s="1"/>
  <c r="M761" i="1525" s="1"/>
  <c r="N761" i="1525" s="1"/>
  <c r="O761" i="1525" s="1"/>
  <c r="K760" i="1525"/>
  <c r="I760" i="1525" s="1"/>
  <c r="M760" i="1525" s="1"/>
  <c r="N760" i="1525" s="1"/>
  <c r="O760" i="1525" s="1"/>
  <c r="K759" i="1525"/>
  <c r="I759" i="1525" s="1"/>
  <c r="M759" i="1525" s="1"/>
  <c r="N759" i="1525" s="1"/>
  <c r="O759" i="1525" s="1"/>
  <c r="K758" i="1525"/>
  <c r="I758" i="1525" s="1"/>
  <c r="M758" i="1525" s="1"/>
  <c r="N758" i="1525" s="1"/>
  <c r="O758" i="1525" s="1"/>
  <c r="K757" i="1525"/>
  <c r="I757" i="1525" s="1"/>
  <c r="M757" i="1525" s="1"/>
  <c r="N757" i="1525" s="1"/>
  <c r="O757" i="1525" s="1"/>
  <c r="K756" i="1525"/>
  <c r="I756" i="1525" s="1"/>
  <c r="M756" i="1525" s="1"/>
  <c r="N756" i="1525" s="1"/>
  <c r="O756" i="1525" s="1"/>
  <c r="K755" i="1525"/>
  <c r="I755" i="1525" s="1"/>
  <c r="M755" i="1525" s="1"/>
  <c r="N755" i="1525" s="1"/>
  <c r="O755" i="1525" s="1"/>
  <c r="K754" i="1525"/>
  <c r="I754" i="1525" s="1"/>
  <c r="M754" i="1525" s="1"/>
  <c r="N754" i="1525" s="1"/>
  <c r="O754" i="1525" s="1"/>
  <c r="K753" i="1525"/>
  <c r="I753" i="1525" s="1"/>
  <c r="M753" i="1525" s="1"/>
  <c r="N753" i="1525" s="1"/>
  <c r="O753" i="1525" s="1"/>
  <c r="K752" i="1525"/>
  <c r="I752" i="1525" s="1"/>
  <c r="M752" i="1525" s="1"/>
  <c r="N752" i="1525" s="1"/>
  <c r="O752" i="1525" s="1"/>
  <c r="K751" i="1525"/>
  <c r="I751" i="1525" s="1"/>
  <c r="M751" i="1525" s="1"/>
  <c r="N751" i="1525" s="1"/>
  <c r="O751" i="1525" s="1"/>
  <c r="K750" i="1525"/>
  <c r="I750" i="1525" s="1"/>
  <c r="M750" i="1525" s="1"/>
  <c r="N750" i="1525" s="1"/>
  <c r="O750" i="1525" s="1"/>
  <c r="K749" i="1525"/>
  <c r="I749" i="1525" s="1"/>
  <c r="M749" i="1525" s="1"/>
  <c r="N749" i="1525" s="1"/>
  <c r="O749" i="1525" s="1"/>
  <c r="K748" i="1525"/>
  <c r="I748" i="1525" s="1"/>
  <c r="M748" i="1525" s="1"/>
  <c r="N748" i="1525" s="1"/>
  <c r="O748" i="1525" s="1"/>
  <c r="K747" i="1525"/>
  <c r="I747" i="1525" s="1"/>
  <c r="M747" i="1525" s="1"/>
  <c r="N747" i="1525" s="1"/>
  <c r="O747" i="1525" s="1"/>
  <c r="K746" i="1525"/>
  <c r="I746" i="1525" s="1"/>
  <c r="M746" i="1525" s="1"/>
  <c r="N746" i="1525" s="1"/>
  <c r="O746" i="1525" s="1"/>
  <c r="K745" i="1525"/>
  <c r="I745" i="1525" s="1"/>
  <c r="M745" i="1525" s="1"/>
  <c r="N745" i="1525" s="1"/>
  <c r="O745" i="1525" s="1"/>
  <c r="K744" i="1525"/>
  <c r="I744" i="1525" s="1"/>
  <c r="M744" i="1525" s="1"/>
  <c r="N744" i="1525" s="1"/>
  <c r="O744" i="1525" s="1"/>
  <c r="K743" i="1525"/>
  <c r="I743" i="1525" s="1"/>
  <c r="M743" i="1525" s="1"/>
  <c r="N743" i="1525" s="1"/>
  <c r="O743" i="1525" s="1"/>
  <c r="K742" i="1525"/>
  <c r="I742" i="1525" s="1"/>
  <c r="M742" i="1525" s="1"/>
  <c r="N742" i="1525" s="1"/>
  <c r="O742" i="1525" s="1"/>
  <c r="K741" i="1525"/>
  <c r="I741" i="1525" s="1"/>
  <c r="M741" i="1525" s="1"/>
  <c r="N741" i="1525" s="1"/>
  <c r="O741" i="1525" s="1"/>
  <c r="K740" i="1525"/>
  <c r="I740" i="1525" s="1"/>
  <c r="M740" i="1525" s="1"/>
  <c r="N740" i="1525" s="1"/>
  <c r="O740" i="1525" s="1"/>
  <c r="K739" i="1525"/>
  <c r="I739" i="1525" s="1"/>
  <c r="M739" i="1525" s="1"/>
  <c r="N739" i="1525" s="1"/>
  <c r="O739" i="1525" s="1"/>
  <c r="K738" i="1525"/>
  <c r="I738" i="1525" s="1"/>
  <c r="M738" i="1525" s="1"/>
  <c r="N738" i="1525" s="1"/>
  <c r="O738" i="1525" s="1"/>
  <c r="K737" i="1525"/>
  <c r="I737" i="1525" s="1"/>
  <c r="M737" i="1525" s="1"/>
  <c r="N737" i="1525" s="1"/>
  <c r="O737" i="1525" s="1"/>
  <c r="K736" i="1525"/>
  <c r="I736" i="1525" s="1"/>
  <c r="M736" i="1525" s="1"/>
  <c r="N736" i="1525" s="1"/>
  <c r="O736" i="1525" s="1"/>
  <c r="K735" i="1525"/>
  <c r="I735" i="1525" s="1"/>
  <c r="M735" i="1525" s="1"/>
  <c r="N735" i="1525" s="1"/>
  <c r="O735" i="1525" s="1"/>
  <c r="K734" i="1525"/>
  <c r="I734" i="1525" s="1"/>
  <c r="M734" i="1525" s="1"/>
  <c r="N734" i="1525" s="1"/>
  <c r="O734" i="1525" s="1"/>
  <c r="K733" i="1525"/>
  <c r="I733" i="1525" s="1"/>
  <c r="M733" i="1525" s="1"/>
  <c r="N733" i="1525" s="1"/>
  <c r="O733" i="1525" s="1"/>
  <c r="K732" i="1525"/>
  <c r="I732" i="1525" s="1"/>
  <c r="M732" i="1525" s="1"/>
  <c r="N732" i="1525" s="1"/>
  <c r="O732" i="1525" s="1"/>
  <c r="K731" i="1525"/>
  <c r="I731" i="1525" s="1"/>
  <c r="M731" i="1525" s="1"/>
  <c r="N731" i="1525" s="1"/>
  <c r="O731" i="1525" s="1"/>
  <c r="K730" i="1525"/>
  <c r="I730" i="1525" s="1"/>
  <c r="M730" i="1525" s="1"/>
  <c r="N730" i="1525" s="1"/>
  <c r="O730" i="1525" s="1"/>
  <c r="K729" i="1525"/>
  <c r="I729" i="1525" s="1"/>
  <c r="M729" i="1525" s="1"/>
  <c r="N729" i="1525" s="1"/>
  <c r="O729" i="1525" s="1"/>
  <c r="K728" i="1525"/>
  <c r="I728" i="1525" s="1"/>
  <c r="M728" i="1525" s="1"/>
  <c r="N728" i="1525" s="1"/>
  <c r="O728" i="1525" s="1"/>
  <c r="K727" i="1525"/>
  <c r="I727" i="1525" s="1"/>
  <c r="M727" i="1525" s="1"/>
  <c r="N727" i="1525" s="1"/>
  <c r="O727" i="1525" s="1"/>
  <c r="K726" i="1525"/>
  <c r="I726" i="1525" s="1"/>
  <c r="M726" i="1525" s="1"/>
  <c r="N726" i="1525" s="1"/>
  <c r="O726" i="1525" s="1"/>
  <c r="K725" i="1525"/>
  <c r="I725" i="1525" s="1"/>
  <c r="M725" i="1525" s="1"/>
  <c r="N725" i="1525" s="1"/>
  <c r="O725" i="1525" s="1"/>
  <c r="K724" i="1525"/>
  <c r="I724" i="1525" s="1"/>
  <c r="M724" i="1525" s="1"/>
  <c r="N724" i="1525" s="1"/>
  <c r="O724" i="1525" s="1"/>
  <c r="K723" i="1525"/>
  <c r="I723" i="1525" s="1"/>
  <c r="M723" i="1525" s="1"/>
  <c r="N723" i="1525" s="1"/>
  <c r="O723" i="1525" s="1"/>
  <c r="K722" i="1525"/>
  <c r="I722" i="1525" s="1"/>
  <c r="M722" i="1525" s="1"/>
  <c r="N722" i="1525" s="1"/>
  <c r="O722" i="1525" s="1"/>
  <c r="K721" i="1525"/>
  <c r="I721" i="1525" s="1"/>
  <c r="M721" i="1525" s="1"/>
  <c r="N721" i="1525" s="1"/>
  <c r="O721" i="1525" s="1"/>
  <c r="K720" i="1525"/>
  <c r="I720" i="1525" s="1"/>
  <c r="M720" i="1525" s="1"/>
  <c r="N720" i="1525" s="1"/>
  <c r="O720" i="1525" s="1"/>
  <c r="K719" i="1525"/>
  <c r="I719" i="1525" s="1"/>
  <c r="M719" i="1525" s="1"/>
  <c r="N719" i="1525" s="1"/>
  <c r="O719" i="1525" s="1"/>
  <c r="K718" i="1525"/>
  <c r="I718" i="1525" s="1"/>
  <c r="M718" i="1525" s="1"/>
  <c r="N718" i="1525" s="1"/>
  <c r="O718" i="1525" s="1"/>
  <c r="K717" i="1525"/>
  <c r="I717" i="1525" s="1"/>
  <c r="M717" i="1525" s="1"/>
  <c r="N717" i="1525" s="1"/>
  <c r="O717" i="1525" s="1"/>
  <c r="K716" i="1525"/>
  <c r="I716" i="1525" s="1"/>
  <c r="M716" i="1525" s="1"/>
  <c r="N716" i="1525" s="1"/>
  <c r="O716" i="1525" s="1"/>
  <c r="K715" i="1525"/>
  <c r="I715" i="1525" s="1"/>
  <c r="M715" i="1525" s="1"/>
  <c r="N715" i="1525" s="1"/>
  <c r="O715" i="1525" s="1"/>
  <c r="K714" i="1525"/>
  <c r="I714" i="1525" s="1"/>
  <c r="M714" i="1525" s="1"/>
  <c r="N714" i="1525" s="1"/>
  <c r="O714" i="1525" s="1"/>
  <c r="K713" i="1525"/>
  <c r="I713" i="1525" s="1"/>
  <c r="M713" i="1525" s="1"/>
  <c r="N713" i="1525" s="1"/>
  <c r="O713" i="1525" s="1"/>
  <c r="K712" i="1525"/>
  <c r="I712" i="1525" s="1"/>
  <c r="M712" i="1525" s="1"/>
  <c r="N712" i="1525" s="1"/>
  <c r="O712" i="1525" s="1"/>
  <c r="K711" i="1525"/>
  <c r="I711" i="1525" s="1"/>
  <c r="M711" i="1525" s="1"/>
  <c r="N711" i="1525" s="1"/>
  <c r="O711" i="1525" s="1"/>
  <c r="K710" i="1525"/>
  <c r="I710" i="1525" s="1"/>
  <c r="M710" i="1525" s="1"/>
  <c r="N710" i="1525" s="1"/>
  <c r="O710" i="1525" s="1"/>
  <c r="K709" i="1525"/>
  <c r="I709" i="1525" s="1"/>
  <c r="M709" i="1525" s="1"/>
  <c r="N709" i="1525" s="1"/>
  <c r="O709" i="1525" s="1"/>
  <c r="K708" i="1525"/>
  <c r="I708" i="1525" s="1"/>
  <c r="M708" i="1525" s="1"/>
  <c r="N708" i="1525" s="1"/>
  <c r="O708" i="1525" s="1"/>
  <c r="K707" i="1525"/>
  <c r="I707" i="1525" s="1"/>
  <c r="M707" i="1525" s="1"/>
  <c r="N707" i="1525" s="1"/>
  <c r="O707" i="1525" s="1"/>
  <c r="K706" i="1525"/>
  <c r="I706" i="1525" s="1"/>
  <c r="M706" i="1525" s="1"/>
  <c r="N706" i="1525" s="1"/>
  <c r="O706" i="1525" s="1"/>
  <c r="K705" i="1525"/>
  <c r="I705" i="1525" s="1"/>
  <c r="M705" i="1525" s="1"/>
  <c r="N705" i="1525" s="1"/>
  <c r="O705" i="1525" s="1"/>
  <c r="K704" i="1525"/>
  <c r="I704" i="1525" s="1"/>
  <c r="M704" i="1525" s="1"/>
  <c r="N704" i="1525" s="1"/>
  <c r="O704" i="1525" s="1"/>
  <c r="K703" i="1525"/>
  <c r="I703" i="1525" s="1"/>
  <c r="M703" i="1525" s="1"/>
  <c r="N703" i="1525" s="1"/>
  <c r="O703" i="1525" s="1"/>
  <c r="K702" i="1525"/>
  <c r="I702" i="1525" s="1"/>
  <c r="M702" i="1525" s="1"/>
  <c r="N702" i="1525" s="1"/>
  <c r="O702" i="1525" s="1"/>
  <c r="K701" i="1525"/>
  <c r="I701" i="1525" s="1"/>
  <c r="M701" i="1525" s="1"/>
  <c r="N701" i="1525" s="1"/>
  <c r="O701" i="1525" s="1"/>
  <c r="K700" i="1525"/>
  <c r="I700" i="1525" s="1"/>
  <c r="M700" i="1525" s="1"/>
  <c r="N700" i="1525" s="1"/>
  <c r="O700" i="1525" s="1"/>
  <c r="K699" i="1525"/>
  <c r="I699" i="1525" s="1"/>
  <c r="M699" i="1525" s="1"/>
  <c r="N699" i="1525" s="1"/>
  <c r="O699" i="1525" s="1"/>
  <c r="K698" i="1525"/>
  <c r="I698" i="1525" s="1"/>
  <c r="M698" i="1525" s="1"/>
  <c r="N698" i="1525" s="1"/>
  <c r="O698" i="1525" s="1"/>
  <c r="K697" i="1525"/>
  <c r="I697" i="1525" s="1"/>
  <c r="M697" i="1525" s="1"/>
  <c r="N697" i="1525" s="1"/>
  <c r="O697" i="1525" s="1"/>
  <c r="K696" i="1525"/>
  <c r="I696" i="1525" s="1"/>
  <c r="M696" i="1525" s="1"/>
  <c r="N696" i="1525" s="1"/>
  <c r="O696" i="1525" s="1"/>
  <c r="K695" i="1525"/>
  <c r="I695" i="1525" s="1"/>
  <c r="M695" i="1525" s="1"/>
  <c r="N695" i="1525" s="1"/>
  <c r="O695" i="1525" s="1"/>
  <c r="K694" i="1525"/>
  <c r="I694" i="1525" s="1"/>
  <c r="M694" i="1525" s="1"/>
  <c r="N694" i="1525" s="1"/>
  <c r="O694" i="1525" s="1"/>
  <c r="K693" i="1525"/>
  <c r="I693" i="1525" s="1"/>
  <c r="M693" i="1525" s="1"/>
  <c r="N693" i="1525" s="1"/>
  <c r="O693" i="1525" s="1"/>
  <c r="K692" i="1525"/>
  <c r="I692" i="1525" s="1"/>
  <c r="M692" i="1525" s="1"/>
  <c r="N692" i="1525" s="1"/>
  <c r="O692" i="1525" s="1"/>
  <c r="K691" i="1525"/>
  <c r="I691" i="1525" s="1"/>
  <c r="M691" i="1525" s="1"/>
  <c r="N691" i="1525" s="1"/>
  <c r="O691" i="1525" s="1"/>
  <c r="K690" i="1525"/>
  <c r="I690" i="1525" s="1"/>
  <c r="M690" i="1525" s="1"/>
  <c r="N690" i="1525" s="1"/>
  <c r="O690" i="1525" s="1"/>
  <c r="K689" i="1525"/>
  <c r="I689" i="1525" s="1"/>
  <c r="M689" i="1525" s="1"/>
  <c r="N689" i="1525" s="1"/>
  <c r="O689" i="1525" s="1"/>
  <c r="K688" i="1525"/>
  <c r="I688" i="1525" s="1"/>
  <c r="M688" i="1525" s="1"/>
  <c r="N688" i="1525" s="1"/>
  <c r="O688" i="1525" s="1"/>
  <c r="K687" i="1525"/>
  <c r="I687" i="1525" s="1"/>
  <c r="M687" i="1525" s="1"/>
  <c r="N687" i="1525" s="1"/>
  <c r="O687" i="1525" s="1"/>
  <c r="K686" i="1525"/>
  <c r="I686" i="1525" s="1"/>
  <c r="M686" i="1525" s="1"/>
  <c r="N686" i="1525" s="1"/>
  <c r="O686" i="1525" s="1"/>
  <c r="K685" i="1525"/>
  <c r="I685" i="1525" s="1"/>
  <c r="M685" i="1525" s="1"/>
  <c r="N685" i="1525" s="1"/>
  <c r="O685" i="1525" s="1"/>
  <c r="K684" i="1525"/>
  <c r="I684" i="1525" s="1"/>
  <c r="M684" i="1525" s="1"/>
  <c r="N684" i="1525" s="1"/>
  <c r="O684" i="1525" s="1"/>
  <c r="K683" i="1525"/>
  <c r="I683" i="1525" s="1"/>
  <c r="M683" i="1525" s="1"/>
  <c r="N683" i="1525" s="1"/>
  <c r="O683" i="1525" s="1"/>
  <c r="K682" i="1525"/>
  <c r="I682" i="1525" s="1"/>
  <c r="M682" i="1525" s="1"/>
  <c r="N682" i="1525" s="1"/>
  <c r="O682" i="1525" s="1"/>
  <c r="K681" i="1525"/>
  <c r="I681" i="1525" s="1"/>
  <c r="M681" i="1525" s="1"/>
  <c r="N681" i="1525" s="1"/>
  <c r="O681" i="1525" s="1"/>
  <c r="K680" i="1525"/>
  <c r="I680" i="1525" s="1"/>
  <c r="M680" i="1525" s="1"/>
  <c r="N680" i="1525" s="1"/>
  <c r="O680" i="1525" s="1"/>
  <c r="K679" i="1525"/>
  <c r="I679" i="1525" s="1"/>
  <c r="M679" i="1525" s="1"/>
  <c r="N679" i="1525" s="1"/>
  <c r="O679" i="1525" s="1"/>
  <c r="K678" i="1525"/>
  <c r="I678" i="1525" s="1"/>
  <c r="M678" i="1525" s="1"/>
  <c r="N678" i="1525" s="1"/>
  <c r="O678" i="1525" s="1"/>
  <c r="K677" i="1525"/>
  <c r="I677" i="1525" s="1"/>
  <c r="M677" i="1525" s="1"/>
  <c r="N677" i="1525" s="1"/>
  <c r="O677" i="1525" s="1"/>
  <c r="K676" i="1525"/>
  <c r="I676" i="1525" s="1"/>
  <c r="M676" i="1525" s="1"/>
  <c r="N676" i="1525" s="1"/>
  <c r="O676" i="1525" s="1"/>
  <c r="K675" i="1525"/>
  <c r="I675" i="1525" s="1"/>
  <c r="M675" i="1525" s="1"/>
  <c r="N675" i="1525" s="1"/>
  <c r="O675" i="1525" s="1"/>
  <c r="K674" i="1525"/>
  <c r="I674" i="1525" s="1"/>
  <c r="M674" i="1525" s="1"/>
  <c r="N674" i="1525" s="1"/>
  <c r="O674" i="1525" s="1"/>
  <c r="K673" i="1525"/>
  <c r="I673" i="1525" s="1"/>
  <c r="M673" i="1525" s="1"/>
  <c r="N673" i="1525" s="1"/>
  <c r="O673" i="1525" s="1"/>
  <c r="K672" i="1525"/>
  <c r="I672" i="1525" s="1"/>
  <c r="M672" i="1525" s="1"/>
  <c r="N672" i="1525" s="1"/>
  <c r="O672" i="1525" s="1"/>
  <c r="K671" i="1525"/>
  <c r="I671" i="1525" s="1"/>
  <c r="M671" i="1525" s="1"/>
  <c r="N671" i="1525" s="1"/>
  <c r="O671" i="1525" s="1"/>
  <c r="K670" i="1525"/>
  <c r="I670" i="1525" s="1"/>
  <c r="M670" i="1525" s="1"/>
  <c r="N670" i="1525" s="1"/>
  <c r="O670" i="1525" s="1"/>
  <c r="K669" i="1525"/>
  <c r="I669" i="1525" s="1"/>
  <c r="M669" i="1525" s="1"/>
  <c r="N669" i="1525" s="1"/>
  <c r="O669" i="1525" s="1"/>
  <c r="K668" i="1525"/>
  <c r="I668" i="1525" s="1"/>
  <c r="M668" i="1525" s="1"/>
  <c r="N668" i="1525" s="1"/>
  <c r="O668" i="1525" s="1"/>
  <c r="K667" i="1525"/>
  <c r="I667" i="1525" s="1"/>
  <c r="M667" i="1525" s="1"/>
  <c r="N667" i="1525" s="1"/>
  <c r="O667" i="1525" s="1"/>
  <c r="K666" i="1525"/>
  <c r="I666" i="1525" s="1"/>
  <c r="M666" i="1525" s="1"/>
  <c r="N666" i="1525" s="1"/>
  <c r="O666" i="1525" s="1"/>
  <c r="K665" i="1525"/>
  <c r="I665" i="1525" s="1"/>
  <c r="M665" i="1525" s="1"/>
  <c r="N665" i="1525" s="1"/>
  <c r="O665" i="1525" s="1"/>
  <c r="K664" i="1525"/>
  <c r="I664" i="1525" s="1"/>
  <c r="M664" i="1525" s="1"/>
  <c r="N664" i="1525" s="1"/>
  <c r="O664" i="1525" s="1"/>
  <c r="K663" i="1525"/>
  <c r="I663" i="1525" s="1"/>
  <c r="M663" i="1525" s="1"/>
  <c r="N663" i="1525" s="1"/>
  <c r="O663" i="1525" s="1"/>
  <c r="K662" i="1525"/>
  <c r="I662" i="1525" s="1"/>
  <c r="M662" i="1525" s="1"/>
  <c r="N662" i="1525" s="1"/>
  <c r="O662" i="1525" s="1"/>
  <c r="K661" i="1525"/>
  <c r="I661" i="1525" s="1"/>
  <c r="M661" i="1525" s="1"/>
  <c r="N661" i="1525" s="1"/>
  <c r="O661" i="1525" s="1"/>
  <c r="K660" i="1525"/>
  <c r="I660" i="1525" s="1"/>
  <c r="M660" i="1525" s="1"/>
  <c r="N660" i="1525" s="1"/>
  <c r="O660" i="1525" s="1"/>
  <c r="K659" i="1525"/>
  <c r="I659" i="1525" s="1"/>
  <c r="M659" i="1525" s="1"/>
  <c r="N659" i="1525" s="1"/>
  <c r="O659" i="1525" s="1"/>
  <c r="K658" i="1525"/>
  <c r="I658" i="1525" s="1"/>
  <c r="M658" i="1525" s="1"/>
  <c r="N658" i="1525" s="1"/>
  <c r="O658" i="1525" s="1"/>
  <c r="K657" i="1525"/>
  <c r="I657" i="1525" s="1"/>
  <c r="M657" i="1525" s="1"/>
  <c r="N657" i="1525" s="1"/>
  <c r="O657" i="1525" s="1"/>
  <c r="K656" i="1525"/>
  <c r="I656" i="1525" s="1"/>
  <c r="M656" i="1525" s="1"/>
  <c r="N656" i="1525" s="1"/>
  <c r="O656" i="1525" s="1"/>
  <c r="K655" i="1525"/>
  <c r="I655" i="1525" s="1"/>
  <c r="M655" i="1525" s="1"/>
  <c r="N655" i="1525" s="1"/>
  <c r="O655" i="1525" s="1"/>
  <c r="K654" i="1525"/>
  <c r="I654" i="1525" s="1"/>
  <c r="M654" i="1525" s="1"/>
  <c r="N654" i="1525" s="1"/>
  <c r="O654" i="1525" s="1"/>
  <c r="K653" i="1525"/>
  <c r="I653" i="1525" s="1"/>
  <c r="M653" i="1525" s="1"/>
  <c r="N653" i="1525" s="1"/>
  <c r="O653" i="1525" s="1"/>
  <c r="K652" i="1525"/>
  <c r="I652" i="1525" s="1"/>
  <c r="M652" i="1525" s="1"/>
  <c r="N652" i="1525" s="1"/>
  <c r="O652" i="1525" s="1"/>
  <c r="K651" i="1525"/>
  <c r="I651" i="1525" s="1"/>
  <c r="M651" i="1525" s="1"/>
  <c r="N651" i="1525" s="1"/>
  <c r="O651" i="1525" s="1"/>
  <c r="K650" i="1525"/>
  <c r="I650" i="1525" s="1"/>
  <c r="M650" i="1525" s="1"/>
  <c r="N650" i="1525" s="1"/>
  <c r="O650" i="1525" s="1"/>
  <c r="K649" i="1525"/>
  <c r="I649" i="1525" s="1"/>
  <c r="M649" i="1525" s="1"/>
  <c r="N649" i="1525" s="1"/>
  <c r="O649" i="1525" s="1"/>
  <c r="K648" i="1525"/>
  <c r="I648" i="1525" s="1"/>
  <c r="M648" i="1525" s="1"/>
  <c r="N648" i="1525" s="1"/>
  <c r="O648" i="1525" s="1"/>
  <c r="K647" i="1525"/>
  <c r="I647" i="1525" s="1"/>
  <c r="M647" i="1525" s="1"/>
  <c r="N647" i="1525" s="1"/>
  <c r="O647" i="1525" s="1"/>
  <c r="K646" i="1525"/>
  <c r="I646" i="1525" s="1"/>
  <c r="M646" i="1525" s="1"/>
  <c r="N646" i="1525" s="1"/>
  <c r="O646" i="1525" s="1"/>
  <c r="K645" i="1525"/>
  <c r="I645" i="1525" s="1"/>
  <c r="M645" i="1525" s="1"/>
  <c r="N645" i="1525" s="1"/>
  <c r="O645" i="1525" s="1"/>
  <c r="K644" i="1525"/>
  <c r="I644" i="1525" s="1"/>
  <c r="M644" i="1525" s="1"/>
  <c r="N644" i="1525" s="1"/>
  <c r="O644" i="1525" s="1"/>
  <c r="K643" i="1525"/>
  <c r="I643" i="1525" s="1"/>
  <c r="M643" i="1525" s="1"/>
  <c r="N643" i="1525" s="1"/>
  <c r="O643" i="1525" s="1"/>
  <c r="K642" i="1525"/>
  <c r="I642" i="1525" s="1"/>
  <c r="M642" i="1525" s="1"/>
  <c r="N642" i="1525" s="1"/>
  <c r="O642" i="1525" s="1"/>
  <c r="K641" i="1525"/>
  <c r="I641" i="1525" s="1"/>
  <c r="M641" i="1525" s="1"/>
  <c r="N641" i="1525" s="1"/>
  <c r="O641" i="1525" s="1"/>
  <c r="K640" i="1525"/>
  <c r="I640" i="1525" s="1"/>
  <c r="M640" i="1525" s="1"/>
  <c r="N640" i="1525" s="1"/>
  <c r="O640" i="1525" s="1"/>
  <c r="K639" i="1525"/>
  <c r="I639" i="1525" s="1"/>
  <c r="M639" i="1525" s="1"/>
  <c r="N639" i="1525" s="1"/>
  <c r="O639" i="1525" s="1"/>
  <c r="K638" i="1525"/>
  <c r="I638" i="1525" s="1"/>
  <c r="M638" i="1525" s="1"/>
  <c r="N638" i="1525" s="1"/>
  <c r="O638" i="1525" s="1"/>
  <c r="K637" i="1525"/>
  <c r="I637" i="1525" s="1"/>
  <c r="M637" i="1525" s="1"/>
  <c r="N637" i="1525" s="1"/>
  <c r="O637" i="1525" s="1"/>
  <c r="K636" i="1525"/>
  <c r="I636" i="1525" s="1"/>
  <c r="M636" i="1525" s="1"/>
  <c r="N636" i="1525" s="1"/>
  <c r="O636" i="1525" s="1"/>
  <c r="K635" i="1525"/>
  <c r="I635" i="1525" s="1"/>
  <c r="M635" i="1525" s="1"/>
  <c r="N635" i="1525" s="1"/>
  <c r="O635" i="1525" s="1"/>
  <c r="K634" i="1525"/>
  <c r="I634" i="1525" s="1"/>
  <c r="M634" i="1525" s="1"/>
  <c r="N634" i="1525" s="1"/>
  <c r="O634" i="1525" s="1"/>
  <c r="K633" i="1525"/>
  <c r="I633" i="1525" s="1"/>
  <c r="M633" i="1525" s="1"/>
  <c r="N633" i="1525" s="1"/>
  <c r="O633" i="1525" s="1"/>
  <c r="K632" i="1525"/>
  <c r="I632" i="1525" s="1"/>
  <c r="M632" i="1525" s="1"/>
  <c r="N632" i="1525" s="1"/>
  <c r="O632" i="1525" s="1"/>
  <c r="K631" i="1525"/>
  <c r="I631" i="1525" s="1"/>
  <c r="M631" i="1525" s="1"/>
  <c r="N631" i="1525" s="1"/>
  <c r="O631" i="1525" s="1"/>
  <c r="K630" i="1525"/>
  <c r="I630" i="1525" s="1"/>
  <c r="M630" i="1525" s="1"/>
  <c r="N630" i="1525" s="1"/>
  <c r="O630" i="1525" s="1"/>
  <c r="K629" i="1525"/>
  <c r="I629" i="1525" s="1"/>
  <c r="M629" i="1525" s="1"/>
  <c r="N629" i="1525" s="1"/>
  <c r="O629" i="1525" s="1"/>
  <c r="K628" i="1525"/>
  <c r="I628" i="1525" s="1"/>
  <c r="M628" i="1525" s="1"/>
  <c r="N628" i="1525" s="1"/>
  <c r="O628" i="1525" s="1"/>
  <c r="K627" i="1525"/>
  <c r="I627" i="1525" s="1"/>
  <c r="M627" i="1525" s="1"/>
  <c r="N627" i="1525" s="1"/>
  <c r="O627" i="1525" s="1"/>
  <c r="K626" i="1525"/>
  <c r="I626" i="1525" s="1"/>
  <c r="M626" i="1525" s="1"/>
  <c r="N626" i="1525" s="1"/>
  <c r="O626" i="1525" s="1"/>
  <c r="K625" i="1525"/>
  <c r="I625" i="1525" s="1"/>
  <c r="M625" i="1525" s="1"/>
  <c r="N625" i="1525" s="1"/>
  <c r="O625" i="1525" s="1"/>
  <c r="K624" i="1525"/>
  <c r="I624" i="1525" s="1"/>
  <c r="M624" i="1525" s="1"/>
  <c r="N624" i="1525" s="1"/>
  <c r="O624" i="1525" s="1"/>
  <c r="K623" i="1525"/>
  <c r="I623" i="1525" s="1"/>
  <c r="M623" i="1525" s="1"/>
  <c r="N623" i="1525" s="1"/>
  <c r="O623" i="1525" s="1"/>
  <c r="K622" i="1525"/>
  <c r="I622" i="1525" s="1"/>
  <c r="M622" i="1525" s="1"/>
  <c r="N622" i="1525" s="1"/>
  <c r="O622" i="1525" s="1"/>
  <c r="K621" i="1525"/>
  <c r="I621" i="1525" s="1"/>
  <c r="M621" i="1525" s="1"/>
  <c r="N621" i="1525" s="1"/>
  <c r="O621" i="1525" s="1"/>
  <c r="K620" i="1525"/>
  <c r="I620" i="1525" s="1"/>
  <c r="M620" i="1525" s="1"/>
  <c r="N620" i="1525" s="1"/>
  <c r="O620" i="1525" s="1"/>
  <c r="K619" i="1525"/>
  <c r="I619" i="1525" s="1"/>
  <c r="M619" i="1525" s="1"/>
  <c r="N619" i="1525" s="1"/>
  <c r="O619" i="1525" s="1"/>
  <c r="K618" i="1525"/>
  <c r="I618" i="1525" s="1"/>
  <c r="M618" i="1525" s="1"/>
  <c r="N618" i="1525" s="1"/>
  <c r="O618" i="1525" s="1"/>
  <c r="K617" i="1525"/>
  <c r="I617" i="1525" s="1"/>
  <c r="M617" i="1525" s="1"/>
  <c r="N617" i="1525" s="1"/>
  <c r="O617" i="1525" s="1"/>
  <c r="K616" i="1525"/>
  <c r="I616" i="1525" s="1"/>
  <c r="M616" i="1525" s="1"/>
  <c r="N616" i="1525" s="1"/>
  <c r="O616" i="1525" s="1"/>
  <c r="K615" i="1525"/>
  <c r="I615" i="1525" s="1"/>
  <c r="M615" i="1525" s="1"/>
  <c r="N615" i="1525" s="1"/>
  <c r="O615" i="1525" s="1"/>
  <c r="K614" i="1525"/>
  <c r="I614" i="1525" s="1"/>
  <c r="M614" i="1525" s="1"/>
  <c r="N614" i="1525" s="1"/>
  <c r="O614" i="1525" s="1"/>
  <c r="K613" i="1525"/>
  <c r="I613" i="1525" s="1"/>
  <c r="M613" i="1525" s="1"/>
  <c r="N613" i="1525" s="1"/>
  <c r="O613" i="1525" s="1"/>
  <c r="K612" i="1525"/>
  <c r="I612" i="1525" s="1"/>
  <c r="M612" i="1525" s="1"/>
  <c r="N612" i="1525" s="1"/>
  <c r="O612" i="1525" s="1"/>
  <c r="K611" i="1525"/>
  <c r="I611" i="1525" s="1"/>
  <c r="M611" i="1525" s="1"/>
  <c r="N611" i="1525" s="1"/>
  <c r="O611" i="1525" s="1"/>
  <c r="K610" i="1525"/>
  <c r="I610" i="1525" s="1"/>
  <c r="M610" i="1525" s="1"/>
  <c r="N610" i="1525" s="1"/>
  <c r="O610" i="1525" s="1"/>
  <c r="K609" i="1525"/>
  <c r="I609" i="1525" s="1"/>
  <c r="M609" i="1525" s="1"/>
  <c r="N609" i="1525" s="1"/>
  <c r="O609" i="1525" s="1"/>
  <c r="K608" i="1525"/>
  <c r="I608" i="1525" s="1"/>
  <c r="M608" i="1525" s="1"/>
  <c r="N608" i="1525" s="1"/>
  <c r="O608" i="1525" s="1"/>
  <c r="K607" i="1525"/>
  <c r="I607" i="1525" s="1"/>
  <c r="M607" i="1525" s="1"/>
  <c r="N607" i="1525" s="1"/>
  <c r="O607" i="1525" s="1"/>
  <c r="K606" i="1525"/>
  <c r="I606" i="1525" s="1"/>
  <c r="M606" i="1525" s="1"/>
  <c r="N606" i="1525" s="1"/>
  <c r="O606" i="1525" s="1"/>
  <c r="K605" i="1525"/>
  <c r="I605" i="1525" s="1"/>
  <c r="M605" i="1525" s="1"/>
  <c r="N605" i="1525" s="1"/>
  <c r="O605" i="1525" s="1"/>
  <c r="K604" i="1525"/>
  <c r="I604" i="1525" s="1"/>
  <c r="M604" i="1525" s="1"/>
  <c r="N604" i="1525" s="1"/>
  <c r="O604" i="1525" s="1"/>
  <c r="K603" i="1525"/>
  <c r="I603" i="1525" s="1"/>
  <c r="M603" i="1525" s="1"/>
  <c r="N603" i="1525" s="1"/>
  <c r="O603" i="1525" s="1"/>
  <c r="K602" i="1525"/>
  <c r="I602" i="1525" s="1"/>
  <c r="M602" i="1525" s="1"/>
  <c r="N602" i="1525" s="1"/>
  <c r="O602" i="1525" s="1"/>
  <c r="K601" i="1525"/>
  <c r="I601" i="1525" s="1"/>
  <c r="M601" i="1525" s="1"/>
  <c r="N601" i="1525" s="1"/>
  <c r="O601" i="1525" s="1"/>
  <c r="K600" i="1525"/>
  <c r="I600" i="1525" s="1"/>
  <c r="M600" i="1525" s="1"/>
  <c r="N600" i="1525" s="1"/>
  <c r="O600" i="1525" s="1"/>
  <c r="K599" i="1525"/>
  <c r="I599" i="1525" s="1"/>
  <c r="M599" i="1525" s="1"/>
  <c r="N599" i="1525" s="1"/>
  <c r="O599" i="1525" s="1"/>
  <c r="K598" i="1525"/>
  <c r="I598" i="1525" s="1"/>
  <c r="M598" i="1525" s="1"/>
  <c r="N598" i="1525" s="1"/>
  <c r="O598" i="1525" s="1"/>
  <c r="K597" i="1525"/>
  <c r="I597" i="1525" s="1"/>
  <c r="M597" i="1525" s="1"/>
  <c r="N597" i="1525" s="1"/>
  <c r="O597" i="1525" s="1"/>
  <c r="K596" i="1525"/>
  <c r="I596" i="1525" s="1"/>
  <c r="M596" i="1525" s="1"/>
  <c r="N596" i="1525" s="1"/>
  <c r="O596" i="1525" s="1"/>
  <c r="K595" i="1525"/>
  <c r="I595" i="1525" s="1"/>
  <c r="M595" i="1525" s="1"/>
  <c r="N595" i="1525" s="1"/>
  <c r="O595" i="1525" s="1"/>
  <c r="K594" i="1525"/>
  <c r="I594" i="1525" s="1"/>
  <c r="M594" i="1525" s="1"/>
  <c r="N594" i="1525" s="1"/>
  <c r="O594" i="1525" s="1"/>
  <c r="K593" i="1525"/>
  <c r="I593" i="1525" s="1"/>
  <c r="M593" i="1525" s="1"/>
  <c r="N593" i="1525" s="1"/>
  <c r="O593" i="1525" s="1"/>
  <c r="K592" i="1525"/>
  <c r="I592" i="1525" s="1"/>
  <c r="M592" i="1525" s="1"/>
  <c r="N592" i="1525" s="1"/>
  <c r="O592" i="1525" s="1"/>
  <c r="K591" i="1525"/>
  <c r="I591" i="1525" s="1"/>
  <c r="M591" i="1525" s="1"/>
  <c r="N591" i="1525" s="1"/>
  <c r="O591" i="1525" s="1"/>
  <c r="K590" i="1525"/>
  <c r="I590" i="1525" s="1"/>
  <c r="M590" i="1525" s="1"/>
  <c r="N590" i="1525" s="1"/>
  <c r="O590" i="1525" s="1"/>
  <c r="K589" i="1525"/>
  <c r="I589" i="1525" s="1"/>
  <c r="M589" i="1525" s="1"/>
  <c r="N589" i="1525" s="1"/>
  <c r="O589" i="1525" s="1"/>
  <c r="K588" i="1525"/>
  <c r="I588" i="1525" s="1"/>
  <c r="M588" i="1525" s="1"/>
  <c r="N588" i="1525" s="1"/>
  <c r="O588" i="1525" s="1"/>
  <c r="K587" i="1525"/>
  <c r="I587" i="1525" s="1"/>
  <c r="M587" i="1525" s="1"/>
  <c r="N587" i="1525" s="1"/>
  <c r="O587" i="1525" s="1"/>
  <c r="K586" i="1525"/>
  <c r="I586" i="1525" s="1"/>
  <c r="M586" i="1525" s="1"/>
  <c r="N586" i="1525" s="1"/>
  <c r="O586" i="1525" s="1"/>
  <c r="K585" i="1525"/>
  <c r="I585" i="1525" s="1"/>
  <c r="M585" i="1525" s="1"/>
  <c r="N585" i="1525" s="1"/>
  <c r="O585" i="1525" s="1"/>
  <c r="K584" i="1525"/>
  <c r="I584" i="1525" s="1"/>
  <c r="M584" i="1525" s="1"/>
  <c r="N584" i="1525" s="1"/>
  <c r="O584" i="1525" s="1"/>
  <c r="K583" i="1525"/>
  <c r="I583" i="1525" s="1"/>
  <c r="M583" i="1525" s="1"/>
  <c r="N583" i="1525" s="1"/>
  <c r="O583" i="1525" s="1"/>
  <c r="K582" i="1525"/>
  <c r="I582" i="1525" s="1"/>
  <c r="M582" i="1525" s="1"/>
  <c r="N582" i="1525" s="1"/>
  <c r="O582" i="1525" s="1"/>
  <c r="K581" i="1525"/>
  <c r="I581" i="1525" s="1"/>
  <c r="M581" i="1525" s="1"/>
  <c r="N581" i="1525" s="1"/>
  <c r="O581" i="1525" s="1"/>
  <c r="K580" i="1525"/>
  <c r="I580" i="1525" s="1"/>
  <c r="M580" i="1525" s="1"/>
  <c r="N580" i="1525" s="1"/>
  <c r="O580" i="1525" s="1"/>
  <c r="K579" i="1525"/>
  <c r="I579" i="1525" s="1"/>
  <c r="M579" i="1525" s="1"/>
  <c r="N579" i="1525" s="1"/>
  <c r="O579" i="1525" s="1"/>
  <c r="K578" i="1525"/>
  <c r="I578" i="1525" s="1"/>
  <c r="M578" i="1525" s="1"/>
  <c r="N578" i="1525" s="1"/>
  <c r="O578" i="1525" s="1"/>
  <c r="K577" i="1525"/>
  <c r="I577" i="1525" s="1"/>
  <c r="M577" i="1525" s="1"/>
  <c r="N577" i="1525" s="1"/>
  <c r="O577" i="1525" s="1"/>
  <c r="K576" i="1525"/>
  <c r="I576" i="1525" s="1"/>
  <c r="M576" i="1525" s="1"/>
  <c r="N576" i="1525" s="1"/>
  <c r="O576" i="1525" s="1"/>
  <c r="K575" i="1525"/>
  <c r="I575" i="1525" s="1"/>
  <c r="M575" i="1525" s="1"/>
  <c r="N575" i="1525" s="1"/>
  <c r="O575" i="1525" s="1"/>
  <c r="K574" i="1525"/>
  <c r="I574" i="1525" s="1"/>
  <c r="M574" i="1525" s="1"/>
  <c r="N574" i="1525" s="1"/>
  <c r="O574" i="1525" s="1"/>
  <c r="K573" i="1525"/>
  <c r="I573" i="1525" s="1"/>
  <c r="M573" i="1525" s="1"/>
  <c r="N573" i="1525" s="1"/>
  <c r="O573" i="1525" s="1"/>
  <c r="K572" i="1525"/>
  <c r="I572" i="1525" s="1"/>
  <c r="M572" i="1525" s="1"/>
  <c r="N572" i="1525" s="1"/>
  <c r="O572" i="1525" s="1"/>
  <c r="K571" i="1525"/>
  <c r="I571" i="1525" s="1"/>
  <c r="M571" i="1525" s="1"/>
  <c r="N571" i="1525" s="1"/>
  <c r="O571" i="1525" s="1"/>
  <c r="K570" i="1525"/>
  <c r="I570" i="1525" s="1"/>
  <c r="M570" i="1525" s="1"/>
  <c r="N570" i="1525" s="1"/>
  <c r="O570" i="1525" s="1"/>
  <c r="K569" i="1525"/>
  <c r="I569" i="1525" s="1"/>
  <c r="M569" i="1525" s="1"/>
  <c r="N569" i="1525" s="1"/>
  <c r="O569" i="1525" s="1"/>
  <c r="K568" i="1525"/>
  <c r="I568" i="1525" s="1"/>
  <c r="M568" i="1525" s="1"/>
  <c r="N568" i="1525" s="1"/>
  <c r="O568" i="1525" s="1"/>
  <c r="K567" i="1525"/>
  <c r="I567" i="1525" s="1"/>
  <c r="M567" i="1525" s="1"/>
  <c r="N567" i="1525" s="1"/>
  <c r="O567" i="1525" s="1"/>
  <c r="K566" i="1525"/>
  <c r="I566" i="1525" s="1"/>
  <c r="M566" i="1525" s="1"/>
  <c r="N566" i="1525" s="1"/>
  <c r="O566" i="1525" s="1"/>
  <c r="K565" i="1525"/>
  <c r="I565" i="1525" s="1"/>
  <c r="M565" i="1525" s="1"/>
  <c r="N565" i="1525" s="1"/>
  <c r="O565" i="1525" s="1"/>
  <c r="K564" i="1525"/>
  <c r="I564" i="1525" s="1"/>
  <c r="M564" i="1525" s="1"/>
  <c r="N564" i="1525" s="1"/>
  <c r="O564" i="1525" s="1"/>
  <c r="K563" i="1525"/>
  <c r="I563" i="1525" s="1"/>
  <c r="M563" i="1525" s="1"/>
  <c r="N563" i="1525" s="1"/>
  <c r="O563" i="1525" s="1"/>
  <c r="K562" i="1525"/>
  <c r="I562" i="1525" s="1"/>
  <c r="M562" i="1525" s="1"/>
  <c r="N562" i="1525" s="1"/>
  <c r="O562" i="1525" s="1"/>
  <c r="K561" i="1525"/>
  <c r="I561" i="1525" s="1"/>
  <c r="M561" i="1525" s="1"/>
  <c r="N561" i="1525" s="1"/>
  <c r="O561" i="1525" s="1"/>
  <c r="K560" i="1525"/>
  <c r="I560" i="1525" s="1"/>
  <c r="M560" i="1525" s="1"/>
  <c r="N560" i="1525" s="1"/>
  <c r="O560" i="1525" s="1"/>
  <c r="K559" i="1525"/>
  <c r="I559" i="1525" s="1"/>
  <c r="M559" i="1525" s="1"/>
  <c r="N559" i="1525" s="1"/>
  <c r="O559" i="1525" s="1"/>
  <c r="K558" i="1525"/>
  <c r="I558" i="1525" s="1"/>
  <c r="M558" i="1525" s="1"/>
  <c r="N558" i="1525" s="1"/>
  <c r="O558" i="1525" s="1"/>
  <c r="K557" i="1525"/>
  <c r="I557" i="1525" s="1"/>
  <c r="M557" i="1525" s="1"/>
  <c r="N557" i="1525" s="1"/>
  <c r="O557" i="1525" s="1"/>
  <c r="K556" i="1525"/>
  <c r="I556" i="1525" s="1"/>
  <c r="M556" i="1525" s="1"/>
  <c r="N556" i="1525" s="1"/>
  <c r="O556" i="1525" s="1"/>
  <c r="K555" i="1525"/>
  <c r="I555" i="1525" s="1"/>
  <c r="M555" i="1525" s="1"/>
  <c r="N555" i="1525" s="1"/>
  <c r="O555" i="1525" s="1"/>
  <c r="K554" i="1525"/>
  <c r="I554" i="1525" s="1"/>
  <c r="M554" i="1525" s="1"/>
  <c r="N554" i="1525" s="1"/>
  <c r="O554" i="1525" s="1"/>
  <c r="K553" i="1525"/>
  <c r="I553" i="1525" s="1"/>
  <c r="M553" i="1525" s="1"/>
  <c r="N553" i="1525" s="1"/>
  <c r="O553" i="1525" s="1"/>
  <c r="K552" i="1525"/>
  <c r="I552" i="1525" s="1"/>
  <c r="M552" i="1525" s="1"/>
  <c r="N552" i="1525" s="1"/>
  <c r="O552" i="1525" s="1"/>
  <c r="K551" i="1525"/>
  <c r="I551" i="1525" s="1"/>
  <c r="M551" i="1525" s="1"/>
  <c r="N551" i="1525" s="1"/>
  <c r="O551" i="1525" s="1"/>
  <c r="K550" i="1525"/>
  <c r="I550" i="1525" s="1"/>
  <c r="M550" i="1525" s="1"/>
  <c r="N550" i="1525" s="1"/>
  <c r="O550" i="1525" s="1"/>
  <c r="K549" i="1525"/>
  <c r="I549" i="1525" s="1"/>
  <c r="M549" i="1525" s="1"/>
  <c r="N549" i="1525" s="1"/>
  <c r="O549" i="1525" s="1"/>
  <c r="K548" i="1525"/>
  <c r="I548" i="1525" s="1"/>
  <c r="M548" i="1525" s="1"/>
  <c r="N548" i="1525" s="1"/>
  <c r="O548" i="1525" s="1"/>
  <c r="K547" i="1525"/>
  <c r="I547" i="1525" s="1"/>
  <c r="M547" i="1525" s="1"/>
  <c r="N547" i="1525" s="1"/>
  <c r="O547" i="1525" s="1"/>
  <c r="K546" i="1525"/>
  <c r="I546" i="1525" s="1"/>
  <c r="M546" i="1525" s="1"/>
  <c r="N546" i="1525" s="1"/>
  <c r="O546" i="1525" s="1"/>
  <c r="K545" i="1525"/>
  <c r="I545" i="1525" s="1"/>
  <c r="M545" i="1525" s="1"/>
  <c r="N545" i="1525" s="1"/>
  <c r="O545" i="1525" s="1"/>
  <c r="K544" i="1525"/>
  <c r="I544" i="1525" s="1"/>
  <c r="M544" i="1525" s="1"/>
  <c r="N544" i="1525" s="1"/>
  <c r="O544" i="1525" s="1"/>
  <c r="K543" i="1525"/>
  <c r="I543" i="1525" s="1"/>
  <c r="M543" i="1525" s="1"/>
  <c r="N543" i="1525" s="1"/>
  <c r="O543" i="1525" s="1"/>
  <c r="K542" i="1525"/>
  <c r="I542" i="1525" s="1"/>
  <c r="M542" i="1525" s="1"/>
  <c r="N542" i="1525" s="1"/>
  <c r="O542" i="1525" s="1"/>
  <c r="K541" i="1525"/>
  <c r="I541" i="1525" s="1"/>
  <c r="M541" i="1525" s="1"/>
  <c r="N541" i="1525" s="1"/>
  <c r="O541" i="1525" s="1"/>
  <c r="K540" i="1525"/>
  <c r="I540" i="1525" s="1"/>
  <c r="M540" i="1525" s="1"/>
  <c r="N540" i="1525" s="1"/>
  <c r="O540" i="1525" s="1"/>
  <c r="K539" i="1525"/>
  <c r="I539" i="1525" s="1"/>
  <c r="M539" i="1525" s="1"/>
  <c r="N539" i="1525" s="1"/>
  <c r="O539" i="1525" s="1"/>
  <c r="K538" i="1525"/>
  <c r="I538" i="1525" s="1"/>
  <c r="M538" i="1525" s="1"/>
  <c r="N538" i="1525" s="1"/>
  <c r="O538" i="1525" s="1"/>
  <c r="K537" i="1525"/>
  <c r="I537" i="1525" s="1"/>
  <c r="M537" i="1525" s="1"/>
  <c r="N537" i="1525" s="1"/>
  <c r="O537" i="1525" s="1"/>
  <c r="K536" i="1525"/>
  <c r="I536" i="1525" s="1"/>
  <c r="M536" i="1525" s="1"/>
  <c r="N536" i="1525" s="1"/>
  <c r="O536" i="1525" s="1"/>
  <c r="K535" i="1525"/>
  <c r="I535" i="1525" s="1"/>
  <c r="M535" i="1525" s="1"/>
  <c r="N535" i="1525" s="1"/>
  <c r="O535" i="1525" s="1"/>
  <c r="K534" i="1525"/>
  <c r="I534" i="1525" s="1"/>
  <c r="M534" i="1525" s="1"/>
  <c r="N534" i="1525" s="1"/>
  <c r="O534" i="1525" s="1"/>
  <c r="K533" i="1525"/>
  <c r="I533" i="1525" s="1"/>
  <c r="M533" i="1525" s="1"/>
  <c r="N533" i="1525" s="1"/>
  <c r="O533" i="1525" s="1"/>
  <c r="K532" i="1525"/>
  <c r="I532" i="1525" s="1"/>
  <c r="M532" i="1525" s="1"/>
  <c r="N532" i="1525" s="1"/>
  <c r="O532" i="1525" s="1"/>
  <c r="K531" i="1525"/>
  <c r="I531" i="1525" s="1"/>
  <c r="M531" i="1525" s="1"/>
  <c r="N531" i="1525" s="1"/>
  <c r="O531" i="1525" s="1"/>
  <c r="K530" i="1525"/>
  <c r="I530" i="1525" s="1"/>
  <c r="M530" i="1525" s="1"/>
  <c r="N530" i="1525" s="1"/>
  <c r="O530" i="1525" s="1"/>
  <c r="K529" i="1525"/>
  <c r="I529" i="1525" s="1"/>
  <c r="M529" i="1525" s="1"/>
  <c r="N529" i="1525" s="1"/>
  <c r="O529" i="1525" s="1"/>
  <c r="K528" i="1525"/>
  <c r="I528" i="1525" s="1"/>
  <c r="M528" i="1525" s="1"/>
  <c r="N528" i="1525" s="1"/>
  <c r="O528" i="1525" s="1"/>
  <c r="K527" i="1525"/>
  <c r="I527" i="1525" s="1"/>
  <c r="M527" i="1525" s="1"/>
  <c r="N527" i="1525" s="1"/>
  <c r="O527" i="1525" s="1"/>
  <c r="K526" i="1525"/>
  <c r="I526" i="1525" s="1"/>
  <c r="M526" i="1525" s="1"/>
  <c r="N526" i="1525" s="1"/>
  <c r="O526" i="1525" s="1"/>
  <c r="K525" i="1525"/>
  <c r="I525" i="1525" s="1"/>
  <c r="M525" i="1525" s="1"/>
  <c r="N525" i="1525" s="1"/>
  <c r="O525" i="1525" s="1"/>
  <c r="K524" i="1525"/>
  <c r="I524" i="1525" s="1"/>
  <c r="M524" i="1525" s="1"/>
  <c r="N524" i="1525" s="1"/>
  <c r="O524" i="1525" s="1"/>
  <c r="K523" i="1525"/>
  <c r="I523" i="1525" s="1"/>
  <c r="M523" i="1525" s="1"/>
  <c r="N523" i="1525" s="1"/>
  <c r="O523" i="1525" s="1"/>
  <c r="K522" i="1525"/>
  <c r="I522" i="1525" s="1"/>
  <c r="M522" i="1525" s="1"/>
  <c r="N522" i="1525" s="1"/>
  <c r="O522" i="1525" s="1"/>
  <c r="K521" i="1525"/>
  <c r="I521" i="1525" s="1"/>
  <c r="M521" i="1525" s="1"/>
  <c r="N521" i="1525" s="1"/>
  <c r="O521" i="1525" s="1"/>
  <c r="K520" i="1525"/>
  <c r="I520" i="1525" s="1"/>
  <c r="M520" i="1525" s="1"/>
  <c r="N520" i="1525" s="1"/>
  <c r="O520" i="1525" s="1"/>
  <c r="K519" i="1525"/>
  <c r="I519" i="1525" s="1"/>
  <c r="M519" i="1525" s="1"/>
  <c r="N519" i="1525" s="1"/>
  <c r="O519" i="1525" s="1"/>
  <c r="K518" i="1525"/>
  <c r="I518" i="1525" s="1"/>
  <c r="M518" i="1525" s="1"/>
  <c r="N518" i="1525" s="1"/>
  <c r="O518" i="1525" s="1"/>
  <c r="K517" i="1525"/>
  <c r="I517" i="1525" s="1"/>
  <c r="M517" i="1525" s="1"/>
  <c r="N517" i="1525" s="1"/>
  <c r="O517" i="1525" s="1"/>
  <c r="K516" i="1525"/>
  <c r="I516" i="1525" s="1"/>
  <c r="M516" i="1525" s="1"/>
  <c r="N516" i="1525" s="1"/>
  <c r="O516" i="1525" s="1"/>
  <c r="K515" i="1525"/>
  <c r="I515" i="1525" s="1"/>
  <c r="M515" i="1525" s="1"/>
  <c r="N515" i="1525" s="1"/>
  <c r="O515" i="1525" s="1"/>
  <c r="K514" i="1525"/>
  <c r="I514" i="1525" s="1"/>
  <c r="M514" i="1525" s="1"/>
  <c r="N514" i="1525" s="1"/>
  <c r="O514" i="1525" s="1"/>
  <c r="K513" i="1525"/>
  <c r="I513" i="1525" s="1"/>
  <c r="M513" i="1525" s="1"/>
  <c r="N513" i="1525" s="1"/>
  <c r="O513" i="1525" s="1"/>
  <c r="K512" i="1525"/>
  <c r="I512" i="1525" s="1"/>
  <c r="M512" i="1525" s="1"/>
  <c r="N512" i="1525" s="1"/>
  <c r="O512" i="1525" s="1"/>
  <c r="K511" i="1525"/>
  <c r="I511" i="1525" s="1"/>
  <c r="M511" i="1525" s="1"/>
  <c r="N511" i="1525" s="1"/>
  <c r="O511" i="1525" s="1"/>
  <c r="K510" i="1525"/>
  <c r="I510" i="1525" s="1"/>
  <c r="M510" i="1525" s="1"/>
  <c r="N510" i="1525" s="1"/>
  <c r="O510" i="1525" s="1"/>
  <c r="K509" i="1525"/>
  <c r="I509" i="1525" s="1"/>
  <c r="M509" i="1525" s="1"/>
  <c r="N509" i="1525" s="1"/>
  <c r="O509" i="1525" s="1"/>
  <c r="K508" i="1525"/>
  <c r="I508" i="1525" s="1"/>
  <c r="M508" i="1525" s="1"/>
  <c r="N508" i="1525" s="1"/>
  <c r="O508" i="1525" s="1"/>
  <c r="K507" i="1525"/>
  <c r="I507" i="1525" s="1"/>
  <c r="M507" i="1525" s="1"/>
  <c r="N507" i="1525" s="1"/>
  <c r="O507" i="1525" s="1"/>
  <c r="K506" i="1525"/>
  <c r="I506" i="1525" s="1"/>
  <c r="M506" i="1525" s="1"/>
  <c r="N506" i="1525" s="1"/>
  <c r="O506" i="1525" s="1"/>
  <c r="K505" i="1525"/>
  <c r="I505" i="1525" s="1"/>
  <c r="M505" i="1525" s="1"/>
  <c r="N505" i="1525" s="1"/>
  <c r="O505" i="1525" s="1"/>
  <c r="K504" i="1525"/>
  <c r="I504" i="1525" s="1"/>
  <c r="M504" i="1525" s="1"/>
  <c r="N504" i="1525" s="1"/>
  <c r="O504" i="1525" s="1"/>
  <c r="K503" i="1525"/>
  <c r="I503" i="1525" s="1"/>
  <c r="M503" i="1525" s="1"/>
  <c r="N503" i="1525" s="1"/>
  <c r="O503" i="1525" s="1"/>
  <c r="K502" i="1525"/>
  <c r="I502" i="1525" s="1"/>
  <c r="M502" i="1525" s="1"/>
  <c r="N502" i="1525" s="1"/>
  <c r="O502" i="1525" s="1"/>
  <c r="K501" i="1525"/>
  <c r="I501" i="1525" s="1"/>
  <c r="M501" i="1525" s="1"/>
  <c r="N501" i="1525" s="1"/>
  <c r="O501" i="1525" s="1"/>
  <c r="K500" i="1525"/>
  <c r="I500" i="1525" s="1"/>
  <c r="M500" i="1525" s="1"/>
  <c r="N500" i="1525" s="1"/>
  <c r="O500" i="1525" s="1"/>
  <c r="K499" i="1525"/>
  <c r="I499" i="1525" s="1"/>
  <c r="M499" i="1525" s="1"/>
  <c r="N499" i="1525" s="1"/>
  <c r="O499" i="1525" s="1"/>
  <c r="K498" i="1525"/>
  <c r="I498" i="1525" s="1"/>
  <c r="M498" i="1525" s="1"/>
  <c r="N498" i="1525" s="1"/>
  <c r="O498" i="1525" s="1"/>
  <c r="K497" i="1525"/>
  <c r="I497" i="1525" s="1"/>
  <c r="M497" i="1525" s="1"/>
  <c r="N497" i="1525" s="1"/>
  <c r="O497" i="1525" s="1"/>
  <c r="K496" i="1525"/>
  <c r="I496" i="1525" s="1"/>
  <c r="M496" i="1525" s="1"/>
  <c r="N496" i="1525" s="1"/>
  <c r="O496" i="1525" s="1"/>
  <c r="K495" i="1525"/>
  <c r="I495" i="1525" s="1"/>
  <c r="M495" i="1525" s="1"/>
  <c r="N495" i="1525" s="1"/>
  <c r="O495" i="1525" s="1"/>
  <c r="K494" i="1525"/>
  <c r="I494" i="1525" s="1"/>
  <c r="M494" i="1525" s="1"/>
  <c r="N494" i="1525" s="1"/>
  <c r="O494" i="1525" s="1"/>
  <c r="K493" i="1525"/>
  <c r="I493" i="1525" s="1"/>
  <c r="M493" i="1525" s="1"/>
  <c r="N493" i="1525" s="1"/>
  <c r="O493" i="1525" s="1"/>
  <c r="K492" i="1525"/>
  <c r="I492" i="1525" s="1"/>
  <c r="M492" i="1525" s="1"/>
  <c r="N492" i="1525" s="1"/>
  <c r="O492" i="1525" s="1"/>
  <c r="K491" i="1525"/>
  <c r="I491" i="1525" s="1"/>
  <c r="M491" i="1525" s="1"/>
  <c r="N491" i="1525" s="1"/>
  <c r="O491" i="1525" s="1"/>
  <c r="K490" i="1525"/>
  <c r="I490" i="1525" s="1"/>
  <c r="M490" i="1525" s="1"/>
  <c r="N490" i="1525" s="1"/>
  <c r="O490" i="1525" s="1"/>
  <c r="K489" i="1525"/>
  <c r="I489" i="1525" s="1"/>
  <c r="M489" i="1525" s="1"/>
  <c r="N489" i="1525" s="1"/>
  <c r="O489" i="1525" s="1"/>
  <c r="K488" i="1525"/>
  <c r="I488" i="1525" s="1"/>
  <c r="M488" i="1525" s="1"/>
  <c r="N488" i="1525" s="1"/>
  <c r="O488" i="1525" s="1"/>
  <c r="K487" i="1525"/>
  <c r="I487" i="1525" s="1"/>
  <c r="M487" i="1525" s="1"/>
  <c r="N487" i="1525" s="1"/>
  <c r="O487" i="1525" s="1"/>
  <c r="K486" i="1525"/>
  <c r="I486" i="1525" s="1"/>
  <c r="M486" i="1525" s="1"/>
  <c r="N486" i="1525" s="1"/>
  <c r="O486" i="1525" s="1"/>
  <c r="K485" i="1525"/>
  <c r="I485" i="1525" s="1"/>
  <c r="M485" i="1525" s="1"/>
  <c r="N485" i="1525" s="1"/>
  <c r="O485" i="1525" s="1"/>
  <c r="K484" i="1525"/>
  <c r="I484" i="1525" s="1"/>
  <c r="M484" i="1525" s="1"/>
  <c r="N484" i="1525" s="1"/>
  <c r="O484" i="1525" s="1"/>
  <c r="K483" i="1525"/>
  <c r="I483" i="1525" s="1"/>
  <c r="M483" i="1525" s="1"/>
  <c r="N483" i="1525" s="1"/>
  <c r="O483" i="1525" s="1"/>
  <c r="K482" i="1525"/>
  <c r="I482" i="1525" s="1"/>
  <c r="M482" i="1525" s="1"/>
  <c r="N482" i="1525" s="1"/>
  <c r="O482" i="1525" s="1"/>
  <c r="K481" i="1525"/>
  <c r="I481" i="1525" s="1"/>
  <c r="M481" i="1525" s="1"/>
  <c r="N481" i="1525" s="1"/>
  <c r="O481" i="1525" s="1"/>
  <c r="K480" i="1525"/>
  <c r="I480" i="1525" s="1"/>
  <c r="M480" i="1525" s="1"/>
  <c r="N480" i="1525" s="1"/>
  <c r="O480" i="1525" s="1"/>
  <c r="K479" i="1525"/>
  <c r="I479" i="1525" s="1"/>
  <c r="M479" i="1525" s="1"/>
  <c r="N479" i="1525" s="1"/>
  <c r="O479" i="1525" s="1"/>
  <c r="K478" i="1525"/>
  <c r="I478" i="1525" s="1"/>
  <c r="M478" i="1525" s="1"/>
  <c r="N478" i="1525" s="1"/>
  <c r="O478" i="1525" s="1"/>
  <c r="K477" i="1525"/>
  <c r="I477" i="1525" s="1"/>
  <c r="M477" i="1525" s="1"/>
  <c r="N477" i="1525" s="1"/>
  <c r="O477" i="1525" s="1"/>
  <c r="K476" i="1525"/>
  <c r="I476" i="1525" s="1"/>
  <c r="M476" i="1525" s="1"/>
  <c r="N476" i="1525" s="1"/>
  <c r="O476" i="1525" s="1"/>
  <c r="K475" i="1525"/>
  <c r="I475" i="1525" s="1"/>
  <c r="M475" i="1525" s="1"/>
  <c r="N475" i="1525" s="1"/>
  <c r="O475" i="1525" s="1"/>
  <c r="K474" i="1525"/>
  <c r="I474" i="1525" s="1"/>
  <c r="M474" i="1525" s="1"/>
  <c r="N474" i="1525" s="1"/>
  <c r="O474" i="1525" s="1"/>
  <c r="K473" i="1525"/>
  <c r="I473" i="1525" s="1"/>
  <c r="M473" i="1525" s="1"/>
  <c r="N473" i="1525" s="1"/>
  <c r="O473" i="1525" s="1"/>
  <c r="K472" i="1525"/>
  <c r="I472" i="1525" s="1"/>
  <c r="M472" i="1525" s="1"/>
  <c r="N472" i="1525" s="1"/>
  <c r="O472" i="1525" s="1"/>
  <c r="K471" i="1525"/>
  <c r="I471" i="1525" s="1"/>
  <c r="M471" i="1525" s="1"/>
  <c r="N471" i="1525" s="1"/>
  <c r="O471" i="1525" s="1"/>
  <c r="K470" i="1525"/>
  <c r="I470" i="1525" s="1"/>
  <c r="M470" i="1525" s="1"/>
  <c r="N470" i="1525" s="1"/>
  <c r="O470" i="1525" s="1"/>
  <c r="K469" i="1525"/>
  <c r="I469" i="1525" s="1"/>
  <c r="M469" i="1525" s="1"/>
  <c r="N469" i="1525" s="1"/>
  <c r="O469" i="1525" s="1"/>
  <c r="K468" i="1525"/>
  <c r="I468" i="1525" s="1"/>
  <c r="M468" i="1525" s="1"/>
  <c r="N468" i="1525" s="1"/>
  <c r="O468" i="1525" s="1"/>
  <c r="K467" i="1525"/>
  <c r="I467" i="1525" s="1"/>
  <c r="M467" i="1525" s="1"/>
  <c r="N467" i="1525" s="1"/>
  <c r="O467" i="1525" s="1"/>
  <c r="K466" i="1525"/>
  <c r="I466" i="1525" s="1"/>
  <c r="M466" i="1525" s="1"/>
  <c r="N466" i="1525" s="1"/>
  <c r="O466" i="1525" s="1"/>
  <c r="K465" i="1525"/>
  <c r="I465" i="1525" s="1"/>
  <c r="M465" i="1525" s="1"/>
  <c r="N465" i="1525" s="1"/>
  <c r="O465" i="1525" s="1"/>
  <c r="K464" i="1525"/>
  <c r="I464" i="1525" s="1"/>
  <c r="M464" i="1525" s="1"/>
  <c r="N464" i="1525" s="1"/>
  <c r="O464" i="1525" s="1"/>
  <c r="K463" i="1525"/>
  <c r="I463" i="1525" s="1"/>
  <c r="M463" i="1525" s="1"/>
  <c r="N463" i="1525" s="1"/>
  <c r="O463" i="1525" s="1"/>
  <c r="K462" i="1525"/>
  <c r="I462" i="1525" s="1"/>
  <c r="M462" i="1525" s="1"/>
  <c r="N462" i="1525" s="1"/>
  <c r="O462" i="1525" s="1"/>
  <c r="K461" i="1525"/>
  <c r="I461" i="1525" s="1"/>
  <c r="M461" i="1525" s="1"/>
  <c r="N461" i="1525" s="1"/>
  <c r="O461" i="1525" s="1"/>
  <c r="K460" i="1525"/>
  <c r="I460" i="1525" s="1"/>
  <c r="M460" i="1525" s="1"/>
  <c r="N460" i="1525" s="1"/>
  <c r="O460" i="1525" s="1"/>
  <c r="K459" i="1525"/>
  <c r="I459" i="1525" s="1"/>
  <c r="M459" i="1525" s="1"/>
  <c r="N459" i="1525" s="1"/>
  <c r="O459" i="1525" s="1"/>
  <c r="K458" i="1525"/>
  <c r="I458" i="1525" s="1"/>
  <c r="M458" i="1525" s="1"/>
  <c r="N458" i="1525" s="1"/>
  <c r="O458" i="1525" s="1"/>
  <c r="K457" i="1525"/>
  <c r="I457" i="1525" s="1"/>
  <c r="M457" i="1525" s="1"/>
  <c r="N457" i="1525" s="1"/>
  <c r="O457" i="1525" s="1"/>
  <c r="K456" i="1525"/>
  <c r="I456" i="1525" s="1"/>
  <c r="M456" i="1525" s="1"/>
  <c r="N456" i="1525" s="1"/>
  <c r="O456" i="1525" s="1"/>
  <c r="K455" i="1525"/>
  <c r="I455" i="1525" s="1"/>
  <c r="M455" i="1525" s="1"/>
  <c r="N455" i="1525" s="1"/>
  <c r="O455" i="1525" s="1"/>
  <c r="K454" i="1525"/>
  <c r="I454" i="1525" s="1"/>
  <c r="M454" i="1525" s="1"/>
  <c r="N454" i="1525" s="1"/>
  <c r="O454" i="1525" s="1"/>
  <c r="K453" i="1525"/>
  <c r="I453" i="1525" s="1"/>
  <c r="M453" i="1525" s="1"/>
  <c r="N453" i="1525" s="1"/>
  <c r="O453" i="1525" s="1"/>
  <c r="K452" i="1525"/>
  <c r="I452" i="1525" s="1"/>
  <c r="M452" i="1525" s="1"/>
  <c r="N452" i="1525" s="1"/>
  <c r="O452" i="1525" s="1"/>
  <c r="K451" i="1525"/>
  <c r="I451" i="1525" s="1"/>
  <c r="M451" i="1525" s="1"/>
  <c r="N451" i="1525" s="1"/>
  <c r="O451" i="1525" s="1"/>
  <c r="K450" i="1525"/>
  <c r="I450" i="1525" s="1"/>
  <c r="M450" i="1525" s="1"/>
  <c r="N450" i="1525" s="1"/>
  <c r="O450" i="1525" s="1"/>
  <c r="K449" i="1525"/>
  <c r="I449" i="1525" s="1"/>
  <c r="M449" i="1525" s="1"/>
  <c r="N449" i="1525" s="1"/>
  <c r="O449" i="1525" s="1"/>
  <c r="K448" i="1525"/>
  <c r="I448" i="1525" s="1"/>
  <c r="M448" i="1525" s="1"/>
  <c r="N448" i="1525" s="1"/>
  <c r="O448" i="1525" s="1"/>
  <c r="K447" i="1525"/>
  <c r="I447" i="1525" s="1"/>
  <c r="M447" i="1525" s="1"/>
  <c r="N447" i="1525" s="1"/>
  <c r="O447" i="1525" s="1"/>
  <c r="K446" i="1525"/>
  <c r="I446" i="1525" s="1"/>
  <c r="M446" i="1525" s="1"/>
  <c r="N446" i="1525" s="1"/>
  <c r="O446" i="1525" s="1"/>
  <c r="K445" i="1525"/>
  <c r="I445" i="1525" s="1"/>
  <c r="M445" i="1525" s="1"/>
  <c r="N445" i="1525" s="1"/>
  <c r="O445" i="1525" s="1"/>
  <c r="K444" i="1525"/>
  <c r="I444" i="1525" s="1"/>
  <c r="M444" i="1525" s="1"/>
  <c r="N444" i="1525" s="1"/>
  <c r="O444" i="1525" s="1"/>
  <c r="K443" i="1525"/>
  <c r="I443" i="1525" s="1"/>
  <c r="M443" i="1525" s="1"/>
  <c r="N443" i="1525" s="1"/>
  <c r="O443" i="1525" s="1"/>
  <c r="K442" i="1525"/>
  <c r="I442" i="1525" s="1"/>
  <c r="M442" i="1525" s="1"/>
  <c r="N442" i="1525" s="1"/>
  <c r="O442" i="1525" s="1"/>
  <c r="K441" i="1525"/>
  <c r="I441" i="1525" s="1"/>
  <c r="M441" i="1525" s="1"/>
  <c r="N441" i="1525" s="1"/>
  <c r="O441" i="1525" s="1"/>
  <c r="K440" i="1525"/>
  <c r="I440" i="1525" s="1"/>
  <c r="M440" i="1525" s="1"/>
  <c r="N440" i="1525" s="1"/>
  <c r="O440" i="1525" s="1"/>
  <c r="K439" i="1525"/>
  <c r="I439" i="1525" s="1"/>
  <c r="M439" i="1525" s="1"/>
  <c r="N439" i="1525" s="1"/>
  <c r="O439" i="1525" s="1"/>
  <c r="K438" i="1525"/>
  <c r="I438" i="1525" s="1"/>
  <c r="M438" i="1525" s="1"/>
  <c r="N438" i="1525" s="1"/>
  <c r="O438" i="1525" s="1"/>
  <c r="K437" i="1525"/>
  <c r="I437" i="1525" s="1"/>
  <c r="M437" i="1525" s="1"/>
  <c r="N437" i="1525" s="1"/>
  <c r="O437" i="1525" s="1"/>
  <c r="K436" i="1525"/>
  <c r="I436" i="1525" s="1"/>
  <c r="M436" i="1525" s="1"/>
  <c r="N436" i="1525" s="1"/>
  <c r="O436" i="1525" s="1"/>
  <c r="K435" i="1525"/>
  <c r="I435" i="1525" s="1"/>
  <c r="M435" i="1525" s="1"/>
  <c r="N435" i="1525" s="1"/>
  <c r="O435" i="1525" s="1"/>
  <c r="K434" i="1525"/>
  <c r="I434" i="1525" s="1"/>
  <c r="M434" i="1525" s="1"/>
  <c r="N434" i="1525" s="1"/>
  <c r="O434" i="1525" s="1"/>
  <c r="K433" i="1525"/>
  <c r="I433" i="1525" s="1"/>
  <c r="M433" i="1525" s="1"/>
  <c r="N433" i="1525" s="1"/>
  <c r="O433" i="1525" s="1"/>
  <c r="K432" i="1525"/>
  <c r="I432" i="1525" s="1"/>
  <c r="M432" i="1525" s="1"/>
  <c r="N432" i="1525" s="1"/>
  <c r="O432" i="1525" s="1"/>
  <c r="K431" i="1525"/>
  <c r="I431" i="1525" s="1"/>
  <c r="M431" i="1525" s="1"/>
  <c r="N431" i="1525" s="1"/>
  <c r="O431" i="1525" s="1"/>
  <c r="K430" i="1525"/>
  <c r="I430" i="1525" s="1"/>
  <c r="M430" i="1525" s="1"/>
  <c r="N430" i="1525" s="1"/>
  <c r="O430" i="1525" s="1"/>
  <c r="K429" i="1525"/>
  <c r="I429" i="1525" s="1"/>
  <c r="M429" i="1525" s="1"/>
  <c r="N429" i="1525" s="1"/>
  <c r="O429" i="1525" s="1"/>
  <c r="K428" i="1525"/>
  <c r="I428" i="1525" s="1"/>
  <c r="M428" i="1525" s="1"/>
  <c r="N428" i="1525" s="1"/>
  <c r="O428" i="1525" s="1"/>
  <c r="K427" i="1525"/>
  <c r="I427" i="1525" s="1"/>
  <c r="M427" i="1525" s="1"/>
  <c r="N427" i="1525" s="1"/>
  <c r="O427" i="1525" s="1"/>
  <c r="K426" i="1525"/>
  <c r="I426" i="1525" s="1"/>
  <c r="M426" i="1525" s="1"/>
  <c r="N426" i="1525" s="1"/>
  <c r="O426" i="1525" s="1"/>
  <c r="K425" i="1525"/>
  <c r="I425" i="1525" s="1"/>
  <c r="M425" i="1525" s="1"/>
  <c r="N425" i="1525" s="1"/>
  <c r="O425" i="1525" s="1"/>
  <c r="K424" i="1525"/>
  <c r="I424" i="1525" s="1"/>
  <c r="M424" i="1525" s="1"/>
  <c r="N424" i="1525" s="1"/>
  <c r="O424" i="1525" s="1"/>
  <c r="K423" i="1525"/>
  <c r="I423" i="1525" s="1"/>
  <c r="M423" i="1525" s="1"/>
  <c r="N423" i="1525" s="1"/>
  <c r="O423" i="1525" s="1"/>
  <c r="K422" i="1525"/>
  <c r="I422" i="1525" s="1"/>
  <c r="M422" i="1525" s="1"/>
  <c r="N422" i="1525" s="1"/>
  <c r="O422" i="1525" s="1"/>
  <c r="K421" i="1525"/>
  <c r="I421" i="1525" s="1"/>
  <c r="M421" i="1525" s="1"/>
  <c r="N421" i="1525" s="1"/>
  <c r="O421" i="1525" s="1"/>
  <c r="K420" i="1525"/>
  <c r="I420" i="1525" s="1"/>
  <c r="M420" i="1525" s="1"/>
  <c r="N420" i="1525" s="1"/>
  <c r="O420" i="1525" s="1"/>
  <c r="K419" i="1525"/>
  <c r="I419" i="1525" s="1"/>
  <c r="M419" i="1525" s="1"/>
  <c r="N419" i="1525" s="1"/>
  <c r="O419" i="1525" s="1"/>
  <c r="K418" i="1525"/>
  <c r="I418" i="1525" s="1"/>
  <c r="M418" i="1525" s="1"/>
  <c r="N418" i="1525" s="1"/>
  <c r="O418" i="1525" s="1"/>
  <c r="K417" i="1525"/>
  <c r="I417" i="1525" s="1"/>
  <c r="M417" i="1525" s="1"/>
  <c r="N417" i="1525" s="1"/>
  <c r="O417" i="1525" s="1"/>
  <c r="K416" i="1525"/>
  <c r="I416" i="1525" s="1"/>
  <c r="M416" i="1525" s="1"/>
  <c r="N416" i="1525" s="1"/>
  <c r="O416" i="1525" s="1"/>
  <c r="K415" i="1525"/>
  <c r="I415" i="1525" s="1"/>
  <c r="M415" i="1525" s="1"/>
  <c r="N415" i="1525" s="1"/>
  <c r="O415" i="1525" s="1"/>
  <c r="K414" i="1525"/>
  <c r="I414" i="1525" s="1"/>
  <c r="M414" i="1525" s="1"/>
  <c r="N414" i="1525" s="1"/>
  <c r="O414" i="1525" s="1"/>
  <c r="K413" i="1525"/>
  <c r="I413" i="1525" s="1"/>
  <c r="M413" i="1525" s="1"/>
  <c r="N413" i="1525" s="1"/>
  <c r="O413" i="1525" s="1"/>
  <c r="K412" i="1525"/>
  <c r="I412" i="1525" s="1"/>
  <c r="M412" i="1525" s="1"/>
  <c r="N412" i="1525" s="1"/>
  <c r="O412" i="1525" s="1"/>
  <c r="K411" i="1525"/>
  <c r="I411" i="1525" s="1"/>
  <c r="M411" i="1525" s="1"/>
  <c r="N411" i="1525" s="1"/>
  <c r="O411" i="1525" s="1"/>
  <c r="K410" i="1525"/>
  <c r="I410" i="1525" s="1"/>
  <c r="M410" i="1525" s="1"/>
  <c r="N410" i="1525" s="1"/>
  <c r="O410" i="1525" s="1"/>
  <c r="K409" i="1525"/>
  <c r="I409" i="1525" s="1"/>
  <c r="M409" i="1525" s="1"/>
  <c r="N409" i="1525" s="1"/>
  <c r="O409" i="1525" s="1"/>
  <c r="K408" i="1525"/>
  <c r="I408" i="1525" s="1"/>
  <c r="M408" i="1525" s="1"/>
  <c r="N408" i="1525" s="1"/>
  <c r="O408" i="1525" s="1"/>
  <c r="K407" i="1525"/>
  <c r="I407" i="1525" s="1"/>
  <c r="M407" i="1525" s="1"/>
  <c r="N407" i="1525" s="1"/>
  <c r="O407" i="1525" s="1"/>
  <c r="K406" i="1525"/>
  <c r="I406" i="1525" s="1"/>
  <c r="M406" i="1525" s="1"/>
  <c r="N406" i="1525" s="1"/>
  <c r="O406" i="1525" s="1"/>
  <c r="K405" i="1525"/>
  <c r="I405" i="1525" s="1"/>
  <c r="M405" i="1525" s="1"/>
  <c r="N405" i="1525" s="1"/>
  <c r="O405" i="1525" s="1"/>
  <c r="K404" i="1525"/>
  <c r="I404" i="1525" s="1"/>
  <c r="M404" i="1525" s="1"/>
  <c r="N404" i="1525" s="1"/>
  <c r="O404" i="1525" s="1"/>
  <c r="K403" i="1525"/>
  <c r="I403" i="1525" s="1"/>
  <c r="M403" i="1525" s="1"/>
  <c r="N403" i="1525" s="1"/>
  <c r="O403" i="1525" s="1"/>
  <c r="K402" i="1525"/>
  <c r="I402" i="1525" s="1"/>
  <c r="M402" i="1525" s="1"/>
  <c r="N402" i="1525" s="1"/>
  <c r="O402" i="1525" s="1"/>
  <c r="K401" i="1525"/>
  <c r="I401" i="1525" s="1"/>
  <c r="M401" i="1525" s="1"/>
  <c r="N401" i="1525" s="1"/>
  <c r="O401" i="1525" s="1"/>
  <c r="K400" i="1525"/>
  <c r="I400" i="1525" s="1"/>
  <c r="M400" i="1525" s="1"/>
  <c r="N400" i="1525" s="1"/>
  <c r="O400" i="1525" s="1"/>
  <c r="K399" i="1525"/>
  <c r="I399" i="1525" s="1"/>
  <c r="M399" i="1525" s="1"/>
  <c r="N399" i="1525" s="1"/>
  <c r="O399" i="1525" s="1"/>
  <c r="K398" i="1525"/>
  <c r="I398" i="1525" s="1"/>
  <c r="M398" i="1525" s="1"/>
  <c r="N398" i="1525" s="1"/>
  <c r="O398" i="1525" s="1"/>
  <c r="K397" i="1525"/>
  <c r="I397" i="1525" s="1"/>
  <c r="M397" i="1525" s="1"/>
  <c r="N397" i="1525" s="1"/>
  <c r="O397" i="1525" s="1"/>
  <c r="K396" i="1525"/>
  <c r="I396" i="1525" s="1"/>
  <c r="M396" i="1525" s="1"/>
  <c r="N396" i="1525" s="1"/>
  <c r="O396" i="1525" s="1"/>
  <c r="K395" i="1525"/>
  <c r="I395" i="1525" s="1"/>
  <c r="M395" i="1525" s="1"/>
  <c r="N395" i="1525" s="1"/>
  <c r="O395" i="1525" s="1"/>
  <c r="K394" i="1525"/>
  <c r="I394" i="1525" s="1"/>
  <c r="M394" i="1525" s="1"/>
  <c r="N394" i="1525" s="1"/>
  <c r="O394" i="1525" s="1"/>
  <c r="K393" i="1525"/>
  <c r="I393" i="1525" s="1"/>
  <c r="M393" i="1525" s="1"/>
  <c r="N393" i="1525" s="1"/>
  <c r="O393" i="1525" s="1"/>
  <c r="K392" i="1525"/>
  <c r="I392" i="1525" s="1"/>
  <c r="M392" i="1525" s="1"/>
  <c r="N392" i="1525" s="1"/>
  <c r="O392" i="1525" s="1"/>
  <c r="K391" i="1525"/>
  <c r="I391" i="1525" s="1"/>
  <c r="M391" i="1525" s="1"/>
  <c r="N391" i="1525" s="1"/>
  <c r="O391" i="1525" s="1"/>
  <c r="K390" i="1525"/>
  <c r="I390" i="1525" s="1"/>
  <c r="M390" i="1525" s="1"/>
  <c r="N390" i="1525" s="1"/>
  <c r="O390" i="1525" s="1"/>
  <c r="K389" i="1525"/>
  <c r="I389" i="1525" s="1"/>
  <c r="M389" i="1525" s="1"/>
  <c r="N389" i="1525" s="1"/>
  <c r="O389" i="1525" s="1"/>
  <c r="K388" i="1525"/>
  <c r="I388" i="1525" s="1"/>
  <c r="M388" i="1525" s="1"/>
  <c r="N388" i="1525" s="1"/>
  <c r="O388" i="1525" s="1"/>
  <c r="K387" i="1525"/>
  <c r="I387" i="1525" s="1"/>
  <c r="M387" i="1525" s="1"/>
  <c r="N387" i="1525" s="1"/>
  <c r="O387" i="1525" s="1"/>
  <c r="K386" i="1525"/>
  <c r="I386" i="1525" s="1"/>
  <c r="M386" i="1525" s="1"/>
  <c r="N386" i="1525" s="1"/>
  <c r="O386" i="1525" s="1"/>
  <c r="K385" i="1525"/>
  <c r="I385" i="1525" s="1"/>
  <c r="M385" i="1525" s="1"/>
  <c r="N385" i="1525" s="1"/>
  <c r="O385" i="1525" s="1"/>
  <c r="K384" i="1525"/>
  <c r="I384" i="1525" s="1"/>
  <c r="M384" i="1525" s="1"/>
  <c r="N384" i="1525" s="1"/>
  <c r="O384" i="1525" s="1"/>
  <c r="K383" i="1525"/>
  <c r="I383" i="1525" s="1"/>
  <c r="M383" i="1525" s="1"/>
  <c r="N383" i="1525" s="1"/>
  <c r="O383" i="1525" s="1"/>
  <c r="K382" i="1525"/>
  <c r="I382" i="1525" s="1"/>
  <c r="M382" i="1525" s="1"/>
  <c r="N382" i="1525" s="1"/>
  <c r="O382" i="1525" s="1"/>
  <c r="K381" i="1525"/>
  <c r="I381" i="1525" s="1"/>
  <c r="M381" i="1525" s="1"/>
  <c r="N381" i="1525" s="1"/>
  <c r="O381" i="1525" s="1"/>
  <c r="K380" i="1525"/>
  <c r="I380" i="1525" s="1"/>
  <c r="M380" i="1525" s="1"/>
  <c r="N380" i="1525" s="1"/>
  <c r="O380" i="1525" s="1"/>
  <c r="K379" i="1525"/>
  <c r="I379" i="1525" s="1"/>
  <c r="M379" i="1525" s="1"/>
  <c r="N379" i="1525" s="1"/>
  <c r="O379" i="1525" s="1"/>
  <c r="K378" i="1525"/>
  <c r="I378" i="1525" s="1"/>
  <c r="M378" i="1525" s="1"/>
  <c r="N378" i="1525" s="1"/>
  <c r="O378" i="1525" s="1"/>
  <c r="K377" i="1525"/>
  <c r="I377" i="1525" s="1"/>
  <c r="M377" i="1525" s="1"/>
  <c r="N377" i="1525" s="1"/>
  <c r="O377" i="1525" s="1"/>
  <c r="K376" i="1525"/>
  <c r="I376" i="1525" s="1"/>
  <c r="M376" i="1525" s="1"/>
  <c r="N376" i="1525" s="1"/>
  <c r="O376" i="1525" s="1"/>
  <c r="K375" i="1525"/>
  <c r="I375" i="1525" s="1"/>
  <c r="M375" i="1525" s="1"/>
  <c r="N375" i="1525" s="1"/>
  <c r="O375" i="1525" s="1"/>
  <c r="K374" i="1525"/>
  <c r="I374" i="1525" s="1"/>
  <c r="M374" i="1525" s="1"/>
  <c r="N374" i="1525" s="1"/>
  <c r="O374" i="1525" s="1"/>
  <c r="K373" i="1525"/>
  <c r="I373" i="1525" s="1"/>
  <c r="M373" i="1525" s="1"/>
  <c r="N373" i="1525" s="1"/>
  <c r="O373" i="1525" s="1"/>
  <c r="K372" i="1525"/>
  <c r="I372" i="1525" s="1"/>
  <c r="M372" i="1525" s="1"/>
  <c r="N372" i="1525" s="1"/>
  <c r="O372" i="1525" s="1"/>
  <c r="K371" i="1525"/>
  <c r="I371" i="1525" s="1"/>
  <c r="M371" i="1525" s="1"/>
  <c r="N371" i="1525" s="1"/>
  <c r="O371" i="1525" s="1"/>
  <c r="K370" i="1525"/>
  <c r="I370" i="1525" s="1"/>
  <c r="M370" i="1525" s="1"/>
  <c r="N370" i="1525" s="1"/>
  <c r="O370" i="1525" s="1"/>
  <c r="K369" i="1525"/>
  <c r="I369" i="1525" s="1"/>
  <c r="M369" i="1525" s="1"/>
  <c r="N369" i="1525" s="1"/>
  <c r="O369" i="1525" s="1"/>
  <c r="K368" i="1525"/>
  <c r="I368" i="1525" s="1"/>
  <c r="M368" i="1525" s="1"/>
  <c r="N368" i="1525" s="1"/>
  <c r="O368" i="1525" s="1"/>
  <c r="K367" i="1525"/>
  <c r="I367" i="1525" s="1"/>
  <c r="M367" i="1525" s="1"/>
  <c r="N367" i="1525" s="1"/>
  <c r="O367" i="1525" s="1"/>
  <c r="K366" i="1525"/>
  <c r="I366" i="1525" s="1"/>
  <c r="M366" i="1525" s="1"/>
  <c r="N366" i="1525" s="1"/>
  <c r="O366" i="1525" s="1"/>
  <c r="K365" i="1525"/>
  <c r="I365" i="1525" s="1"/>
  <c r="M365" i="1525" s="1"/>
  <c r="N365" i="1525" s="1"/>
  <c r="O365" i="1525" s="1"/>
  <c r="K364" i="1525"/>
  <c r="I364" i="1525" s="1"/>
  <c r="M364" i="1525" s="1"/>
  <c r="N364" i="1525" s="1"/>
  <c r="O364" i="1525" s="1"/>
  <c r="K363" i="1525"/>
  <c r="I363" i="1525" s="1"/>
  <c r="M363" i="1525" s="1"/>
  <c r="N363" i="1525" s="1"/>
  <c r="O363" i="1525" s="1"/>
  <c r="K362" i="1525"/>
  <c r="I362" i="1525" s="1"/>
  <c r="M362" i="1525" s="1"/>
  <c r="N362" i="1525" s="1"/>
  <c r="O362" i="1525" s="1"/>
  <c r="K361" i="1525"/>
  <c r="I361" i="1525" s="1"/>
  <c r="M361" i="1525" s="1"/>
  <c r="N361" i="1525" s="1"/>
  <c r="O361" i="1525" s="1"/>
  <c r="K360" i="1525"/>
  <c r="I360" i="1525" s="1"/>
  <c r="M360" i="1525" s="1"/>
  <c r="N360" i="1525" s="1"/>
  <c r="O360" i="1525" s="1"/>
  <c r="K359" i="1525"/>
  <c r="I359" i="1525" s="1"/>
  <c r="M359" i="1525" s="1"/>
  <c r="N359" i="1525" s="1"/>
  <c r="O359" i="1525" s="1"/>
  <c r="K358" i="1525"/>
  <c r="I358" i="1525" s="1"/>
  <c r="M358" i="1525" s="1"/>
  <c r="N358" i="1525" s="1"/>
  <c r="O358" i="1525" s="1"/>
  <c r="K357" i="1525"/>
  <c r="I357" i="1525" s="1"/>
  <c r="M357" i="1525" s="1"/>
  <c r="N357" i="1525" s="1"/>
  <c r="O357" i="1525" s="1"/>
  <c r="K356" i="1525"/>
  <c r="I356" i="1525" s="1"/>
  <c r="M356" i="1525" s="1"/>
  <c r="N356" i="1525" s="1"/>
  <c r="O356" i="1525" s="1"/>
  <c r="K355" i="1525"/>
  <c r="I355" i="1525" s="1"/>
  <c r="M355" i="1525" s="1"/>
  <c r="N355" i="1525" s="1"/>
  <c r="O355" i="1525" s="1"/>
  <c r="K354" i="1525"/>
  <c r="I354" i="1525" s="1"/>
  <c r="M354" i="1525" s="1"/>
  <c r="N354" i="1525" s="1"/>
  <c r="O354" i="1525" s="1"/>
  <c r="K353" i="1525"/>
  <c r="I353" i="1525" s="1"/>
  <c r="M353" i="1525" s="1"/>
  <c r="N353" i="1525" s="1"/>
  <c r="O353" i="1525" s="1"/>
  <c r="K352" i="1525"/>
  <c r="I352" i="1525" s="1"/>
  <c r="M352" i="1525" s="1"/>
  <c r="N352" i="1525" s="1"/>
  <c r="O352" i="1525" s="1"/>
  <c r="K351" i="1525"/>
  <c r="I351" i="1525" s="1"/>
  <c r="M351" i="1525" s="1"/>
  <c r="N351" i="1525" s="1"/>
  <c r="O351" i="1525" s="1"/>
  <c r="K350" i="1525"/>
  <c r="I350" i="1525" s="1"/>
  <c r="M350" i="1525" s="1"/>
  <c r="N350" i="1525" s="1"/>
  <c r="O350" i="1525" s="1"/>
  <c r="K349" i="1525"/>
  <c r="I349" i="1525" s="1"/>
  <c r="M349" i="1525" s="1"/>
  <c r="N349" i="1525" s="1"/>
  <c r="O349" i="1525" s="1"/>
  <c r="K348" i="1525"/>
  <c r="I348" i="1525" s="1"/>
  <c r="M348" i="1525" s="1"/>
  <c r="N348" i="1525" s="1"/>
  <c r="O348" i="1525" s="1"/>
  <c r="K347" i="1525"/>
  <c r="I347" i="1525" s="1"/>
  <c r="M347" i="1525" s="1"/>
  <c r="N347" i="1525" s="1"/>
  <c r="O347" i="1525" s="1"/>
  <c r="K346" i="1525"/>
  <c r="I346" i="1525" s="1"/>
  <c r="M346" i="1525" s="1"/>
  <c r="N346" i="1525" s="1"/>
  <c r="O346" i="1525" s="1"/>
  <c r="K345" i="1525"/>
  <c r="I345" i="1525" s="1"/>
  <c r="M345" i="1525" s="1"/>
  <c r="N345" i="1525" s="1"/>
  <c r="O345" i="1525" s="1"/>
  <c r="K344" i="1525"/>
  <c r="I344" i="1525" s="1"/>
  <c r="M344" i="1525" s="1"/>
  <c r="N344" i="1525" s="1"/>
  <c r="O344" i="1525" s="1"/>
  <c r="K343" i="1525"/>
  <c r="I343" i="1525" s="1"/>
  <c r="M343" i="1525" s="1"/>
  <c r="N343" i="1525" s="1"/>
  <c r="O343" i="1525" s="1"/>
  <c r="K342" i="1525"/>
  <c r="I342" i="1525" s="1"/>
  <c r="M342" i="1525" s="1"/>
  <c r="N342" i="1525" s="1"/>
  <c r="O342" i="1525" s="1"/>
  <c r="K341" i="1525"/>
  <c r="I341" i="1525" s="1"/>
  <c r="M341" i="1525" s="1"/>
  <c r="N341" i="1525" s="1"/>
  <c r="O341" i="1525" s="1"/>
  <c r="K340" i="1525"/>
  <c r="I340" i="1525" s="1"/>
  <c r="M340" i="1525" s="1"/>
  <c r="N340" i="1525" s="1"/>
  <c r="O340" i="1525" s="1"/>
  <c r="K339" i="1525"/>
  <c r="I339" i="1525" s="1"/>
  <c r="M339" i="1525" s="1"/>
  <c r="N339" i="1525" s="1"/>
  <c r="O339" i="1525" s="1"/>
  <c r="K338" i="1525"/>
  <c r="I338" i="1525" s="1"/>
  <c r="M338" i="1525" s="1"/>
  <c r="N338" i="1525" s="1"/>
  <c r="O338" i="1525" s="1"/>
  <c r="K337" i="1525"/>
  <c r="I337" i="1525" s="1"/>
  <c r="M337" i="1525" s="1"/>
  <c r="N337" i="1525" s="1"/>
  <c r="O337" i="1525" s="1"/>
  <c r="K336" i="1525"/>
  <c r="I336" i="1525" s="1"/>
  <c r="M336" i="1525" s="1"/>
  <c r="N336" i="1525" s="1"/>
  <c r="O336" i="1525" s="1"/>
  <c r="K335" i="1525"/>
  <c r="I335" i="1525" s="1"/>
  <c r="M335" i="1525" s="1"/>
  <c r="N335" i="1525" s="1"/>
  <c r="O335" i="1525" s="1"/>
  <c r="K334" i="1525"/>
  <c r="I334" i="1525" s="1"/>
  <c r="M334" i="1525" s="1"/>
  <c r="N334" i="1525" s="1"/>
  <c r="O334" i="1525" s="1"/>
  <c r="K333" i="1525"/>
  <c r="I333" i="1525" s="1"/>
  <c r="M333" i="1525" s="1"/>
  <c r="N333" i="1525" s="1"/>
  <c r="O333" i="1525" s="1"/>
  <c r="K332" i="1525"/>
  <c r="I332" i="1525" s="1"/>
  <c r="M332" i="1525" s="1"/>
  <c r="N332" i="1525" s="1"/>
  <c r="O332" i="1525" s="1"/>
  <c r="K331" i="1525"/>
  <c r="I331" i="1525" s="1"/>
  <c r="M331" i="1525" s="1"/>
  <c r="N331" i="1525" s="1"/>
  <c r="O331" i="1525" s="1"/>
  <c r="K330" i="1525"/>
  <c r="I330" i="1525" s="1"/>
  <c r="M330" i="1525" s="1"/>
  <c r="N330" i="1525" s="1"/>
  <c r="O330" i="1525" s="1"/>
  <c r="K329" i="1525"/>
  <c r="I329" i="1525" s="1"/>
  <c r="M329" i="1525" s="1"/>
  <c r="N329" i="1525" s="1"/>
  <c r="O329" i="1525" s="1"/>
  <c r="K328" i="1525"/>
  <c r="I328" i="1525" s="1"/>
  <c r="M328" i="1525" s="1"/>
  <c r="N328" i="1525" s="1"/>
  <c r="O328" i="1525" s="1"/>
  <c r="K327" i="1525"/>
  <c r="I327" i="1525" s="1"/>
  <c r="M327" i="1525" s="1"/>
  <c r="N327" i="1525" s="1"/>
  <c r="O327" i="1525" s="1"/>
  <c r="K326" i="1525"/>
  <c r="I326" i="1525" s="1"/>
  <c r="M326" i="1525" s="1"/>
  <c r="N326" i="1525" s="1"/>
  <c r="O326" i="1525" s="1"/>
  <c r="K325" i="1525"/>
  <c r="I325" i="1525" s="1"/>
  <c r="M325" i="1525" s="1"/>
  <c r="N325" i="1525" s="1"/>
  <c r="O325" i="1525" s="1"/>
  <c r="K324" i="1525"/>
  <c r="I324" i="1525" s="1"/>
  <c r="M324" i="1525" s="1"/>
  <c r="N324" i="1525" s="1"/>
  <c r="O324" i="1525" s="1"/>
  <c r="K323" i="1525"/>
  <c r="I323" i="1525" s="1"/>
  <c r="M323" i="1525" s="1"/>
  <c r="N323" i="1525" s="1"/>
  <c r="O323" i="1525" s="1"/>
  <c r="K322" i="1525"/>
  <c r="I322" i="1525" s="1"/>
  <c r="M322" i="1525" s="1"/>
  <c r="N322" i="1525" s="1"/>
  <c r="O322" i="1525" s="1"/>
  <c r="K321" i="1525"/>
  <c r="I321" i="1525" s="1"/>
  <c r="M321" i="1525" s="1"/>
  <c r="N321" i="1525" s="1"/>
  <c r="O321" i="1525" s="1"/>
  <c r="K320" i="1525"/>
  <c r="I320" i="1525" s="1"/>
  <c r="M320" i="1525" s="1"/>
  <c r="N320" i="1525" s="1"/>
  <c r="O320" i="1525" s="1"/>
  <c r="K319" i="1525"/>
  <c r="I319" i="1525" s="1"/>
  <c r="M319" i="1525" s="1"/>
  <c r="N319" i="1525" s="1"/>
  <c r="O319" i="1525" s="1"/>
  <c r="K318" i="1525"/>
  <c r="I318" i="1525" s="1"/>
  <c r="M318" i="1525" s="1"/>
  <c r="N318" i="1525" s="1"/>
  <c r="O318" i="1525" s="1"/>
  <c r="K317" i="1525"/>
  <c r="I317" i="1525" s="1"/>
  <c r="M317" i="1525" s="1"/>
  <c r="N317" i="1525" s="1"/>
  <c r="O317" i="1525" s="1"/>
  <c r="K316" i="1525"/>
  <c r="I316" i="1525" s="1"/>
  <c r="M316" i="1525" s="1"/>
  <c r="N316" i="1525" s="1"/>
  <c r="O316" i="1525" s="1"/>
  <c r="K315" i="1525"/>
  <c r="I315" i="1525" s="1"/>
  <c r="M315" i="1525" s="1"/>
  <c r="N315" i="1525" s="1"/>
  <c r="O315" i="1525" s="1"/>
  <c r="K314" i="1525"/>
  <c r="I314" i="1525" s="1"/>
  <c r="M314" i="1525" s="1"/>
  <c r="N314" i="1525" s="1"/>
  <c r="O314" i="1525" s="1"/>
  <c r="K313" i="1525"/>
  <c r="I313" i="1525" s="1"/>
  <c r="M313" i="1525" s="1"/>
  <c r="N313" i="1525" s="1"/>
  <c r="O313" i="1525" s="1"/>
  <c r="K312" i="1525"/>
  <c r="I312" i="1525" s="1"/>
  <c r="M312" i="1525" s="1"/>
  <c r="N312" i="1525" s="1"/>
  <c r="O312" i="1525" s="1"/>
  <c r="K311" i="1525"/>
  <c r="I311" i="1525" s="1"/>
  <c r="M311" i="1525" s="1"/>
  <c r="N311" i="1525" s="1"/>
  <c r="O311" i="1525" s="1"/>
  <c r="K310" i="1525"/>
  <c r="I310" i="1525" s="1"/>
  <c r="M310" i="1525" s="1"/>
  <c r="N310" i="1525" s="1"/>
  <c r="O310" i="1525" s="1"/>
  <c r="K309" i="1525"/>
  <c r="I309" i="1525" s="1"/>
  <c r="M309" i="1525" s="1"/>
  <c r="N309" i="1525" s="1"/>
  <c r="O309" i="1525" s="1"/>
  <c r="K308" i="1525"/>
  <c r="I308" i="1525" s="1"/>
  <c r="M308" i="1525" s="1"/>
  <c r="N308" i="1525" s="1"/>
  <c r="O308" i="1525" s="1"/>
  <c r="K307" i="1525"/>
  <c r="I307" i="1525" s="1"/>
  <c r="M307" i="1525" s="1"/>
  <c r="N307" i="1525" s="1"/>
  <c r="O307" i="1525" s="1"/>
  <c r="K306" i="1525"/>
  <c r="I306" i="1525" s="1"/>
  <c r="M306" i="1525" s="1"/>
  <c r="N306" i="1525" s="1"/>
  <c r="O306" i="1525" s="1"/>
  <c r="K305" i="1525"/>
  <c r="I305" i="1525" s="1"/>
  <c r="M305" i="1525" s="1"/>
  <c r="N305" i="1525" s="1"/>
  <c r="O305" i="1525" s="1"/>
  <c r="K304" i="1525"/>
  <c r="I304" i="1525" s="1"/>
  <c r="M304" i="1525" s="1"/>
  <c r="N304" i="1525" s="1"/>
  <c r="O304" i="1525" s="1"/>
  <c r="K303" i="1525"/>
  <c r="I303" i="1525" s="1"/>
  <c r="M303" i="1525" s="1"/>
  <c r="N303" i="1525" s="1"/>
  <c r="O303" i="1525" s="1"/>
  <c r="K302" i="1525"/>
  <c r="I302" i="1525" s="1"/>
  <c r="M302" i="1525" s="1"/>
  <c r="N302" i="1525" s="1"/>
  <c r="O302" i="1525" s="1"/>
  <c r="K301" i="1525"/>
  <c r="I301" i="1525" s="1"/>
  <c r="M301" i="1525" s="1"/>
  <c r="N301" i="1525" s="1"/>
  <c r="O301" i="1525" s="1"/>
  <c r="K300" i="1525"/>
  <c r="I300" i="1525" s="1"/>
  <c r="M300" i="1525" s="1"/>
  <c r="N300" i="1525" s="1"/>
  <c r="O300" i="1525" s="1"/>
  <c r="K299" i="1525"/>
  <c r="I299" i="1525" s="1"/>
  <c r="M299" i="1525" s="1"/>
  <c r="N299" i="1525" s="1"/>
  <c r="O299" i="1525" s="1"/>
  <c r="K298" i="1525"/>
  <c r="I298" i="1525" s="1"/>
  <c r="M298" i="1525" s="1"/>
  <c r="N298" i="1525" s="1"/>
  <c r="O298" i="1525" s="1"/>
  <c r="K297" i="1525"/>
  <c r="I297" i="1525" s="1"/>
  <c r="M297" i="1525" s="1"/>
  <c r="N297" i="1525" s="1"/>
  <c r="O297" i="1525" s="1"/>
  <c r="K296" i="1525"/>
  <c r="I296" i="1525" s="1"/>
  <c r="M296" i="1525" s="1"/>
  <c r="N296" i="1525" s="1"/>
  <c r="O296" i="1525" s="1"/>
  <c r="K295" i="1525"/>
  <c r="I295" i="1525" s="1"/>
  <c r="M295" i="1525" s="1"/>
  <c r="N295" i="1525" s="1"/>
  <c r="O295" i="1525" s="1"/>
  <c r="K294" i="1525"/>
  <c r="I294" i="1525" s="1"/>
  <c r="M294" i="1525" s="1"/>
  <c r="N294" i="1525" s="1"/>
  <c r="O294" i="1525" s="1"/>
  <c r="K293" i="1525"/>
  <c r="I293" i="1525" s="1"/>
  <c r="M293" i="1525" s="1"/>
  <c r="N293" i="1525" s="1"/>
  <c r="O293" i="1525" s="1"/>
  <c r="K292" i="1525"/>
  <c r="I292" i="1525" s="1"/>
  <c r="M292" i="1525" s="1"/>
  <c r="N292" i="1525" s="1"/>
  <c r="O292" i="1525" s="1"/>
  <c r="K291" i="1525"/>
  <c r="I291" i="1525" s="1"/>
  <c r="M291" i="1525" s="1"/>
  <c r="N291" i="1525" s="1"/>
  <c r="O291" i="1525" s="1"/>
  <c r="K290" i="1525"/>
  <c r="I290" i="1525" s="1"/>
  <c r="M290" i="1525" s="1"/>
  <c r="N290" i="1525" s="1"/>
  <c r="O290" i="1525" s="1"/>
  <c r="K289" i="1525"/>
  <c r="I289" i="1525" s="1"/>
  <c r="M289" i="1525" s="1"/>
  <c r="N289" i="1525" s="1"/>
  <c r="O289" i="1525" s="1"/>
  <c r="K288" i="1525"/>
  <c r="I288" i="1525" s="1"/>
  <c r="M288" i="1525" s="1"/>
  <c r="N288" i="1525" s="1"/>
  <c r="O288" i="1525" s="1"/>
  <c r="K287" i="1525"/>
  <c r="I287" i="1525" s="1"/>
  <c r="M287" i="1525" s="1"/>
  <c r="N287" i="1525" s="1"/>
  <c r="O287" i="1525" s="1"/>
  <c r="K286" i="1525"/>
  <c r="I286" i="1525" s="1"/>
  <c r="M286" i="1525" s="1"/>
  <c r="N286" i="1525" s="1"/>
  <c r="O286" i="1525" s="1"/>
  <c r="K285" i="1525"/>
  <c r="I285" i="1525" s="1"/>
  <c r="M285" i="1525" s="1"/>
  <c r="N285" i="1525" s="1"/>
  <c r="O285" i="1525" s="1"/>
  <c r="K284" i="1525"/>
  <c r="I284" i="1525" s="1"/>
  <c r="M284" i="1525" s="1"/>
  <c r="N284" i="1525" s="1"/>
  <c r="O284" i="1525" s="1"/>
  <c r="K283" i="1525"/>
  <c r="I283" i="1525" s="1"/>
  <c r="M283" i="1525" s="1"/>
  <c r="N283" i="1525" s="1"/>
  <c r="O283" i="1525" s="1"/>
  <c r="K282" i="1525"/>
  <c r="I282" i="1525" s="1"/>
  <c r="M282" i="1525" s="1"/>
  <c r="N282" i="1525" s="1"/>
  <c r="O282" i="1525" s="1"/>
  <c r="K281" i="1525"/>
  <c r="I281" i="1525" s="1"/>
  <c r="M281" i="1525" s="1"/>
  <c r="N281" i="1525" s="1"/>
  <c r="O281" i="1525" s="1"/>
  <c r="K280" i="1525"/>
  <c r="I280" i="1525" s="1"/>
  <c r="M280" i="1525" s="1"/>
  <c r="N280" i="1525" s="1"/>
  <c r="O280" i="1525" s="1"/>
  <c r="K279" i="1525"/>
  <c r="I279" i="1525" s="1"/>
  <c r="M279" i="1525" s="1"/>
  <c r="N279" i="1525" s="1"/>
  <c r="O279" i="1525" s="1"/>
  <c r="K278" i="1525"/>
  <c r="I278" i="1525" s="1"/>
  <c r="M278" i="1525" s="1"/>
  <c r="N278" i="1525" s="1"/>
  <c r="O278" i="1525" s="1"/>
  <c r="K277" i="1525"/>
  <c r="I277" i="1525" s="1"/>
  <c r="M277" i="1525" s="1"/>
  <c r="N277" i="1525" s="1"/>
  <c r="O277" i="1525" s="1"/>
  <c r="K276" i="1525"/>
  <c r="I276" i="1525" s="1"/>
  <c r="M276" i="1525" s="1"/>
  <c r="N276" i="1525" s="1"/>
  <c r="O276" i="1525" s="1"/>
  <c r="K275" i="1525"/>
  <c r="I275" i="1525" s="1"/>
  <c r="M275" i="1525" s="1"/>
  <c r="N275" i="1525" s="1"/>
  <c r="O275" i="1525" s="1"/>
  <c r="K274" i="1525"/>
  <c r="I274" i="1525" s="1"/>
  <c r="M274" i="1525" s="1"/>
  <c r="N274" i="1525" s="1"/>
  <c r="O274" i="1525" s="1"/>
  <c r="K273" i="1525"/>
  <c r="I273" i="1525" s="1"/>
  <c r="M273" i="1525" s="1"/>
  <c r="N273" i="1525" s="1"/>
  <c r="O273" i="1525" s="1"/>
  <c r="K272" i="1525"/>
  <c r="I272" i="1525" s="1"/>
  <c r="M272" i="1525" s="1"/>
  <c r="N272" i="1525" s="1"/>
  <c r="O272" i="1525" s="1"/>
  <c r="K271" i="1525"/>
  <c r="I271" i="1525" s="1"/>
  <c r="M271" i="1525" s="1"/>
  <c r="N271" i="1525" s="1"/>
  <c r="O271" i="1525" s="1"/>
  <c r="K270" i="1525"/>
  <c r="I270" i="1525" s="1"/>
  <c r="M270" i="1525" s="1"/>
  <c r="N270" i="1525" s="1"/>
  <c r="O270" i="1525" s="1"/>
  <c r="K269" i="1525"/>
  <c r="I269" i="1525" s="1"/>
  <c r="M269" i="1525" s="1"/>
  <c r="N269" i="1525" s="1"/>
  <c r="O269" i="1525" s="1"/>
  <c r="K268" i="1525"/>
  <c r="I268" i="1525" s="1"/>
  <c r="M268" i="1525" s="1"/>
  <c r="N268" i="1525" s="1"/>
  <c r="O268" i="1525" s="1"/>
  <c r="K267" i="1525"/>
  <c r="I267" i="1525" s="1"/>
  <c r="M267" i="1525" s="1"/>
  <c r="N267" i="1525" s="1"/>
  <c r="O267" i="1525" s="1"/>
  <c r="K266" i="1525"/>
  <c r="I266" i="1525" s="1"/>
  <c r="M266" i="1525" s="1"/>
  <c r="N266" i="1525" s="1"/>
  <c r="O266" i="1525" s="1"/>
  <c r="K265" i="1525"/>
  <c r="I265" i="1525" s="1"/>
  <c r="M265" i="1525" s="1"/>
  <c r="N265" i="1525" s="1"/>
  <c r="O265" i="1525" s="1"/>
  <c r="K264" i="1525"/>
  <c r="I264" i="1525" s="1"/>
  <c r="M264" i="1525" s="1"/>
  <c r="N264" i="1525" s="1"/>
  <c r="O264" i="1525" s="1"/>
  <c r="K263" i="1525"/>
  <c r="I263" i="1525" s="1"/>
  <c r="M263" i="1525" s="1"/>
  <c r="N263" i="1525" s="1"/>
  <c r="O263" i="1525" s="1"/>
  <c r="K262" i="1525"/>
  <c r="I262" i="1525" s="1"/>
  <c r="M262" i="1525" s="1"/>
  <c r="N262" i="1525" s="1"/>
  <c r="O262" i="1525" s="1"/>
  <c r="K261" i="1525"/>
  <c r="I261" i="1525" s="1"/>
  <c r="M261" i="1525" s="1"/>
  <c r="N261" i="1525" s="1"/>
  <c r="O261" i="1525" s="1"/>
  <c r="K260" i="1525"/>
  <c r="I260" i="1525" s="1"/>
  <c r="M260" i="1525" s="1"/>
  <c r="N260" i="1525" s="1"/>
  <c r="O260" i="1525" s="1"/>
  <c r="K259" i="1525"/>
  <c r="I259" i="1525" s="1"/>
  <c r="M259" i="1525" s="1"/>
  <c r="N259" i="1525" s="1"/>
  <c r="O259" i="1525" s="1"/>
  <c r="K258" i="1525"/>
  <c r="I258" i="1525" s="1"/>
  <c r="M258" i="1525" s="1"/>
  <c r="N258" i="1525" s="1"/>
  <c r="O258" i="1525" s="1"/>
  <c r="K257" i="1525"/>
  <c r="I257" i="1525" s="1"/>
  <c r="M257" i="1525" s="1"/>
  <c r="N257" i="1525" s="1"/>
  <c r="O257" i="1525" s="1"/>
  <c r="K256" i="1525"/>
  <c r="I256" i="1525" s="1"/>
  <c r="M256" i="1525" s="1"/>
  <c r="N256" i="1525" s="1"/>
  <c r="O256" i="1525" s="1"/>
  <c r="K255" i="1525"/>
  <c r="I255" i="1525" s="1"/>
  <c r="M255" i="1525" s="1"/>
  <c r="N255" i="1525" s="1"/>
  <c r="O255" i="1525" s="1"/>
  <c r="K254" i="1525"/>
  <c r="I254" i="1525" s="1"/>
  <c r="M254" i="1525" s="1"/>
  <c r="N254" i="1525" s="1"/>
  <c r="O254" i="1525" s="1"/>
  <c r="K253" i="1525"/>
  <c r="I253" i="1525" s="1"/>
  <c r="M253" i="1525" s="1"/>
  <c r="N253" i="1525" s="1"/>
  <c r="O253" i="1525" s="1"/>
  <c r="K252" i="1525"/>
  <c r="I252" i="1525" s="1"/>
  <c r="M252" i="1525" s="1"/>
  <c r="N252" i="1525" s="1"/>
  <c r="O252" i="1525" s="1"/>
  <c r="K251" i="1525"/>
  <c r="I251" i="1525" s="1"/>
  <c r="M251" i="1525" s="1"/>
  <c r="N251" i="1525" s="1"/>
  <c r="O251" i="1525" s="1"/>
  <c r="K250" i="1525"/>
  <c r="I250" i="1525" s="1"/>
  <c r="M250" i="1525" s="1"/>
  <c r="N250" i="1525" s="1"/>
  <c r="O250" i="1525" s="1"/>
  <c r="K249" i="1525"/>
  <c r="I249" i="1525" s="1"/>
  <c r="M249" i="1525" s="1"/>
  <c r="N249" i="1525" s="1"/>
  <c r="O249" i="1525" s="1"/>
  <c r="K248" i="1525"/>
  <c r="I248" i="1525" s="1"/>
  <c r="M248" i="1525" s="1"/>
  <c r="N248" i="1525" s="1"/>
  <c r="O248" i="1525" s="1"/>
  <c r="K247" i="1525"/>
  <c r="I247" i="1525" s="1"/>
  <c r="M247" i="1525" s="1"/>
  <c r="N247" i="1525" s="1"/>
  <c r="O247" i="1525" s="1"/>
  <c r="K246" i="1525"/>
  <c r="I246" i="1525" s="1"/>
  <c r="M246" i="1525" s="1"/>
  <c r="N246" i="1525" s="1"/>
  <c r="O246" i="1525" s="1"/>
  <c r="K245" i="1525"/>
  <c r="I245" i="1525" s="1"/>
  <c r="M245" i="1525" s="1"/>
  <c r="N245" i="1525" s="1"/>
  <c r="O245" i="1525" s="1"/>
  <c r="K244" i="1525"/>
  <c r="I244" i="1525" s="1"/>
  <c r="M244" i="1525" s="1"/>
  <c r="N244" i="1525" s="1"/>
  <c r="O244" i="1525" s="1"/>
  <c r="K243" i="1525"/>
  <c r="I243" i="1525" s="1"/>
  <c r="M243" i="1525" s="1"/>
  <c r="N243" i="1525" s="1"/>
  <c r="O243" i="1525" s="1"/>
  <c r="K242" i="1525"/>
  <c r="I242" i="1525" s="1"/>
  <c r="M242" i="1525" s="1"/>
  <c r="N242" i="1525" s="1"/>
  <c r="O242" i="1525" s="1"/>
  <c r="K241" i="1525"/>
  <c r="I241" i="1525" s="1"/>
  <c r="M241" i="1525" s="1"/>
  <c r="N241" i="1525" s="1"/>
  <c r="O241" i="1525" s="1"/>
  <c r="K240" i="1525"/>
  <c r="I240" i="1525" s="1"/>
  <c r="M240" i="1525" s="1"/>
  <c r="N240" i="1525" s="1"/>
  <c r="O240" i="1525" s="1"/>
  <c r="K239" i="1525"/>
  <c r="I239" i="1525" s="1"/>
  <c r="M239" i="1525" s="1"/>
  <c r="N239" i="1525" s="1"/>
  <c r="O239" i="1525" s="1"/>
  <c r="K238" i="1525"/>
  <c r="I238" i="1525" s="1"/>
  <c r="M238" i="1525" s="1"/>
  <c r="N238" i="1525" s="1"/>
  <c r="O238" i="1525" s="1"/>
  <c r="K237" i="1525"/>
  <c r="I237" i="1525" s="1"/>
  <c r="M237" i="1525" s="1"/>
  <c r="N237" i="1525" s="1"/>
  <c r="O237" i="1525" s="1"/>
  <c r="K236" i="1525"/>
  <c r="I236" i="1525" s="1"/>
  <c r="M236" i="1525" s="1"/>
  <c r="N236" i="1525" s="1"/>
  <c r="O236" i="1525" s="1"/>
  <c r="K235" i="1525"/>
  <c r="I235" i="1525" s="1"/>
  <c r="M235" i="1525" s="1"/>
  <c r="N235" i="1525" s="1"/>
  <c r="O235" i="1525" s="1"/>
  <c r="K234" i="1525"/>
  <c r="I234" i="1525" s="1"/>
  <c r="M234" i="1525" s="1"/>
  <c r="N234" i="1525" s="1"/>
  <c r="O234" i="1525" s="1"/>
  <c r="K233" i="1525"/>
  <c r="I233" i="1525" s="1"/>
  <c r="M233" i="1525" s="1"/>
  <c r="N233" i="1525" s="1"/>
  <c r="O233" i="1525" s="1"/>
  <c r="K232" i="1525"/>
  <c r="I232" i="1525" s="1"/>
  <c r="M232" i="1525" s="1"/>
  <c r="N232" i="1525" s="1"/>
  <c r="O232" i="1525" s="1"/>
  <c r="K231" i="1525"/>
  <c r="I231" i="1525" s="1"/>
  <c r="M231" i="1525" s="1"/>
  <c r="N231" i="1525" s="1"/>
  <c r="O231" i="1525" s="1"/>
  <c r="K230" i="1525"/>
  <c r="I230" i="1525" s="1"/>
  <c r="M230" i="1525" s="1"/>
  <c r="N230" i="1525" s="1"/>
  <c r="O230" i="1525" s="1"/>
  <c r="K229" i="1525"/>
  <c r="I229" i="1525" s="1"/>
  <c r="M229" i="1525" s="1"/>
  <c r="N229" i="1525" s="1"/>
  <c r="O229" i="1525" s="1"/>
  <c r="K228" i="1525"/>
  <c r="I228" i="1525" s="1"/>
  <c r="M228" i="1525" s="1"/>
  <c r="N228" i="1525" s="1"/>
  <c r="O228" i="1525" s="1"/>
  <c r="K227" i="1525"/>
  <c r="I227" i="1525" s="1"/>
  <c r="M227" i="1525" s="1"/>
  <c r="N227" i="1525" s="1"/>
  <c r="O227" i="1525" s="1"/>
  <c r="K226" i="1525"/>
  <c r="I226" i="1525" s="1"/>
  <c r="M226" i="1525" s="1"/>
  <c r="N226" i="1525" s="1"/>
  <c r="O226" i="1525" s="1"/>
  <c r="K225" i="1525"/>
  <c r="I225" i="1525" s="1"/>
  <c r="M225" i="1525" s="1"/>
  <c r="N225" i="1525" s="1"/>
  <c r="O225" i="1525" s="1"/>
  <c r="K224" i="1525"/>
  <c r="I224" i="1525" s="1"/>
  <c r="M224" i="1525" s="1"/>
  <c r="N224" i="1525" s="1"/>
  <c r="O224" i="1525" s="1"/>
  <c r="K223" i="1525"/>
  <c r="I223" i="1525" s="1"/>
  <c r="M223" i="1525" s="1"/>
  <c r="N223" i="1525" s="1"/>
  <c r="O223" i="1525" s="1"/>
  <c r="K222" i="1525"/>
  <c r="I222" i="1525" s="1"/>
  <c r="M222" i="1525" s="1"/>
  <c r="N222" i="1525" s="1"/>
  <c r="O222" i="1525" s="1"/>
  <c r="K221" i="1525"/>
  <c r="I221" i="1525" s="1"/>
  <c r="M221" i="1525" s="1"/>
  <c r="N221" i="1525" s="1"/>
  <c r="O221" i="1525" s="1"/>
  <c r="K220" i="1525"/>
  <c r="I220" i="1525" s="1"/>
  <c r="M220" i="1525" s="1"/>
  <c r="N220" i="1525" s="1"/>
  <c r="O220" i="1525" s="1"/>
  <c r="K219" i="1525"/>
  <c r="I219" i="1525" s="1"/>
  <c r="M219" i="1525" s="1"/>
  <c r="N219" i="1525" s="1"/>
  <c r="O219" i="1525" s="1"/>
  <c r="K218" i="1525"/>
  <c r="I218" i="1525" s="1"/>
  <c r="M218" i="1525" s="1"/>
  <c r="N218" i="1525" s="1"/>
  <c r="O218" i="1525" s="1"/>
  <c r="K217" i="1525"/>
  <c r="I217" i="1525" s="1"/>
  <c r="M217" i="1525" s="1"/>
  <c r="N217" i="1525" s="1"/>
  <c r="O217" i="1525" s="1"/>
  <c r="K216" i="1525"/>
  <c r="I216" i="1525" s="1"/>
  <c r="M216" i="1525" s="1"/>
  <c r="N216" i="1525" s="1"/>
  <c r="O216" i="1525" s="1"/>
  <c r="K215" i="1525"/>
  <c r="I215" i="1525" s="1"/>
  <c r="M215" i="1525" s="1"/>
  <c r="N215" i="1525" s="1"/>
  <c r="O215" i="1525" s="1"/>
  <c r="K214" i="1525"/>
  <c r="I214" i="1525" s="1"/>
  <c r="M214" i="1525" s="1"/>
  <c r="N214" i="1525" s="1"/>
  <c r="O214" i="1525" s="1"/>
  <c r="K213" i="1525"/>
  <c r="I213" i="1525" s="1"/>
  <c r="M213" i="1525" s="1"/>
  <c r="N213" i="1525" s="1"/>
  <c r="O213" i="1525" s="1"/>
  <c r="K212" i="1525"/>
  <c r="I212" i="1525" s="1"/>
  <c r="M212" i="1525" s="1"/>
  <c r="N212" i="1525" s="1"/>
  <c r="O212" i="1525" s="1"/>
  <c r="K211" i="1525"/>
  <c r="I211" i="1525" s="1"/>
  <c r="M211" i="1525" s="1"/>
  <c r="N211" i="1525" s="1"/>
  <c r="O211" i="1525" s="1"/>
  <c r="K210" i="1525"/>
  <c r="I210" i="1525" s="1"/>
  <c r="M210" i="1525" s="1"/>
  <c r="N210" i="1525" s="1"/>
  <c r="O210" i="1525" s="1"/>
  <c r="K209" i="1525"/>
  <c r="I209" i="1525" s="1"/>
  <c r="M209" i="1525" s="1"/>
  <c r="N209" i="1525" s="1"/>
  <c r="O209" i="1525" s="1"/>
  <c r="K208" i="1525"/>
  <c r="I208" i="1525" s="1"/>
  <c r="M208" i="1525" s="1"/>
  <c r="N208" i="1525" s="1"/>
  <c r="O208" i="1525" s="1"/>
  <c r="K207" i="1525"/>
  <c r="I207" i="1525" s="1"/>
  <c r="M207" i="1525" s="1"/>
  <c r="N207" i="1525" s="1"/>
  <c r="O207" i="1525" s="1"/>
  <c r="K206" i="1525"/>
  <c r="I206" i="1525" s="1"/>
  <c r="M206" i="1525" s="1"/>
  <c r="N206" i="1525" s="1"/>
  <c r="O206" i="1525" s="1"/>
  <c r="K205" i="1525"/>
  <c r="I205" i="1525" s="1"/>
  <c r="M205" i="1525" s="1"/>
  <c r="N205" i="1525" s="1"/>
  <c r="O205" i="1525" s="1"/>
  <c r="K204" i="1525"/>
  <c r="I204" i="1525" s="1"/>
  <c r="M204" i="1525" s="1"/>
  <c r="N204" i="1525" s="1"/>
  <c r="O204" i="1525" s="1"/>
  <c r="K203" i="1525"/>
  <c r="I203" i="1525" s="1"/>
  <c r="M203" i="1525" s="1"/>
  <c r="N203" i="1525" s="1"/>
  <c r="O203" i="1525" s="1"/>
  <c r="K202" i="1525"/>
  <c r="I202" i="1525" s="1"/>
  <c r="M202" i="1525" s="1"/>
  <c r="N202" i="1525" s="1"/>
  <c r="O202" i="1525" s="1"/>
  <c r="K201" i="1525"/>
  <c r="I201" i="1525" s="1"/>
  <c r="M201" i="1525" s="1"/>
  <c r="N201" i="1525" s="1"/>
  <c r="O201" i="1525" s="1"/>
  <c r="K200" i="1525"/>
  <c r="I200" i="1525" s="1"/>
  <c r="M200" i="1525" s="1"/>
  <c r="N200" i="1525" s="1"/>
  <c r="O200" i="1525" s="1"/>
  <c r="K199" i="1525"/>
  <c r="I199" i="1525" s="1"/>
  <c r="M199" i="1525" s="1"/>
  <c r="N199" i="1525" s="1"/>
  <c r="O199" i="1525" s="1"/>
  <c r="K198" i="1525"/>
  <c r="I198" i="1525" s="1"/>
  <c r="M198" i="1525" s="1"/>
  <c r="N198" i="1525" s="1"/>
  <c r="O198" i="1525" s="1"/>
  <c r="K197" i="1525"/>
  <c r="I197" i="1525" s="1"/>
  <c r="M197" i="1525" s="1"/>
  <c r="N197" i="1525" s="1"/>
  <c r="O197" i="1525" s="1"/>
  <c r="K196" i="1525"/>
  <c r="I196" i="1525" s="1"/>
  <c r="M196" i="1525" s="1"/>
  <c r="N196" i="1525" s="1"/>
  <c r="O196" i="1525" s="1"/>
  <c r="K195" i="1525"/>
  <c r="I195" i="1525" s="1"/>
  <c r="M195" i="1525" s="1"/>
  <c r="N195" i="1525" s="1"/>
  <c r="O195" i="1525" s="1"/>
  <c r="K194" i="1525"/>
  <c r="I194" i="1525" s="1"/>
  <c r="M194" i="1525" s="1"/>
  <c r="N194" i="1525" s="1"/>
  <c r="O194" i="1525" s="1"/>
  <c r="K193" i="1525"/>
  <c r="I193" i="1525" s="1"/>
  <c r="M193" i="1525" s="1"/>
  <c r="N193" i="1525" s="1"/>
  <c r="O193" i="1525" s="1"/>
  <c r="K192" i="1525"/>
  <c r="I192" i="1525" s="1"/>
  <c r="M192" i="1525" s="1"/>
  <c r="N192" i="1525" s="1"/>
  <c r="O192" i="1525" s="1"/>
  <c r="K191" i="1525"/>
  <c r="I191" i="1525" s="1"/>
  <c r="M191" i="1525" s="1"/>
  <c r="N191" i="1525" s="1"/>
  <c r="O191" i="1525" s="1"/>
  <c r="K190" i="1525"/>
  <c r="I190" i="1525" s="1"/>
  <c r="M190" i="1525" s="1"/>
  <c r="N190" i="1525" s="1"/>
  <c r="O190" i="1525" s="1"/>
  <c r="K189" i="1525"/>
  <c r="I189" i="1525" s="1"/>
  <c r="M189" i="1525" s="1"/>
  <c r="N189" i="1525" s="1"/>
  <c r="O189" i="1525" s="1"/>
  <c r="K188" i="1525"/>
  <c r="I188" i="1525" s="1"/>
  <c r="M188" i="1525" s="1"/>
  <c r="N188" i="1525" s="1"/>
  <c r="O188" i="1525" s="1"/>
  <c r="K187" i="1525"/>
  <c r="I187" i="1525" s="1"/>
  <c r="M187" i="1525" s="1"/>
  <c r="N187" i="1525" s="1"/>
  <c r="O187" i="1525" s="1"/>
  <c r="K186" i="1525"/>
  <c r="I186" i="1525" s="1"/>
  <c r="M186" i="1525" s="1"/>
  <c r="N186" i="1525" s="1"/>
  <c r="O186" i="1525" s="1"/>
  <c r="K185" i="1525"/>
  <c r="I185" i="1525" s="1"/>
  <c r="M185" i="1525" s="1"/>
  <c r="N185" i="1525" s="1"/>
  <c r="O185" i="1525" s="1"/>
  <c r="K184" i="1525"/>
  <c r="I184" i="1525" s="1"/>
  <c r="M184" i="1525" s="1"/>
  <c r="N184" i="1525" s="1"/>
  <c r="O184" i="1525" s="1"/>
  <c r="K183" i="1525"/>
  <c r="I183" i="1525" s="1"/>
  <c r="M183" i="1525" s="1"/>
  <c r="N183" i="1525" s="1"/>
  <c r="O183" i="1525" s="1"/>
  <c r="K182" i="1525"/>
  <c r="I182" i="1525" s="1"/>
  <c r="M182" i="1525" s="1"/>
  <c r="N182" i="1525" s="1"/>
  <c r="O182" i="1525" s="1"/>
  <c r="K181" i="1525"/>
  <c r="I181" i="1525" s="1"/>
  <c r="M181" i="1525" s="1"/>
  <c r="N181" i="1525" s="1"/>
  <c r="O181" i="1525" s="1"/>
  <c r="K180" i="1525"/>
  <c r="I180" i="1525" s="1"/>
  <c r="M180" i="1525" s="1"/>
  <c r="N180" i="1525" s="1"/>
  <c r="O180" i="1525" s="1"/>
  <c r="K179" i="1525"/>
  <c r="I179" i="1525" s="1"/>
  <c r="M179" i="1525" s="1"/>
  <c r="N179" i="1525" s="1"/>
  <c r="O179" i="1525" s="1"/>
  <c r="K178" i="1525"/>
  <c r="I178" i="1525" s="1"/>
  <c r="M178" i="1525" s="1"/>
  <c r="N178" i="1525" s="1"/>
  <c r="O178" i="1525" s="1"/>
  <c r="K177" i="1525"/>
  <c r="I177" i="1525" s="1"/>
  <c r="M177" i="1525" s="1"/>
  <c r="N177" i="1525" s="1"/>
  <c r="O177" i="1525" s="1"/>
  <c r="K176" i="1525"/>
  <c r="I176" i="1525" s="1"/>
  <c r="M176" i="1525" s="1"/>
  <c r="N176" i="1525" s="1"/>
  <c r="O176" i="1525" s="1"/>
  <c r="K175" i="1525"/>
  <c r="I175" i="1525" s="1"/>
  <c r="M175" i="1525" s="1"/>
  <c r="N175" i="1525" s="1"/>
  <c r="O175" i="1525" s="1"/>
  <c r="K174" i="1525"/>
  <c r="I174" i="1525" s="1"/>
  <c r="M174" i="1525" s="1"/>
  <c r="N174" i="1525" s="1"/>
  <c r="O174" i="1525" s="1"/>
  <c r="K173" i="1525"/>
  <c r="I173" i="1525" s="1"/>
  <c r="M173" i="1525" s="1"/>
  <c r="N173" i="1525" s="1"/>
  <c r="O173" i="1525" s="1"/>
  <c r="K172" i="1525"/>
  <c r="I172" i="1525" s="1"/>
  <c r="M172" i="1525" s="1"/>
  <c r="N172" i="1525" s="1"/>
  <c r="O172" i="1525" s="1"/>
  <c r="K171" i="1525"/>
  <c r="I171" i="1525" s="1"/>
  <c r="M171" i="1525" s="1"/>
  <c r="N171" i="1525" s="1"/>
  <c r="O171" i="1525" s="1"/>
  <c r="K170" i="1525"/>
  <c r="I170" i="1525" s="1"/>
  <c r="M170" i="1525" s="1"/>
  <c r="N170" i="1525" s="1"/>
  <c r="O170" i="1525" s="1"/>
  <c r="K169" i="1525"/>
  <c r="I169" i="1525" s="1"/>
  <c r="M169" i="1525" s="1"/>
  <c r="N169" i="1525" s="1"/>
  <c r="O169" i="1525" s="1"/>
  <c r="K168" i="1525"/>
  <c r="I168" i="1525" s="1"/>
  <c r="M168" i="1525" s="1"/>
  <c r="N168" i="1525" s="1"/>
  <c r="O168" i="1525" s="1"/>
  <c r="K167" i="1525"/>
  <c r="I167" i="1525" s="1"/>
  <c r="M167" i="1525" s="1"/>
  <c r="N167" i="1525" s="1"/>
  <c r="O167" i="1525" s="1"/>
  <c r="K166" i="1525"/>
  <c r="I166" i="1525" s="1"/>
  <c r="M166" i="1525" s="1"/>
  <c r="N166" i="1525" s="1"/>
  <c r="O166" i="1525" s="1"/>
  <c r="K165" i="1525"/>
  <c r="I165" i="1525" s="1"/>
  <c r="M165" i="1525" s="1"/>
  <c r="N165" i="1525" s="1"/>
  <c r="O165" i="1525" s="1"/>
  <c r="K164" i="1525"/>
  <c r="I164" i="1525" s="1"/>
  <c r="M164" i="1525" s="1"/>
  <c r="N164" i="1525" s="1"/>
  <c r="O164" i="1525" s="1"/>
  <c r="K163" i="1525"/>
  <c r="I163" i="1525" s="1"/>
  <c r="M163" i="1525" s="1"/>
  <c r="N163" i="1525" s="1"/>
  <c r="O163" i="1525" s="1"/>
  <c r="K162" i="1525"/>
  <c r="I162" i="1525" s="1"/>
  <c r="M162" i="1525" s="1"/>
  <c r="N162" i="1525" s="1"/>
  <c r="O162" i="1525" s="1"/>
  <c r="K161" i="1525"/>
  <c r="I161" i="1525" s="1"/>
  <c r="M161" i="1525" s="1"/>
  <c r="N161" i="1525" s="1"/>
  <c r="O161" i="1525" s="1"/>
  <c r="K160" i="1525"/>
  <c r="I160" i="1525" s="1"/>
  <c r="M160" i="1525" s="1"/>
  <c r="N160" i="1525" s="1"/>
  <c r="O160" i="1525" s="1"/>
  <c r="K159" i="1525"/>
  <c r="I159" i="1525" s="1"/>
  <c r="M159" i="1525" s="1"/>
  <c r="N159" i="1525" s="1"/>
  <c r="O159" i="1525" s="1"/>
  <c r="K158" i="1525"/>
  <c r="I158" i="1525" s="1"/>
  <c r="M158" i="1525" s="1"/>
  <c r="N158" i="1525" s="1"/>
  <c r="O158" i="1525" s="1"/>
  <c r="K157" i="1525"/>
  <c r="I157" i="1525" s="1"/>
  <c r="M157" i="1525" s="1"/>
  <c r="N157" i="1525" s="1"/>
  <c r="O157" i="1525" s="1"/>
  <c r="K156" i="1525"/>
  <c r="I156" i="1525" s="1"/>
  <c r="M156" i="1525" s="1"/>
  <c r="N156" i="1525" s="1"/>
  <c r="O156" i="1525" s="1"/>
  <c r="K155" i="1525"/>
  <c r="I155" i="1525" s="1"/>
  <c r="M155" i="1525" s="1"/>
  <c r="N155" i="1525" s="1"/>
  <c r="O155" i="1525" s="1"/>
  <c r="K154" i="1525"/>
  <c r="I154" i="1525" s="1"/>
  <c r="M154" i="1525" s="1"/>
  <c r="N154" i="1525" s="1"/>
  <c r="O154" i="1525" s="1"/>
  <c r="K153" i="1525"/>
  <c r="I153" i="1525" s="1"/>
  <c r="M153" i="1525" s="1"/>
  <c r="N153" i="1525" s="1"/>
  <c r="O153" i="1525" s="1"/>
  <c r="K152" i="1525"/>
  <c r="I152" i="1525" s="1"/>
  <c r="M152" i="1525" s="1"/>
  <c r="N152" i="1525" s="1"/>
  <c r="O152" i="1525" s="1"/>
  <c r="K151" i="1525"/>
  <c r="I151" i="1525" s="1"/>
  <c r="M151" i="1525" s="1"/>
  <c r="N151" i="1525" s="1"/>
  <c r="O151" i="1525" s="1"/>
  <c r="K150" i="1525"/>
  <c r="I150" i="1525" s="1"/>
  <c r="M150" i="1525" s="1"/>
  <c r="N150" i="1525" s="1"/>
  <c r="O150" i="1525" s="1"/>
  <c r="K149" i="1525"/>
  <c r="I149" i="1525" s="1"/>
  <c r="M149" i="1525" s="1"/>
  <c r="N149" i="1525" s="1"/>
  <c r="O149" i="1525" s="1"/>
  <c r="K148" i="1525"/>
  <c r="I148" i="1525" s="1"/>
  <c r="M148" i="1525" s="1"/>
  <c r="N148" i="1525" s="1"/>
  <c r="O148" i="1525" s="1"/>
  <c r="K147" i="1525"/>
  <c r="I147" i="1525" s="1"/>
  <c r="M147" i="1525" s="1"/>
  <c r="N147" i="1525" s="1"/>
  <c r="O147" i="1525" s="1"/>
  <c r="K146" i="1525"/>
  <c r="I146" i="1525" s="1"/>
  <c r="M146" i="1525" s="1"/>
  <c r="N146" i="1525" s="1"/>
  <c r="O146" i="1525" s="1"/>
  <c r="K145" i="1525"/>
  <c r="I145" i="1525" s="1"/>
  <c r="M145" i="1525" s="1"/>
  <c r="N145" i="1525" s="1"/>
  <c r="O145" i="1525" s="1"/>
  <c r="K144" i="1525"/>
  <c r="I144" i="1525" s="1"/>
  <c r="M144" i="1525" s="1"/>
  <c r="N144" i="1525" s="1"/>
  <c r="O144" i="1525" s="1"/>
  <c r="K143" i="1525"/>
  <c r="I143" i="1525" s="1"/>
  <c r="M143" i="1525" s="1"/>
  <c r="N143" i="1525" s="1"/>
  <c r="O143" i="1525" s="1"/>
  <c r="K142" i="1525"/>
  <c r="I142" i="1525" s="1"/>
  <c r="M142" i="1525" s="1"/>
  <c r="N142" i="1525" s="1"/>
  <c r="O142" i="1525" s="1"/>
  <c r="K141" i="1525"/>
  <c r="I141" i="1525" s="1"/>
  <c r="M141" i="1525" s="1"/>
  <c r="N141" i="1525" s="1"/>
  <c r="O141" i="1525" s="1"/>
  <c r="K140" i="1525"/>
  <c r="I140" i="1525" s="1"/>
  <c r="M140" i="1525" s="1"/>
  <c r="N140" i="1525" s="1"/>
  <c r="O140" i="1525" s="1"/>
  <c r="K139" i="1525"/>
  <c r="I139" i="1525" s="1"/>
  <c r="M139" i="1525" s="1"/>
  <c r="N139" i="1525" s="1"/>
  <c r="O139" i="1525" s="1"/>
  <c r="K138" i="1525"/>
  <c r="I138" i="1525" s="1"/>
  <c r="M138" i="1525" s="1"/>
  <c r="N138" i="1525" s="1"/>
  <c r="O138" i="1525" s="1"/>
  <c r="K137" i="1525"/>
  <c r="I137" i="1525" s="1"/>
  <c r="M137" i="1525" s="1"/>
  <c r="N137" i="1525" s="1"/>
  <c r="O137" i="1525" s="1"/>
  <c r="K136" i="1525"/>
  <c r="I136" i="1525" s="1"/>
  <c r="M136" i="1525" s="1"/>
  <c r="N136" i="1525" s="1"/>
  <c r="O136" i="1525" s="1"/>
  <c r="K135" i="1525"/>
  <c r="I135" i="1525" s="1"/>
  <c r="M135" i="1525" s="1"/>
  <c r="N135" i="1525" s="1"/>
  <c r="O135" i="1525" s="1"/>
  <c r="K134" i="1525"/>
  <c r="I134" i="1525" s="1"/>
  <c r="M134" i="1525" s="1"/>
  <c r="N134" i="1525" s="1"/>
  <c r="O134" i="1525" s="1"/>
  <c r="K133" i="1525"/>
  <c r="I133" i="1525" s="1"/>
  <c r="M133" i="1525" s="1"/>
  <c r="N133" i="1525" s="1"/>
  <c r="O133" i="1525" s="1"/>
  <c r="K132" i="1525"/>
  <c r="I132" i="1525" s="1"/>
  <c r="M132" i="1525" s="1"/>
  <c r="N132" i="1525" s="1"/>
  <c r="O132" i="1525" s="1"/>
  <c r="K131" i="1525"/>
  <c r="I131" i="1525" s="1"/>
  <c r="M131" i="1525" s="1"/>
  <c r="N131" i="1525" s="1"/>
  <c r="O131" i="1525" s="1"/>
  <c r="K130" i="1525"/>
  <c r="I130" i="1525" s="1"/>
  <c r="M130" i="1525" s="1"/>
  <c r="N130" i="1525" s="1"/>
  <c r="O130" i="1525" s="1"/>
  <c r="K129" i="1525"/>
  <c r="I129" i="1525" s="1"/>
  <c r="M129" i="1525" s="1"/>
  <c r="N129" i="1525" s="1"/>
  <c r="O129" i="1525" s="1"/>
  <c r="K128" i="1525"/>
  <c r="I128" i="1525" s="1"/>
  <c r="M128" i="1525" s="1"/>
  <c r="N128" i="1525" s="1"/>
  <c r="O128" i="1525" s="1"/>
  <c r="K127" i="1525"/>
  <c r="I127" i="1525" s="1"/>
  <c r="M127" i="1525" s="1"/>
  <c r="N127" i="1525" s="1"/>
  <c r="O127" i="1525" s="1"/>
  <c r="K126" i="1525"/>
  <c r="I126" i="1525" s="1"/>
  <c r="M126" i="1525" s="1"/>
  <c r="N126" i="1525" s="1"/>
  <c r="O126" i="1525" s="1"/>
  <c r="K125" i="1525"/>
  <c r="I125" i="1525" s="1"/>
  <c r="M125" i="1525" s="1"/>
  <c r="N125" i="1525" s="1"/>
  <c r="O125" i="1525" s="1"/>
  <c r="K124" i="1525"/>
  <c r="I124" i="1525" s="1"/>
  <c r="M124" i="1525" s="1"/>
  <c r="N124" i="1525" s="1"/>
  <c r="O124" i="1525" s="1"/>
  <c r="K123" i="1525"/>
  <c r="I123" i="1525" s="1"/>
  <c r="M123" i="1525" s="1"/>
  <c r="N123" i="1525" s="1"/>
  <c r="O123" i="1525" s="1"/>
  <c r="K122" i="1525"/>
  <c r="I122" i="1525" s="1"/>
  <c r="M122" i="1525" s="1"/>
  <c r="N122" i="1525" s="1"/>
  <c r="O122" i="1525" s="1"/>
  <c r="K121" i="1525"/>
  <c r="I121" i="1525" s="1"/>
  <c r="M121" i="1525" s="1"/>
  <c r="N121" i="1525" s="1"/>
  <c r="O121" i="1525" s="1"/>
  <c r="K120" i="1525"/>
  <c r="I120" i="1525" s="1"/>
  <c r="M120" i="1525" s="1"/>
  <c r="N120" i="1525" s="1"/>
  <c r="O120" i="1525" s="1"/>
  <c r="K119" i="1525"/>
  <c r="I119" i="1525" s="1"/>
  <c r="M119" i="1525" s="1"/>
  <c r="N119" i="1525" s="1"/>
  <c r="O119" i="1525" s="1"/>
  <c r="K118" i="1525"/>
  <c r="I118" i="1525" s="1"/>
  <c r="M118" i="1525" s="1"/>
  <c r="N118" i="1525" s="1"/>
  <c r="O118" i="1525" s="1"/>
  <c r="K117" i="1525"/>
  <c r="I117" i="1525" s="1"/>
  <c r="M117" i="1525" s="1"/>
  <c r="N117" i="1525" s="1"/>
  <c r="O117" i="1525" s="1"/>
  <c r="K116" i="1525"/>
  <c r="I116" i="1525" s="1"/>
  <c r="M116" i="1525" s="1"/>
  <c r="N116" i="1525" s="1"/>
  <c r="O116" i="1525" s="1"/>
  <c r="K115" i="1525"/>
  <c r="I115" i="1525" s="1"/>
  <c r="M115" i="1525" s="1"/>
  <c r="N115" i="1525" s="1"/>
  <c r="O115" i="1525" s="1"/>
  <c r="K114" i="1525"/>
  <c r="I114" i="1525" s="1"/>
  <c r="M114" i="1525" s="1"/>
  <c r="N114" i="1525" s="1"/>
  <c r="O114" i="1525" s="1"/>
  <c r="K113" i="1525"/>
  <c r="I113" i="1525" s="1"/>
  <c r="M113" i="1525" s="1"/>
  <c r="N113" i="1525" s="1"/>
  <c r="O113" i="1525" s="1"/>
  <c r="K112" i="1525"/>
  <c r="I112" i="1525" s="1"/>
  <c r="M112" i="1525" s="1"/>
  <c r="N112" i="1525" s="1"/>
  <c r="O112" i="1525" s="1"/>
  <c r="K111" i="1525"/>
  <c r="I111" i="1525" s="1"/>
  <c r="M111" i="1525" s="1"/>
  <c r="N111" i="1525" s="1"/>
  <c r="O111" i="1525" s="1"/>
  <c r="K110" i="1525"/>
  <c r="I110" i="1525" s="1"/>
  <c r="M110" i="1525" s="1"/>
  <c r="N110" i="1525" s="1"/>
  <c r="O110" i="1525" s="1"/>
  <c r="K109" i="1525"/>
  <c r="I109" i="1525" s="1"/>
  <c r="M109" i="1525" s="1"/>
  <c r="N109" i="1525" s="1"/>
  <c r="O109" i="1525" s="1"/>
  <c r="K108" i="1525"/>
  <c r="I108" i="1525" s="1"/>
  <c r="M108" i="1525" s="1"/>
  <c r="N108" i="1525" s="1"/>
  <c r="O108" i="1525" s="1"/>
  <c r="K107" i="1525"/>
  <c r="I107" i="1525" s="1"/>
  <c r="M107" i="1525" s="1"/>
  <c r="N107" i="1525" s="1"/>
  <c r="O107" i="1525" s="1"/>
  <c r="K106" i="1525"/>
  <c r="I106" i="1525" s="1"/>
  <c r="M106" i="1525" s="1"/>
  <c r="N106" i="1525" s="1"/>
  <c r="O106" i="1525" s="1"/>
  <c r="K105" i="1525"/>
  <c r="I105" i="1525" s="1"/>
  <c r="M105" i="1525" s="1"/>
  <c r="N105" i="1525" s="1"/>
  <c r="O105" i="1525" s="1"/>
  <c r="K104" i="1525"/>
  <c r="I104" i="1525" s="1"/>
  <c r="M104" i="1525" s="1"/>
  <c r="N104" i="1525" s="1"/>
  <c r="O104" i="1525" s="1"/>
  <c r="K103" i="1525"/>
  <c r="I103" i="1525" s="1"/>
  <c r="M103" i="1525" s="1"/>
  <c r="N103" i="1525" s="1"/>
  <c r="O103" i="1525" s="1"/>
  <c r="K102" i="1525"/>
  <c r="I102" i="1525" s="1"/>
  <c r="M102" i="1525" s="1"/>
  <c r="N102" i="1525" s="1"/>
  <c r="O102" i="1525" s="1"/>
  <c r="K101" i="1525"/>
  <c r="I101" i="1525" s="1"/>
  <c r="M101" i="1525" s="1"/>
  <c r="N101" i="1525" s="1"/>
  <c r="O101" i="1525" s="1"/>
  <c r="K100" i="1525"/>
  <c r="I100" i="1525" s="1"/>
  <c r="M100" i="1525" s="1"/>
  <c r="N100" i="1525" s="1"/>
  <c r="O100" i="1525" s="1"/>
  <c r="K99" i="1525"/>
  <c r="I99" i="1525" s="1"/>
  <c r="M99" i="1525" s="1"/>
  <c r="N99" i="1525" s="1"/>
  <c r="O99" i="1525" s="1"/>
  <c r="K98" i="1525"/>
  <c r="I98" i="1525" s="1"/>
  <c r="M98" i="1525" s="1"/>
  <c r="N98" i="1525" s="1"/>
  <c r="O98" i="1525" s="1"/>
  <c r="K97" i="1525"/>
  <c r="I97" i="1525" s="1"/>
  <c r="M97" i="1525" s="1"/>
  <c r="N97" i="1525" s="1"/>
  <c r="O97" i="1525" s="1"/>
  <c r="K96" i="1525"/>
  <c r="I96" i="1525" s="1"/>
  <c r="M96" i="1525" s="1"/>
  <c r="N96" i="1525" s="1"/>
  <c r="O96" i="1525" s="1"/>
  <c r="K95" i="1525"/>
  <c r="I95" i="1525" s="1"/>
  <c r="M95" i="1525" s="1"/>
  <c r="N95" i="1525" s="1"/>
  <c r="O95" i="1525" s="1"/>
  <c r="K94" i="1525"/>
  <c r="I94" i="1525" s="1"/>
  <c r="M94" i="1525" s="1"/>
  <c r="N94" i="1525" s="1"/>
  <c r="O94" i="1525" s="1"/>
  <c r="K93" i="1525"/>
  <c r="I93" i="1525" s="1"/>
  <c r="M93" i="1525" s="1"/>
  <c r="N93" i="1525" s="1"/>
  <c r="O93" i="1525" s="1"/>
  <c r="K92" i="1525"/>
  <c r="I92" i="1525" s="1"/>
  <c r="M92" i="1525" s="1"/>
  <c r="N92" i="1525" s="1"/>
  <c r="O92" i="1525" s="1"/>
  <c r="K91" i="1525"/>
  <c r="I91" i="1525" s="1"/>
  <c r="M91" i="1525" s="1"/>
  <c r="N91" i="1525" s="1"/>
  <c r="O91" i="1525" s="1"/>
  <c r="K90" i="1525"/>
  <c r="I90" i="1525" s="1"/>
  <c r="M90" i="1525" s="1"/>
  <c r="N90" i="1525" s="1"/>
  <c r="O90" i="1525" s="1"/>
  <c r="K89" i="1525"/>
  <c r="I89" i="1525" s="1"/>
  <c r="M89" i="1525" s="1"/>
  <c r="N89" i="1525" s="1"/>
  <c r="O89" i="1525" s="1"/>
  <c r="K88" i="1525"/>
  <c r="I88" i="1525" s="1"/>
  <c r="M88" i="1525" s="1"/>
  <c r="N88" i="1525" s="1"/>
  <c r="O88" i="1525" s="1"/>
  <c r="K87" i="1525"/>
  <c r="I87" i="1525" s="1"/>
  <c r="M87" i="1525" s="1"/>
  <c r="N87" i="1525" s="1"/>
  <c r="O87" i="1525" s="1"/>
  <c r="K86" i="1525"/>
  <c r="I86" i="1525" s="1"/>
  <c r="M86" i="1525" s="1"/>
  <c r="N86" i="1525" s="1"/>
  <c r="O86" i="1525" s="1"/>
  <c r="K85" i="1525"/>
  <c r="I85" i="1525" s="1"/>
  <c r="M85" i="1525" s="1"/>
  <c r="N85" i="1525" s="1"/>
  <c r="O85" i="1525" s="1"/>
  <c r="K84" i="1525"/>
  <c r="I84" i="1525" s="1"/>
  <c r="M84" i="1525" s="1"/>
  <c r="N84" i="1525" s="1"/>
  <c r="O84" i="1525" s="1"/>
  <c r="K83" i="1525"/>
  <c r="I83" i="1525" s="1"/>
  <c r="M83" i="1525" s="1"/>
  <c r="N83" i="1525" s="1"/>
  <c r="O83" i="1525" s="1"/>
  <c r="K82" i="1525"/>
  <c r="I82" i="1525" s="1"/>
  <c r="M82" i="1525" s="1"/>
  <c r="N82" i="1525" s="1"/>
  <c r="O82" i="1525" s="1"/>
  <c r="K81" i="1525"/>
  <c r="I81" i="1525" s="1"/>
  <c r="M81" i="1525" s="1"/>
  <c r="N81" i="1525" s="1"/>
  <c r="O81" i="1525" s="1"/>
  <c r="K80" i="1525"/>
  <c r="I80" i="1525" s="1"/>
  <c r="M80" i="1525" s="1"/>
  <c r="N80" i="1525" s="1"/>
  <c r="O80" i="1525" s="1"/>
  <c r="K79" i="1525"/>
  <c r="I79" i="1525" s="1"/>
  <c r="M79" i="1525" s="1"/>
  <c r="N79" i="1525" s="1"/>
  <c r="O79" i="1525" s="1"/>
  <c r="K78" i="1525"/>
  <c r="I78" i="1525" s="1"/>
  <c r="M78" i="1525" s="1"/>
  <c r="N78" i="1525" s="1"/>
  <c r="O78" i="1525" s="1"/>
  <c r="K77" i="1525"/>
  <c r="I77" i="1525" s="1"/>
  <c r="M77" i="1525" s="1"/>
  <c r="N77" i="1525" s="1"/>
  <c r="O77" i="1525" s="1"/>
  <c r="K76" i="1525"/>
  <c r="I76" i="1525" s="1"/>
  <c r="M76" i="1525" s="1"/>
  <c r="N76" i="1525" s="1"/>
  <c r="O76" i="1525" s="1"/>
  <c r="K75" i="1525"/>
  <c r="I75" i="1525" s="1"/>
  <c r="M75" i="1525" s="1"/>
  <c r="N75" i="1525" s="1"/>
  <c r="O75" i="1525" s="1"/>
  <c r="K74" i="1525"/>
  <c r="I74" i="1525" s="1"/>
  <c r="M74" i="1525" s="1"/>
  <c r="N74" i="1525" s="1"/>
  <c r="O74" i="1525" s="1"/>
  <c r="K73" i="1525"/>
  <c r="I73" i="1525" s="1"/>
  <c r="M73" i="1525" s="1"/>
  <c r="N73" i="1525" s="1"/>
  <c r="O73" i="1525" s="1"/>
  <c r="K72" i="1525"/>
  <c r="I72" i="1525" s="1"/>
  <c r="M72" i="1525" s="1"/>
  <c r="N72" i="1525" s="1"/>
  <c r="O72" i="1525" s="1"/>
  <c r="K71" i="1525"/>
  <c r="I71" i="1525" s="1"/>
  <c r="M71" i="1525" s="1"/>
  <c r="N71" i="1525" s="1"/>
  <c r="O71" i="1525" s="1"/>
  <c r="K70" i="1525"/>
  <c r="I70" i="1525" s="1"/>
  <c r="M70" i="1525" s="1"/>
  <c r="N70" i="1525" s="1"/>
  <c r="O70" i="1525" s="1"/>
  <c r="K69" i="1525"/>
  <c r="I69" i="1525" s="1"/>
  <c r="M69" i="1525" s="1"/>
  <c r="N69" i="1525" s="1"/>
  <c r="O69" i="1525" s="1"/>
  <c r="K68" i="1525"/>
  <c r="I68" i="1525" s="1"/>
  <c r="M68" i="1525" s="1"/>
  <c r="N68" i="1525" s="1"/>
  <c r="O68" i="1525" s="1"/>
  <c r="K67" i="1525"/>
  <c r="I67" i="1525" s="1"/>
  <c r="M67" i="1525" s="1"/>
  <c r="N67" i="1525" s="1"/>
  <c r="O67" i="1525" s="1"/>
  <c r="K66" i="1525"/>
  <c r="I66" i="1525" s="1"/>
  <c r="M66" i="1525" s="1"/>
  <c r="N66" i="1525" s="1"/>
  <c r="O66" i="1525" s="1"/>
  <c r="K65" i="1525"/>
  <c r="I65" i="1525" s="1"/>
  <c r="M65" i="1525" s="1"/>
  <c r="N65" i="1525" s="1"/>
  <c r="O65" i="1525" s="1"/>
  <c r="K64" i="1525"/>
  <c r="I64" i="1525" s="1"/>
  <c r="M64" i="1525" s="1"/>
  <c r="N64" i="1525" s="1"/>
  <c r="O64" i="1525" s="1"/>
  <c r="K63" i="1525"/>
  <c r="I63" i="1525" s="1"/>
  <c r="M63" i="1525" s="1"/>
  <c r="N63" i="1525" s="1"/>
  <c r="O63" i="1525" s="1"/>
  <c r="K62" i="1525"/>
  <c r="I62" i="1525" s="1"/>
  <c r="M62" i="1525" s="1"/>
  <c r="N62" i="1525" s="1"/>
  <c r="O62" i="1525" s="1"/>
  <c r="K61" i="1525"/>
  <c r="I61" i="1525" s="1"/>
  <c r="M61" i="1525" s="1"/>
  <c r="N61" i="1525" s="1"/>
  <c r="O61" i="1525" s="1"/>
  <c r="K60" i="1525"/>
  <c r="I60" i="1525" s="1"/>
  <c r="M60" i="1525" s="1"/>
  <c r="N60" i="1525" s="1"/>
  <c r="O60" i="1525" s="1"/>
  <c r="K59" i="1525"/>
  <c r="I59" i="1525" s="1"/>
  <c r="M59" i="1525" s="1"/>
  <c r="N59" i="1525" s="1"/>
  <c r="O59" i="1525" s="1"/>
  <c r="K58" i="1525"/>
  <c r="I58" i="1525" s="1"/>
  <c r="M58" i="1525" s="1"/>
  <c r="N58" i="1525" s="1"/>
  <c r="O58" i="1525" s="1"/>
  <c r="K57" i="1525"/>
  <c r="I57" i="1525" s="1"/>
  <c r="M57" i="1525" s="1"/>
  <c r="N57" i="1525" s="1"/>
  <c r="O57" i="1525" s="1"/>
  <c r="K56" i="1525"/>
  <c r="I56" i="1525" s="1"/>
  <c r="M56" i="1525" s="1"/>
  <c r="N56" i="1525" s="1"/>
  <c r="O56" i="1525" s="1"/>
  <c r="K55" i="1525"/>
  <c r="I55" i="1525" s="1"/>
  <c r="M55" i="1525" s="1"/>
  <c r="N55" i="1525" s="1"/>
  <c r="O55" i="1525" s="1"/>
  <c r="K54" i="1525"/>
  <c r="I54" i="1525" s="1"/>
  <c r="M54" i="1525" s="1"/>
  <c r="N54" i="1525" s="1"/>
  <c r="O54" i="1525" s="1"/>
  <c r="K53" i="1525"/>
  <c r="I53" i="1525" s="1"/>
  <c r="M53" i="1525" s="1"/>
  <c r="N53" i="1525" s="1"/>
  <c r="O53" i="1525" s="1"/>
  <c r="K52" i="1525"/>
  <c r="I52" i="1525" s="1"/>
  <c r="M52" i="1525" s="1"/>
  <c r="N52" i="1525" s="1"/>
  <c r="O52" i="1525" s="1"/>
  <c r="K51" i="1525"/>
  <c r="I51" i="1525" s="1"/>
  <c r="M51" i="1525" s="1"/>
  <c r="N51" i="1525" s="1"/>
  <c r="O51" i="1525" s="1"/>
  <c r="K50" i="1525"/>
  <c r="I50" i="1525" s="1"/>
  <c r="M50" i="1525" s="1"/>
  <c r="N50" i="1525" s="1"/>
  <c r="O50" i="1525" s="1"/>
  <c r="K49" i="1525"/>
  <c r="I49" i="1525" s="1"/>
  <c r="M49" i="1525" s="1"/>
  <c r="N49" i="1525" s="1"/>
  <c r="O49" i="1525" s="1"/>
  <c r="K48" i="1525"/>
  <c r="I48" i="1525" s="1"/>
  <c r="M48" i="1525" s="1"/>
  <c r="N48" i="1525" s="1"/>
  <c r="O48" i="1525" s="1"/>
  <c r="K47" i="1525"/>
  <c r="I47" i="1525" s="1"/>
  <c r="M47" i="1525" s="1"/>
  <c r="N47" i="1525" s="1"/>
  <c r="O47" i="1525" s="1"/>
  <c r="K46" i="1525"/>
  <c r="I46" i="1525" s="1"/>
  <c r="M46" i="1525" s="1"/>
  <c r="N46" i="1525" s="1"/>
  <c r="O46" i="1525" s="1"/>
  <c r="K45" i="1525"/>
  <c r="I45" i="1525" s="1"/>
  <c r="M45" i="1525" s="1"/>
  <c r="N45" i="1525" s="1"/>
  <c r="O45" i="1525" s="1"/>
  <c r="K44" i="1525"/>
  <c r="I44" i="1525" s="1"/>
  <c r="M44" i="1525" s="1"/>
  <c r="N44" i="1525" s="1"/>
  <c r="O44" i="1525" s="1"/>
  <c r="K43" i="1525"/>
  <c r="I43" i="1525" s="1"/>
  <c r="M43" i="1525" s="1"/>
  <c r="N43" i="1525" s="1"/>
  <c r="O43" i="1525" s="1"/>
  <c r="K42" i="1525"/>
  <c r="I42" i="1525" s="1"/>
  <c r="M42" i="1525" s="1"/>
  <c r="N42" i="1525" s="1"/>
  <c r="O42" i="1525" s="1"/>
  <c r="K41" i="1525"/>
  <c r="I41" i="1525" s="1"/>
  <c r="M41" i="1525" s="1"/>
  <c r="N41" i="1525" s="1"/>
  <c r="O41" i="1525" s="1"/>
  <c r="K40" i="1525"/>
  <c r="I40" i="1525" s="1"/>
  <c r="M40" i="1525" s="1"/>
  <c r="N40" i="1525" s="1"/>
  <c r="O40" i="1525" s="1"/>
  <c r="K39" i="1525"/>
  <c r="I39" i="1525" s="1"/>
  <c r="M39" i="1525" s="1"/>
  <c r="N39" i="1525" s="1"/>
  <c r="O39" i="1525" s="1"/>
  <c r="K38" i="1525"/>
  <c r="I38" i="1525" s="1"/>
  <c r="M38" i="1525" s="1"/>
  <c r="N38" i="1525" s="1"/>
  <c r="O38" i="1525" s="1"/>
  <c r="K37" i="1525"/>
  <c r="I37" i="1525" s="1"/>
  <c r="M37" i="1525" s="1"/>
  <c r="N37" i="1525" s="1"/>
  <c r="O37" i="1525" s="1"/>
  <c r="K36" i="1525"/>
  <c r="I36" i="1525" s="1"/>
  <c r="M36" i="1525" s="1"/>
  <c r="N36" i="1525" s="1"/>
  <c r="O36" i="1525" s="1"/>
  <c r="K35" i="1525"/>
  <c r="I35" i="1525" s="1"/>
  <c r="M35" i="1525" s="1"/>
  <c r="N35" i="1525" s="1"/>
  <c r="O35" i="1525" s="1"/>
  <c r="K34" i="1525"/>
  <c r="I34" i="1525" s="1"/>
  <c r="M34" i="1525" s="1"/>
  <c r="N34" i="1525" s="1"/>
  <c r="O34" i="1525" s="1"/>
  <c r="K33" i="1525"/>
  <c r="I33" i="1525" s="1"/>
  <c r="M33" i="1525" s="1"/>
  <c r="N33" i="1525" s="1"/>
  <c r="O33" i="1525" s="1"/>
  <c r="K32" i="1525"/>
  <c r="I32" i="1525" s="1"/>
  <c r="M32" i="1525" s="1"/>
  <c r="N32" i="1525" s="1"/>
  <c r="O32" i="1525" s="1"/>
  <c r="K31" i="1525"/>
  <c r="I31" i="1525" s="1"/>
  <c r="M31" i="1525" s="1"/>
  <c r="N31" i="1525" s="1"/>
  <c r="O31" i="1525" s="1"/>
  <c r="K30" i="1525"/>
  <c r="I30" i="1525" s="1"/>
  <c r="M30" i="1525" s="1"/>
  <c r="N30" i="1525" s="1"/>
  <c r="O30" i="1525" s="1"/>
  <c r="K29" i="1525"/>
  <c r="I29" i="1525" s="1"/>
  <c r="M29" i="1525" s="1"/>
  <c r="N29" i="1525" s="1"/>
  <c r="O29" i="1525" s="1"/>
  <c r="K28" i="1525"/>
  <c r="I28" i="1525" s="1"/>
  <c r="M28" i="1525" s="1"/>
  <c r="N28" i="1525" s="1"/>
  <c r="O28" i="1525" s="1"/>
  <c r="K27" i="1525"/>
  <c r="I27" i="1525" s="1"/>
  <c r="M27" i="1525" s="1"/>
  <c r="N27" i="1525" s="1"/>
  <c r="O27" i="1525" s="1"/>
  <c r="K26" i="1525"/>
  <c r="I26" i="1525" s="1"/>
  <c r="M26" i="1525" s="1"/>
  <c r="N26" i="1525" s="1"/>
  <c r="O26" i="1525" s="1"/>
  <c r="K25" i="1525"/>
  <c r="I25" i="1525" s="1"/>
  <c r="M25" i="1525" s="1"/>
  <c r="N25" i="1525" s="1"/>
  <c r="O25" i="1525" s="1"/>
  <c r="K24" i="1525"/>
  <c r="I24" i="1525" s="1"/>
  <c r="M24" i="1525" s="1"/>
  <c r="N24" i="1525" s="1"/>
  <c r="O24" i="1525" s="1"/>
  <c r="K23" i="1525"/>
  <c r="I23" i="1525" s="1"/>
  <c r="M23" i="1525" s="1"/>
  <c r="N23" i="1525" s="1"/>
  <c r="O23" i="1525" s="1"/>
  <c r="K22" i="1525"/>
  <c r="I22" i="1525" s="1"/>
  <c r="M22" i="1525" s="1"/>
  <c r="N22" i="1525" s="1"/>
  <c r="O22" i="1525" s="1"/>
  <c r="K21" i="1525"/>
  <c r="I21" i="1525" s="1"/>
  <c r="M21" i="1525" s="1"/>
  <c r="N21" i="1525" s="1"/>
  <c r="O21" i="1525" s="1"/>
  <c r="K20" i="1525"/>
  <c r="I20" i="1525" s="1"/>
  <c r="M20" i="1525" s="1"/>
  <c r="N20" i="1525" s="1"/>
  <c r="O20" i="1525" s="1"/>
  <c r="K19" i="1525"/>
  <c r="I19" i="1525" s="1"/>
  <c r="M19" i="1525" s="1"/>
  <c r="N19" i="1525" s="1"/>
  <c r="O19" i="1525" s="1"/>
  <c r="K18" i="1525"/>
  <c r="I18" i="1525" s="1"/>
  <c r="M18" i="1525" s="1"/>
  <c r="N18" i="1525" s="1"/>
  <c r="O18" i="1525" s="1"/>
  <c r="K17" i="1525"/>
  <c r="I17" i="1525" s="1"/>
  <c r="M17" i="1525" s="1"/>
  <c r="N17" i="1525" s="1"/>
  <c r="O17" i="1525" s="1"/>
  <c r="K16" i="1525"/>
  <c r="I16" i="1525" s="1"/>
  <c r="M16" i="1525" s="1"/>
  <c r="N16" i="1525" s="1"/>
  <c r="O16" i="1525" s="1"/>
  <c r="K15" i="1525"/>
  <c r="I15" i="1525" s="1"/>
  <c r="M15" i="1525" s="1"/>
  <c r="N15" i="1525" s="1"/>
  <c r="O15" i="1525" s="1"/>
  <c r="K14" i="1525"/>
  <c r="I14" i="1525" s="1"/>
  <c r="M14" i="1525" s="1"/>
  <c r="N14" i="1525" s="1"/>
  <c r="O14" i="1525" s="1"/>
  <c r="K13" i="1525"/>
  <c r="I13" i="1525" s="1"/>
  <c r="M13" i="1525" s="1"/>
  <c r="N13" i="1525" s="1"/>
  <c r="O13" i="1525" s="1"/>
  <c r="K12" i="1525"/>
  <c r="I12" i="1525" s="1"/>
  <c r="M12" i="1525" s="1"/>
  <c r="N12" i="1525" s="1"/>
  <c r="O12" i="1525" s="1"/>
  <c r="K11" i="1525"/>
  <c r="I11" i="1525" s="1"/>
  <c r="M11" i="1525" s="1"/>
  <c r="N11" i="1525" s="1"/>
  <c r="O11" i="1525" s="1"/>
  <c r="K10" i="1525"/>
  <c r="I10" i="1525" s="1"/>
  <c r="M10" i="1525" s="1"/>
  <c r="N10" i="1525" s="1"/>
  <c r="O10" i="1525" s="1"/>
  <c r="K9" i="1525"/>
  <c r="I9" i="1525" s="1"/>
  <c r="M9" i="1525" s="1"/>
  <c r="N9" i="1525" s="1"/>
  <c r="O9" i="1525" s="1"/>
  <c r="K8" i="1525"/>
  <c r="I8" i="1525" s="1"/>
  <c r="M8" i="1525" s="1"/>
  <c r="N8" i="1525" s="1"/>
  <c r="O8" i="1525" s="1"/>
  <c r="K7" i="1525"/>
  <c r="I7" i="1525" s="1"/>
  <c r="M7" i="1525" s="1"/>
  <c r="N7" i="1525" s="1"/>
  <c r="O7" i="1525" s="1"/>
  <c r="K6" i="1525"/>
  <c r="I6" i="1525" s="1"/>
  <c r="M6" i="1525" s="1"/>
  <c r="N6" i="1525" s="1"/>
  <c r="O6" i="1525" s="1"/>
  <c r="K5" i="1525"/>
  <c r="I5" i="1525" s="1"/>
  <c r="M5" i="1525" s="1"/>
  <c r="N5" i="1525" s="1"/>
  <c r="O5" i="1525" s="1"/>
  <c r="K4" i="1525"/>
  <c r="I4" i="1525" s="1"/>
  <c r="M4" i="1525" s="1"/>
  <c r="N4" i="1525" s="1"/>
  <c r="O4" i="1525" s="1"/>
  <c r="K3" i="1525"/>
  <c r="I3" i="1525" s="1"/>
  <c r="M3" i="1525" s="1"/>
  <c r="N3" i="1525" s="1"/>
  <c r="O3" i="1525" s="1"/>
  <c r="J2120" i="1525"/>
  <c r="J2119" i="1525"/>
  <c r="J2118" i="1525"/>
  <c r="J2117" i="1525"/>
  <c r="J2116" i="1525"/>
  <c r="J2115" i="1525"/>
  <c r="J2114" i="1525"/>
  <c r="J2113" i="1525"/>
  <c r="J2112" i="1525"/>
  <c r="J2111" i="1525"/>
  <c r="J2110" i="1525"/>
  <c r="J2109" i="1525"/>
  <c r="J2108" i="1525"/>
  <c r="J2107" i="1525"/>
  <c r="J2106" i="1525"/>
  <c r="J2105" i="1525"/>
  <c r="J2104" i="1525"/>
  <c r="J2103" i="1525"/>
  <c r="J2102" i="1525"/>
  <c r="J2101" i="1525"/>
  <c r="J2100" i="1525"/>
  <c r="J2099" i="1525"/>
  <c r="J2098" i="1525"/>
  <c r="J2097" i="1525"/>
  <c r="J2096" i="1525"/>
  <c r="J2095" i="1525"/>
  <c r="J2094" i="1525"/>
  <c r="J2093" i="1525"/>
  <c r="J2092" i="1525"/>
  <c r="J2091" i="1525"/>
  <c r="J2090" i="1525"/>
  <c r="J2089" i="1525"/>
  <c r="J2088" i="1525"/>
  <c r="J2087" i="1525"/>
  <c r="J2086" i="1525"/>
  <c r="J2085" i="1525"/>
  <c r="J2084" i="1525"/>
  <c r="J2083" i="1525"/>
  <c r="J2082" i="1525"/>
  <c r="J2081" i="1525"/>
  <c r="J2080" i="1525"/>
  <c r="J2079" i="1525"/>
  <c r="J2078" i="1525"/>
  <c r="J2077" i="1525"/>
  <c r="J2076" i="1525"/>
  <c r="J2075" i="1525"/>
  <c r="J2074" i="1525"/>
  <c r="J2073" i="1525"/>
  <c r="J2072" i="1525"/>
  <c r="J2071" i="1525"/>
  <c r="J2070" i="1525"/>
  <c r="J2069" i="1525"/>
  <c r="J2068" i="1525"/>
  <c r="J2067" i="1525"/>
  <c r="J2066" i="1525"/>
  <c r="J2065" i="1525"/>
  <c r="J2064" i="1525"/>
  <c r="J2063" i="1525"/>
  <c r="J2062" i="1525"/>
  <c r="J2061" i="1525"/>
  <c r="J2060" i="1525"/>
  <c r="J2059" i="1525"/>
  <c r="J2058" i="1525"/>
  <c r="J2057" i="1525"/>
  <c r="J2056" i="1525"/>
  <c r="J2055" i="1525"/>
  <c r="J2054" i="1525"/>
  <c r="J2053" i="1525"/>
  <c r="J2052" i="1525"/>
  <c r="J2051" i="1525"/>
  <c r="J2050" i="1525"/>
  <c r="J2049" i="1525"/>
  <c r="J2048" i="1525"/>
  <c r="J2047" i="1525"/>
  <c r="J2046" i="1525"/>
  <c r="J2045" i="1525"/>
  <c r="J2044" i="1525"/>
  <c r="J2043" i="1525"/>
  <c r="J2042" i="1525"/>
  <c r="J2041" i="1525"/>
  <c r="J2040" i="1525"/>
  <c r="J2039" i="1525"/>
  <c r="J2038" i="1525"/>
  <c r="J2037" i="1525"/>
  <c r="J2036" i="1525"/>
  <c r="J2035" i="1525"/>
  <c r="J2034" i="1525"/>
  <c r="J2033" i="1525"/>
  <c r="J2032" i="1525"/>
  <c r="J2031" i="1525"/>
  <c r="J2030" i="1525"/>
  <c r="J2029" i="1525"/>
  <c r="J2028" i="1525"/>
  <c r="J2027" i="1525"/>
  <c r="J2026" i="1525"/>
  <c r="J2025" i="1525"/>
  <c r="J2024" i="1525"/>
  <c r="J2023" i="1525"/>
  <c r="J2022" i="1525"/>
  <c r="J2021" i="1525"/>
  <c r="J2020" i="1525"/>
  <c r="J2019" i="1525"/>
  <c r="J2018" i="1525"/>
  <c r="J2017" i="1525"/>
  <c r="J2016" i="1525"/>
  <c r="J2015" i="1525"/>
  <c r="J2014" i="1525"/>
  <c r="J2013" i="1525"/>
  <c r="J2012" i="1525"/>
  <c r="J2011" i="1525"/>
  <c r="J2010" i="1525"/>
  <c r="J2009" i="1525"/>
  <c r="J2008" i="1525"/>
  <c r="J2007" i="1525"/>
  <c r="J2006" i="1525"/>
  <c r="J2005" i="1525"/>
  <c r="J2004" i="1525"/>
  <c r="J2003" i="1525"/>
  <c r="J2002" i="1525"/>
  <c r="J2001" i="1525"/>
  <c r="J2000" i="1525"/>
  <c r="J1999" i="1525"/>
  <c r="J1998" i="1525"/>
  <c r="J1997" i="1525"/>
  <c r="J1996" i="1525"/>
  <c r="J1995" i="1525"/>
  <c r="J1994" i="1525"/>
  <c r="J1993" i="1525"/>
  <c r="J1992" i="1525"/>
  <c r="J1991" i="1525"/>
  <c r="J1990" i="1525"/>
  <c r="J1989" i="1525"/>
  <c r="J1988" i="1525"/>
  <c r="J1987" i="1525"/>
  <c r="J1986" i="1525"/>
  <c r="J1985" i="1525"/>
  <c r="J1984" i="1525"/>
  <c r="J1983" i="1525"/>
  <c r="J1982" i="1525"/>
  <c r="J1981" i="1525"/>
  <c r="J1980" i="1525"/>
  <c r="J1979" i="1525"/>
  <c r="J1978" i="1525"/>
  <c r="J1977" i="1525"/>
  <c r="J1976" i="1525"/>
  <c r="J1975" i="1525"/>
  <c r="J1974" i="1525"/>
  <c r="J1973" i="1525"/>
  <c r="J1972" i="1525"/>
  <c r="J1971" i="1525"/>
  <c r="J1970" i="1525"/>
  <c r="J1969" i="1525"/>
  <c r="J1968" i="1525"/>
  <c r="J1967" i="1525"/>
  <c r="J1966" i="1525"/>
  <c r="J1965" i="1525"/>
  <c r="J1964" i="1525"/>
  <c r="J1963" i="1525"/>
  <c r="J1962" i="1525"/>
  <c r="J1961" i="1525"/>
  <c r="J1960" i="1525"/>
  <c r="J1959" i="1525"/>
  <c r="J1958" i="1525"/>
  <c r="J1957" i="1525"/>
  <c r="J1956" i="1525"/>
  <c r="J1955" i="1525"/>
  <c r="J1954" i="1525"/>
  <c r="J1953" i="1525"/>
  <c r="J1952" i="1525"/>
  <c r="J1951" i="1525"/>
  <c r="J1950" i="1525"/>
  <c r="J1949" i="1525"/>
  <c r="J1948" i="1525"/>
  <c r="J1947" i="1525"/>
  <c r="J1946" i="1525"/>
  <c r="J1945" i="1525"/>
  <c r="J1944" i="1525"/>
  <c r="J1943" i="1525"/>
  <c r="J1942" i="1525"/>
  <c r="J1941" i="1525"/>
  <c r="J1940" i="1525"/>
  <c r="J1939" i="1525"/>
  <c r="J1938" i="1525"/>
  <c r="J1937" i="1525"/>
  <c r="J1936" i="1525"/>
  <c r="J1935" i="1525"/>
  <c r="J1934" i="1525"/>
  <c r="J1933" i="1525"/>
  <c r="J1932" i="1525"/>
  <c r="J1931" i="1525"/>
  <c r="J1930" i="1525"/>
  <c r="J1929" i="1525"/>
  <c r="J1928" i="1525"/>
  <c r="J1927" i="1525"/>
  <c r="J1926" i="1525"/>
  <c r="J1925" i="1525"/>
  <c r="J1924" i="1525"/>
  <c r="J1923" i="1525"/>
  <c r="J1922" i="1525"/>
  <c r="J1921" i="1525"/>
  <c r="J1920" i="1525"/>
  <c r="J1919" i="1525"/>
  <c r="J1918" i="1525"/>
  <c r="J1917" i="1525"/>
  <c r="J1916" i="1525"/>
  <c r="J1915" i="1525"/>
  <c r="J1914" i="1525"/>
  <c r="J1913" i="1525"/>
  <c r="J1912" i="1525"/>
  <c r="J1911" i="1525"/>
  <c r="J1910" i="1525"/>
  <c r="J1909" i="1525"/>
  <c r="J1908" i="1525"/>
  <c r="J1907" i="1525"/>
  <c r="J1906" i="1525"/>
  <c r="J1905" i="1525"/>
  <c r="J1904" i="1525"/>
  <c r="J1903" i="1525"/>
  <c r="J1902" i="1525"/>
  <c r="J1901" i="1525"/>
  <c r="J1900" i="1525"/>
  <c r="J1899" i="1525"/>
  <c r="J1898" i="1525"/>
  <c r="J1897" i="1525"/>
  <c r="J1896" i="1525"/>
  <c r="J1895" i="1525"/>
  <c r="J1894" i="1525"/>
  <c r="J1893" i="1525"/>
  <c r="J1892" i="1525"/>
  <c r="J1891" i="1525"/>
  <c r="J1890" i="1525"/>
  <c r="J1889" i="1525"/>
  <c r="J1888" i="1525"/>
  <c r="J1887" i="1525"/>
  <c r="J1886" i="1525"/>
  <c r="J1885" i="1525"/>
  <c r="J1884" i="1525"/>
  <c r="J1883" i="1525"/>
  <c r="J1882" i="1525"/>
  <c r="J1881" i="1525"/>
  <c r="J1880" i="1525"/>
  <c r="J1879" i="1525"/>
  <c r="J1878" i="1525"/>
  <c r="J1877" i="1525"/>
  <c r="J1876" i="1525"/>
  <c r="J1875" i="1525"/>
  <c r="J1874" i="1525"/>
  <c r="J1873" i="1525"/>
  <c r="J1872" i="1525"/>
  <c r="J1871" i="1525"/>
  <c r="J1870" i="1525"/>
  <c r="J1869" i="1525"/>
  <c r="J1868" i="1525"/>
  <c r="J1867" i="1525"/>
  <c r="J1866" i="1525"/>
  <c r="J1865" i="1525"/>
  <c r="J1864" i="1525"/>
  <c r="J1863" i="1525"/>
  <c r="J1862" i="1525"/>
  <c r="J1861" i="1525"/>
  <c r="J1860" i="1525"/>
  <c r="J1859" i="1525"/>
  <c r="J1858" i="1525"/>
  <c r="J1857" i="1525"/>
  <c r="J1856" i="1525"/>
  <c r="J1855" i="1525"/>
  <c r="J1854" i="1525"/>
  <c r="J1853" i="1525"/>
  <c r="J1852" i="1525"/>
  <c r="J1851" i="1525"/>
  <c r="J1850" i="1525"/>
  <c r="J1849" i="1525"/>
  <c r="J1848" i="1525"/>
  <c r="J1847" i="1525"/>
  <c r="J1846" i="1525"/>
  <c r="J1845" i="1525"/>
  <c r="J1844" i="1525"/>
  <c r="J1843" i="1525"/>
  <c r="J1842" i="1525"/>
  <c r="J1841" i="1525"/>
  <c r="J1840" i="1525"/>
  <c r="J1839" i="1525"/>
  <c r="J1838" i="1525"/>
  <c r="J1837" i="1525"/>
  <c r="J1836" i="1525"/>
  <c r="J1835" i="1525"/>
  <c r="J1834" i="1525"/>
  <c r="J1833" i="1525"/>
  <c r="J1832" i="1525"/>
  <c r="J1831" i="1525"/>
  <c r="J1830" i="1525"/>
  <c r="J1829" i="1525"/>
  <c r="J1828" i="1525"/>
  <c r="J1827" i="1525"/>
  <c r="J1826" i="1525"/>
  <c r="J1825" i="1525"/>
  <c r="J1824" i="1525"/>
  <c r="J1823" i="1525"/>
  <c r="J1822" i="1525"/>
  <c r="J1821" i="1525"/>
  <c r="J1820" i="1525"/>
  <c r="J1819" i="1525"/>
  <c r="J1818" i="1525"/>
  <c r="J1817" i="1525"/>
  <c r="J1816" i="1525"/>
  <c r="J1815" i="1525"/>
  <c r="J1814" i="1525"/>
  <c r="J1813" i="1525"/>
  <c r="J1812" i="1525"/>
  <c r="J1811" i="1525"/>
  <c r="J1810" i="1525"/>
  <c r="J1809" i="1525"/>
  <c r="J1808" i="1525"/>
  <c r="J1807" i="1525"/>
  <c r="J1806" i="1525"/>
  <c r="J1805" i="1525"/>
  <c r="J1804" i="1525"/>
  <c r="J1803" i="1525"/>
  <c r="J1802" i="1525"/>
  <c r="J1801" i="1525"/>
  <c r="J1800" i="1525"/>
  <c r="J1799" i="1525"/>
  <c r="J1798" i="1525"/>
  <c r="J1797" i="1525"/>
  <c r="J1796" i="1525"/>
  <c r="J1795" i="1525"/>
  <c r="J1794" i="1525"/>
  <c r="J1793" i="1525"/>
  <c r="J1792" i="1525"/>
  <c r="J1791" i="1525"/>
  <c r="J1790" i="1525"/>
  <c r="J1789" i="1525"/>
  <c r="J1788" i="1525"/>
  <c r="J1787" i="1525"/>
  <c r="J1786" i="1525"/>
  <c r="J1785" i="1525"/>
  <c r="J1784" i="1525"/>
  <c r="J1783" i="1525"/>
  <c r="J1782" i="1525"/>
  <c r="J1781" i="1525"/>
  <c r="J1780" i="1525"/>
  <c r="J1779" i="1525"/>
  <c r="J1778" i="1525"/>
  <c r="J1777" i="1525"/>
  <c r="J1776" i="1525"/>
  <c r="J1775" i="1525"/>
  <c r="J1774" i="1525"/>
  <c r="J1773" i="1525"/>
  <c r="J1772" i="1525"/>
  <c r="J1771" i="1525"/>
  <c r="J1770" i="1525"/>
  <c r="J1769" i="1525"/>
  <c r="J1768" i="1525"/>
  <c r="J1767" i="1525"/>
  <c r="J1766" i="1525"/>
  <c r="J1765" i="1525"/>
  <c r="J1764" i="1525"/>
  <c r="J1763" i="1525"/>
  <c r="J1762" i="1525"/>
  <c r="J1761" i="1525"/>
  <c r="J1760" i="1525"/>
  <c r="J1759" i="1525"/>
  <c r="J1758" i="1525"/>
  <c r="J1757" i="1525"/>
  <c r="J1756" i="1525"/>
  <c r="J1755" i="1525"/>
  <c r="J1754" i="1525"/>
  <c r="J1753" i="1525"/>
  <c r="J1752" i="1525"/>
  <c r="J1751" i="1525"/>
  <c r="J1750" i="1525"/>
  <c r="J1749" i="1525"/>
  <c r="J1748" i="1525"/>
  <c r="J1747" i="1525"/>
  <c r="J1746" i="1525"/>
  <c r="J1745" i="1525"/>
  <c r="J1744" i="1525"/>
  <c r="J1743" i="1525"/>
  <c r="J1742" i="1525"/>
  <c r="J1741" i="1525"/>
  <c r="J1740" i="1525"/>
  <c r="J1739" i="1525"/>
  <c r="J1738" i="1525"/>
  <c r="J1737" i="1525"/>
  <c r="J1736" i="1525"/>
  <c r="J1735" i="1525"/>
  <c r="J1734" i="1525"/>
  <c r="J1733" i="1525"/>
  <c r="J1732" i="1525"/>
  <c r="J1731" i="1525"/>
  <c r="J1730" i="1525"/>
  <c r="J1729" i="1525"/>
  <c r="J1728" i="1525"/>
  <c r="J1727" i="1525"/>
  <c r="J1726" i="1525"/>
  <c r="J1725" i="1525"/>
  <c r="J1724" i="1525"/>
  <c r="J1723" i="1525"/>
  <c r="J1722" i="1525"/>
  <c r="J1721" i="1525"/>
  <c r="J1720" i="1525"/>
  <c r="J1719" i="1525"/>
  <c r="J1718" i="1525"/>
  <c r="J1717" i="1525"/>
  <c r="J1716" i="1525"/>
  <c r="J1715" i="1525"/>
  <c r="J1714" i="1525"/>
  <c r="J1713" i="1525"/>
  <c r="J1712" i="1525"/>
  <c r="J1711" i="1525"/>
  <c r="J1710" i="1525"/>
  <c r="J1709" i="1525"/>
  <c r="J1708" i="1525"/>
  <c r="J1707" i="1525"/>
  <c r="J1706" i="1525"/>
  <c r="J1705" i="1525"/>
  <c r="J1704" i="1525"/>
  <c r="J1703" i="1525"/>
  <c r="J1702" i="1525"/>
  <c r="J1701" i="1525"/>
  <c r="J1700" i="1525"/>
  <c r="J1699" i="1525"/>
  <c r="J1698" i="1525"/>
  <c r="J1697" i="1525"/>
  <c r="J1696" i="1525"/>
  <c r="J1695" i="1525"/>
  <c r="J1694" i="1525"/>
  <c r="J1693" i="1525"/>
  <c r="J1692" i="1525"/>
  <c r="J1691" i="1525"/>
  <c r="J1690" i="1525"/>
  <c r="J1689" i="1525"/>
  <c r="J1688" i="1525"/>
  <c r="J1687" i="1525"/>
  <c r="J1686" i="1525"/>
  <c r="J1685" i="1525"/>
  <c r="J1684" i="1525"/>
  <c r="J1683" i="1525"/>
  <c r="J1682" i="1525"/>
  <c r="J1681" i="1525"/>
  <c r="J1680" i="1525"/>
  <c r="J1679" i="1525"/>
  <c r="J1678" i="1525"/>
  <c r="J1677" i="1525"/>
  <c r="J1676" i="1525"/>
  <c r="J1675" i="1525"/>
  <c r="J1674" i="1525"/>
  <c r="J1673" i="1525"/>
  <c r="J1672" i="1525"/>
  <c r="J1671" i="1525"/>
  <c r="J1670" i="1525"/>
  <c r="J1669" i="1525"/>
  <c r="J1668" i="1525"/>
  <c r="J1667" i="1525"/>
  <c r="J1666" i="1525"/>
  <c r="J1665" i="1525"/>
  <c r="J1664" i="1525"/>
  <c r="J1663" i="1525"/>
  <c r="J1662" i="1525"/>
  <c r="J1661" i="1525"/>
  <c r="J1660" i="1525"/>
  <c r="J1659" i="1525"/>
  <c r="J1658" i="1525"/>
  <c r="J1657" i="1525"/>
  <c r="J1656" i="1525"/>
  <c r="J1655" i="1525"/>
  <c r="J1654" i="1525"/>
  <c r="J1653" i="1525"/>
  <c r="J1652" i="1525"/>
  <c r="J1651" i="1525"/>
  <c r="J1650" i="1525"/>
  <c r="J1649" i="1525"/>
  <c r="J1648" i="1525"/>
  <c r="J1647" i="1525"/>
  <c r="J1646" i="1525"/>
  <c r="J1645" i="1525"/>
  <c r="J1644" i="1525"/>
  <c r="J1643" i="1525"/>
  <c r="J1642" i="1525"/>
  <c r="J1641" i="1525"/>
  <c r="J1640" i="1525"/>
  <c r="J1639" i="1525"/>
  <c r="J1638" i="1525"/>
  <c r="J1637" i="1525"/>
  <c r="J1636" i="1525"/>
  <c r="J1635" i="1525"/>
  <c r="J1634" i="1525"/>
  <c r="J1633" i="1525"/>
  <c r="J1632" i="1525"/>
  <c r="J1631" i="1525"/>
  <c r="J1630" i="1525"/>
  <c r="J1629" i="1525"/>
  <c r="J1628" i="1525"/>
  <c r="J1627" i="1525"/>
  <c r="J1626" i="1525"/>
  <c r="J1625" i="1525"/>
  <c r="J1624" i="1525"/>
  <c r="J1623" i="1525"/>
  <c r="J1622" i="1525"/>
  <c r="J1621" i="1525"/>
  <c r="J1620" i="1525"/>
  <c r="J1619" i="1525"/>
  <c r="J1618" i="1525"/>
  <c r="J1617" i="1525"/>
  <c r="J1616" i="1525"/>
  <c r="J1615" i="1525"/>
  <c r="J1614" i="1525"/>
  <c r="J1613" i="1525"/>
  <c r="J1612" i="1525"/>
  <c r="J1611" i="1525"/>
  <c r="J1610" i="1525"/>
  <c r="J1609" i="1525"/>
  <c r="J1608" i="1525"/>
  <c r="J1607" i="1525"/>
  <c r="J1606" i="1525"/>
  <c r="J1605" i="1525"/>
  <c r="J1604" i="1525"/>
  <c r="J1603" i="1525"/>
  <c r="J1602" i="1525"/>
  <c r="J1601" i="1525"/>
  <c r="J1600" i="1525"/>
  <c r="J1599" i="1525"/>
  <c r="J1598" i="1525"/>
  <c r="J1597" i="1525"/>
  <c r="J1596" i="1525"/>
  <c r="J1595" i="1525"/>
  <c r="J1594" i="1525"/>
  <c r="J1593" i="1525"/>
  <c r="J1592" i="1525"/>
  <c r="J1591" i="1525"/>
  <c r="J1590" i="1525"/>
  <c r="J1589" i="1525"/>
  <c r="J1588" i="1525"/>
  <c r="J1587" i="1525"/>
  <c r="J1586" i="1525"/>
  <c r="J1585" i="1525"/>
  <c r="J1584" i="1525"/>
  <c r="J1583" i="1525"/>
  <c r="J1582" i="1525"/>
  <c r="J1581" i="1525"/>
  <c r="J1580" i="1525"/>
  <c r="J1579" i="1525"/>
  <c r="J1578" i="1525"/>
  <c r="J1577" i="1525"/>
  <c r="J1576" i="1525"/>
  <c r="J1575" i="1525"/>
  <c r="J1574" i="1525"/>
  <c r="J1573" i="1525"/>
  <c r="J1572" i="1525"/>
  <c r="J1571" i="1525"/>
  <c r="J1570" i="1525"/>
  <c r="J1569" i="1525"/>
  <c r="J1568" i="1525"/>
  <c r="J1567" i="1525"/>
  <c r="J1566" i="1525"/>
  <c r="J1565" i="1525"/>
  <c r="J1564" i="1525"/>
  <c r="J1563" i="1525"/>
  <c r="J1562" i="1525"/>
  <c r="J1561" i="1525"/>
  <c r="J1560" i="1525"/>
  <c r="J1559" i="1525"/>
  <c r="J1558" i="1525"/>
  <c r="J1557" i="1525"/>
  <c r="J1556" i="1525"/>
  <c r="J1555" i="1525"/>
  <c r="J1554" i="1525"/>
  <c r="J1553" i="1525"/>
  <c r="J1552" i="1525"/>
  <c r="J1551" i="1525"/>
  <c r="J1550" i="1525"/>
  <c r="J1549" i="1525"/>
  <c r="J1548" i="1525"/>
  <c r="J1547" i="1525"/>
  <c r="J1546" i="1525"/>
  <c r="J1545" i="1525"/>
  <c r="J1544" i="1525"/>
  <c r="J1543" i="1525"/>
  <c r="J1542" i="1525"/>
  <c r="J1541" i="1525"/>
  <c r="J1540" i="1525"/>
  <c r="J1539" i="1525"/>
  <c r="J1538" i="1525"/>
  <c r="J1537" i="1525"/>
  <c r="J1536" i="1525"/>
  <c r="J1535" i="1525"/>
  <c r="J1534" i="1525"/>
  <c r="J1533" i="1525"/>
  <c r="J1532" i="1525"/>
  <c r="J1531" i="1525"/>
  <c r="J1530" i="1525"/>
  <c r="J1529" i="1525"/>
  <c r="J1528" i="1525"/>
  <c r="J1527" i="1525"/>
  <c r="J1526" i="1525"/>
  <c r="J1525" i="1525"/>
  <c r="J1524" i="1525"/>
  <c r="J1523" i="1525"/>
  <c r="J1522" i="1525"/>
  <c r="J1521" i="1525"/>
  <c r="J1520" i="1525"/>
  <c r="J1519" i="1525"/>
  <c r="J1518" i="1525"/>
  <c r="J1517" i="1525"/>
  <c r="J1516" i="1525"/>
  <c r="J1515" i="1525"/>
  <c r="J1514" i="1525"/>
  <c r="J1513" i="1525"/>
  <c r="J1512" i="1525"/>
  <c r="J1511" i="1525"/>
  <c r="J1510" i="1525"/>
  <c r="J1509" i="1525"/>
  <c r="J1508" i="1525"/>
  <c r="J1507" i="1525"/>
  <c r="J1506" i="1525"/>
  <c r="J1505" i="1525"/>
  <c r="J1504" i="1525"/>
  <c r="J1503" i="1525"/>
  <c r="J1502" i="1525"/>
  <c r="J1501" i="1525"/>
  <c r="J1500" i="1525"/>
  <c r="J1499" i="1525"/>
  <c r="J1498" i="1525"/>
  <c r="J1497" i="1525"/>
  <c r="J1496" i="1525"/>
  <c r="J1495" i="1525"/>
  <c r="J1494" i="1525"/>
  <c r="J1493" i="1525"/>
  <c r="J1492" i="1525"/>
  <c r="J1491" i="1525"/>
  <c r="J1490" i="1525"/>
  <c r="J1489" i="1525"/>
  <c r="J1488" i="1525"/>
  <c r="J1487" i="1525"/>
  <c r="J1486" i="1525"/>
  <c r="J1485" i="1525"/>
  <c r="J1484" i="1525"/>
  <c r="J1483" i="1525"/>
  <c r="J1482" i="1525"/>
  <c r="J1481" i="1525"/>
  <c r="J1480" i="1525"/>
  <c r="J1479" i="1525"/>
  <c r="J1478" i="1525"/>
  <c r="J1477" i="1525"/>
  <c r="J1476" i="1525"/>
  <c r="J1475" i="1525"/>
  <c r="J1474" i="1525"/>
  <c r="J1473" i="1525"/>
  <c r="J1472" i="1525"/>
  <c r="J1471" i="1525"/>
  <c r="J1470" i="1525"/>
  <c r="J1469" i="1525"/>
  <c r="J1468" i="1525"/>
  <c r="J1467" i="1525"/>
  <c r="J1466" i="1525"/>
  <c r="J1465" i="1525"/>
  <c r="J1464" i="1525"/>
  <c r="J1463" i="1525"/>
  <c r="J1462" i="1525"/>
  <c r="J1461" i="1525"/>
  <c r="J1460" i="1525"/>
  <c r="J1459" i="1525"/>
  <c r="J1458" i="1525"/>
  <c r="J1457" i="1525"/>
  <c r="J1456" i="1525"/>
  <c r="J1455" i="1525"/>
  <c r="J1454" i="1525"/>
  <c r="J1453" i="1525"/>
  <c r="J1452" i="1525"/>
  <c r="J1451" i="1525"/>
  <c r="J1450" i="1525"/>
  <c r="J1449" i="1525"/>
  <c r="J1448" i="1525"/>
  <c r="J1447" i="1525"/>
  <c r="J1446" i="1525"/>
  <c r="J1445" i="1525"/>
  <c r="J1444" i="1525"/>
  <c r="J1443" i="1525"/>
  <c r="J1442" i="1525"/>
  <c r="J1441" i="1525"/>
  <c r="J1440" i="1525"/>
  <c r="J1439" i="1525"/>
  <c r="J1438" i="1525"/>
  <c r="J1437" i="1525"/>
  <c r="J1436" i="1525"/>
  <c r="J1435" i="1525"/>
  <c r="J1434" i="1525"/>
  <c r="J1433" i="1525"/>
  <c r="J1432" i="1525"/>
  <c r="J1431" i="1525"/>
  <c r="J1430" i="1525"/>
  <c r="J1429" i="1525"/>
  <c r="J1428" i="1525"/>
  <c r="J1427" i="1525"/>
  <c r="J1426" i="1525"/>
  <c r="J1425" i="1525"/>
  <c r="J1424" i="1525"/>
  <c r="J1423" i="1525"/>
  <c r="J1422" i="1525"/>
  <c r="J1421" i="1525"/>
  <c r="J1420" i="1525"/>
  <c r="J1419" i="1525"/>
  <c r="J1418" i="1525"/>
  <c r="J1417" i="1525"/>
  <c r="J1416" i="1525"/>
  <c r="J1415" i="1525"/>
  <c r="J1414" i="1525"/>
  <c r="J1413" i="1525"/>
  <c r="J1412" i="1525"/>
  <c r="J1411" i="1525"/>
  <c r="J1410" i="1525"/>
  <c r="J1409" i="1525"/>
  <c r="J1408" i="1525"/>
  <c r="J1407" i="1525"/>
  <c r="J1406" i="1525"/>
  <c r="J1405" i="1525"/>
  <c r="J1404" i="1525"/>
  <c r="J1403" i="1525"/>
  <c r="J1402" i="1525"/>
  <c r="J1401" i="1525"/>
  <c r="J1400" i="1525"/>
  <c r="J1399" i="1525"/>
  <c r="J1398" i="1525"/>
  <c r="J1397" i="1525"/>
  <c r="J1396" i="1525"/>
  <c r="J1395" i="1525"/>
  <c r="J1394" i="1525"/>
  <c r="J1393" i="1525"/>
  <c r="J1392" i="1525"/>
  <c r="J1391" i="1525"/>
  <c r="J1390" i="1525"/>
  <c r="J1389" i="1525"/>
  <c r="J1388" i="1525"/>
  <c r="J1387" i="1525"/>
  <c r="J1386" i="1525"/>
  <c r="J1385" i="1525"/>
  <c r="J1384" i="1525"/>
  <c r="J1383" i="1525"/>
  <c r="J1382" i="1525"/>
  <c r="J1381" i="1525"/>
  <c r="J1380" i="1525"/>
  <c r="J1379" i="1525"/>
  <c r="J1378" i="1525"/>
  <c r="J1377" i="1525"/>
  <c r="J1376" i="1525"/>
  <c r="J1375" i="1525"/>
  <c r="J1374" i="1525"/>
  <c r="J1373" i="1525"/>
  <c r="J1372" i="1525"/>
  <c r="J1371" i="1525"/>
  <c r="J1370" i="1525"/>
  <c r="J1369" i="1525"/>
  <c r="J1368" i="1525"/>
  <c r="J1367" i="1525"/>
  <c r="J1366" i="1525"/>
  <c r="J1365" i="1525"/>
  <c r="J1364" i="1525"/>
  <c r="J1363" i="1525"/>
  <c r="J1362" i="1525"/>
  <c r="J1361" i="1525"/>
  <c r="J1360" i="1525"/>
  <c r="J1359" i="1525"/>
  <c r="J1358" i="1525"/>
  <c r="J1357" i="1525"/>
  <c r="J1356" i="1525"/>
  <c r="J1355" i="1525"/>
  <c r="J1354" i="1525"/>
  <c r="J1353" i="1525"/>
  <c r="J1352" i="1525"/>
  <c r="J1351" i="1525"/>
  <c r="J1350" i="1525"/>
  <c r="J1349" i="1525"/>
  <c r="J1348" i="1525"/>
  <c r="J1347" i="1525"/>
  <c r="J1346" i="1525"/>
  <c r="J1345" i="1525"/>
  <c r="J1344" i="1525"/>
  <c r="J1343" i="1525"/>
  <c r="J1342" i="1525"/>
  <c r="J1341" i="1525"/>
  <c r="J1340" i="1525"/>
  <c r="J1339" i="1525"/>
  <c r="J1338" i="1525"/>
  <c r="J1337" i="1525"/>
  <c r="J1336" i="1525"/>
  <c r="J1335" i="1525"/>
  <c r="J1334" i="1525"/>
  <c r="J1333" i="1525"/>
  <c r="J1332" i="1525"/>
  <c r="J1331" i="1525"/>
  <c r="J1330" i="1525"/>
  <c r="J1329" i="1525"/>
  <c r="J1328" i="1525"/>
  <c r="J1327" i="1525"/>
  <c r="J1326" i="1525"/>
  <c r="J1325" i="1525"/>
  <c r="J1324" i="1525"/>
  <c r="J1323" i="1525"/>
  <c r="J1322" i="1525"/>
  <c r="J1321" i="1525"/>
  <c r="J1320" i="1525"/>
  <c r="J1319" i="1525"/>
  <c r="J1318" i="1525"/>
  <c r="J1317" i="1525"/>
  <c r="J1316" i="1525"/>
  <c r="J1315" i="1525"/>
  <c r="J1314" i="1525"/>
  <c r="J1313" i="1525"/>
  <c r="J1312" i="1525"/>
  <c r="J1311" i="1525"/>
  <c r="J1310" i="1525"/>
  <c r="J1309" i="1525"/>
  <c r="J1308" i="1525"/>
  <c r="J1307" i="1525"/>
  <c r="J1306" i="1525"/>
  <c r="J1305" i="1525"/>
  <c r="J1304" i="1525"/>
  <c r="J1303" i="1525"/>
  <c r="J1302" i="1525"/>
  <c r="J1301" i="1525"/>
  <c r="J1300" i="1525"/>
  <c r="J1299" i="1525"/>
  <c r="J1298" i="1525"/>
  <c r="J1297" i="1525"/>
  <c r="J1296" i="1525"/>
  <c r="J1295" i="1525"/>
  <c r="J1294" i="1525"/>
  <c r="J1293" i="1525"/>
  <c r="J1292" i="1525"/>
  <c r="J1291" i="1525"/>
  <c r="J1290" i="1525"/>
  <c r="J1289" i="1525"/>
  <c r="J1288" i="1525"/>
  <c r="J1287" i="1525"/>
  <c r="J1286" i="1525"/>
  <c r="J1285" i="1525"/>
  <c r="J1284" i="1525"/>
  <c r="J1283" i="1525"/>
  <c r="J1282" i="1525"/>
  <c r="J1281" i="1525"/>
  <c r="J1280" i="1525"/>
  <c r="J1279" i="1525"/>
  <c r="J1278" i="1525"/>
  <c r="J1277" i="1525"/>
  <c r="J1276" i="1525"/>
  <c r="J1275" i="1525"/>
  <c r="J1274" i="1525"/>
  <c r="J1273" i="1525"/>
  <c r="J1272" i="1525"/>
  <c r="J1271" i="1525"/>
  <c r="J1270" i="1525"/>
  <c r="J1269" i="1525"/>
  <c r="J1268" i="1525"/>
  <c r="J1267" i="1525"/>
  <c r="J1266" i="1525"/>
  <c r="J1265" i="1525"/>
  <c r="J1264" i="1525"/>
  <c r="J1263" i="1525"/>
  <c r="J1262" i="1525"/>
  <c r="J1261" i="1525"/>
  <c r="J1260" i="1525"/>
  <c r="J1259" i="1525"/>
  <c r="J1258" i="1525"/>
  <c r="J1257" i="1525"/>
  <c r="J1256" i="1525"/>
  <c r="J1255" i="1525"/>
  <c r="J1254" i="1525"/>
  <c r="J1253" i="1525"/>
  <c r="J1252" i="1525"/>
  <c r="J1251" i="1525"/>
  <c r="J1250" i="1525"/>
  <c r="J1249" i="1525"/>
  <c r="J1248" i="1525"/>
  <c r="J1247" i="1525"/>
  <c r="J1246" i="1525"/>
  <c r="J1245" i="1525"/>
  <c r="J1244" i="1525"/>
  <c r="J1243" i="1525"/>
  <c r="J1242" i="1525"/>
  <c r="J1241" i="1525"/>
  <c r="J1240" i="1525"/>
  <c r="J1239" i="1525"/>
  <c r="J1238" i="1525"/>
  <c r="J1237" i="1525"/>
  <c r="J1236" i="1525"/>
  <c r="J1235" i="1525"/>
  <c r="J1234" i="1525"/>
  <c r="J1233" i="1525"/>
  <c r="J1232" i="1525"/>
  <c r="J1231" i="1525"/>
  <c r="J1230" i="1525"/>
  <c r="J1229" i="1525"/>
  <c r="J1228" i="1525"/>
  <c r="J1227" i="1525"/>
  <c r="J1226" i="1525"/>
  <c r="J1225" i="1525"/>
  <c r="J1224" i="1525"/>
  <c r="J1223" i="1525"/>
  <c r="J1222" i="1525"/>
  <c r="J1221" i="1525"/>
  <c r="J1220" i="1525"/>
  <c r="J1219" i="1525"/>
  <c r="J1218" i="1525"/>
  <c r="J1217" i="1525"/>
  <c r="J1216" i="1525"/>
  <c r="J1215" i="1525"/>
  <c r="J1214" i="1525"/>
  <c r="J1213" i="1525"/>
  <c r="J1212" i="1525"/>
  <c r="J1211" i="1525"/>
  <c r="J1210" i="1525"/>
  <c r="J1209" i="1525"/>
  <c r="J1208" i="1525"/>
  <c r="J1207" i="1525"/>
  <c r="J1206" i="1525"/>
  <c r="J1205" i="1525"/>
  <c r="J1204" i="1525"/>
  <c r="J1203" i="1525"/>
  <c r="J1202" i="1525"/>
  <c r="J1201" i="1525"/>
  <c r="J1200" i="1525"/>
  <c r="J1199" i="1525"/>
  <c r="J1198" i="1525"/>
  <c r="J1197" i="1525"/>
  <c r="J1196" i="1525"/>
  <c r="J1195" i="1525"/>
  <c r="J1194" i="1525"/>
  <c r="J1193" i="1525"/>
  <c r="J1192" i="1525"/>
  <c r="J1191" i="1525"/>
  <c r="J1190" i="1525"/>
  <c r="J1189" i="1525"/>
  <c r="J1188" i="1525"/>
  <c r="J1187" i="1525"/>
  <c r="J1186" i="1525"/>
  <c r="J1185" i="1525"/>
  <c r="J1184" i="1525"/>
  <c r="J1183" i="1525"/>
  <c r="J1182" i="1525"/>
  <c r="J1181" i="1525"/>
  <c r="J1180" i="1525"/>
  <c r="J1179" i="1525"/>
  <c r="J1178" i="1525"/>
  <c r="J1177" i="1525"/>
  <c r="J1176" i="1525"/>
  <c r="J1175" i="1525"/>
  <c r="J1174" i="1525"/>
  <c r="J1173" i="1525"/>
  <c r="J1172" i="1525"/>
  <c r="J1171" i="1525"/>
  <c r="J1170" i="1525"/>
  <c r="J1169" i="1525"/>
  <c r="J1168" i="1525"/>
  <c r="J1167" i="1525"/>
  <c r="J1166" i="1525"/>
  <c r="J1165" i="1525"/>
  <c r="J1164" i="1525"/>
  <c r="J1163" i="1525"/>
  <c r="J1162" i="1525"/>
  <c r="J1161" i="1525"/>
  <c r="J1160" i="1525"/>
  <c r="J1159" i="1525"/>
  <c r="J1158" i="1525"/>
  <c r="J1157" i="1525"/>
  <c r="J1156" i="1525"/>
  <c r="J1155" i="1525"/>
  <c r="J1154" i="1525"/>
  <c r="J1153" i="1525"/>
  <c r="J1152" i="1525"/>
  <c r="J1151" i="1525"/>
  <c r="J1150" i="1525"/>
  <c r="J1149" i="1525"/>
  <c r="J1148" i="1525"/>
  <c r="J1147" i="1525"/>
  <c r="J1146" i="1525"/>
  <c r="J1145" i="1525"/>
  <c r="J1144" i="1525"/>
  <c r="J1143" i="1525"/>
  <c r="J1142" i="1525"/>
  <c r="J1141" i="1525"/>
  <c r="J1140" i="1525"/>
  <c r="J1139" i="1525"/>
  <c r="J1138" i="1525"/>
  <c r="J1137" i="1525"/>
  <c r="J1136" i="1525"/>
  <c r="J1135" i="1525"/>
  <c r="J1134" i="1525"/>
  <c r="J1133" i="1525"/>
  <c r="J1132" i="1525"/>
  <c r="J1131" i="1525"/>
  <c r="J1130" i="1525"/>
  <c r="J1129" i="1525"/>
  <c r="J1128" i="1525"/>
  <c r="J1127" i="1525"/>
  <c r="J1126" i="1525"/>
  <c r="J1125" i="1525"/>
  <c r="J1124" i="1525"/>
  <c r="J1123" i="1525"/>
  <c r="J1122" i="1525"/>
  <c r="J1121" i="1525"/>
  <c r="J1120" i="1525"/>
  <c r="J1119" i="1525"/>
  <c r="J1118" i="1525"/>
  <c r="J1117" i="1525"/>
  <c r="J1116" i="1525"/>
  <c r="J1115" i="1525"/>
  <c r="J1114" i="1525"/>
  <c r="J1113" i="1525"/>
  <c r="J1112" i="1525"/>
  <c r="J1111" i="1525"/>
  <c r="J1110" i="1525"/>
  <c r="J1109" i="1525"/>
  <c r="J1108" i="1525"/>
  <c r="J1107" i="1525"/>
  <c r="J1106" i="1525"/>
  <c r="J1105" i="1525"/>
  <c r="J1104" i="1525"/>
  <c r="J1103" i="1525"/>
  <c r="J1102" i="1525"/>
  <c r="J1101" i="1525"/>
  <c r="J1100" i="1525"/>
  <c r="J1099" i="1525"/>
  <c r="J1098" i="1525"/>
  <c r="J1097" i="1525"/>
  <c r="J1096" i="1525"/>
  <c r="J1095" i="1525"/>
  <c r="J1094" i="1525"/>
  <c r="J1093" i="1525"/>
  <c r="J1092" i="1525"/>
  <c r="J1091" i="1525"/>
  <c r="J1090" i="1525"/>
  <c r="J1089" i="1525"/>
  <c r="J1088" i="1525"/>
  <c r="J1087" i="1525"/>
  <c r="J1086" i="1525"/>
  <c r="J1085" i="1525"/>
  <c r="J1084" i="1525"/>
  <c r="J1083" i="1525"/>
  <c r="J1082" i="1525"/>
  <c r="J1081" i="1525"/>
  <c r="J1080" i="1525"/>
  <c r="J1079" i="1525"/>
  <c r="J1078" i="1525"/>
  <c r="J1077" i="1525"/>
  <c r="J1076" i="1525"/>
  <c r="J1075" i="1525"/>
  <c r="J1074" i="1525"/>
  <c r="J1073" i="1525"/>
  <c r="J1072" i="1525"/>
  <c r="J1071" i="1525"/>
  <c r="J1070" i="1525"/>
  <c r="J1069" i="1525"/>
  <c r="J1068" i="1525"/>
  <c r="J1067" i="1525"/>
  <c r="J1066" i="1525"/>
  <c r="J1065" i="1525"/>
  <c r="J1064" i="1525"/>
  <c r="J1063" i="1525"/>
  <c r="J1062" i="1525"/>
  <c r="J1061" i="1525"/>
  <c r="J1060" i="1525"/>
  <c r="J1059" i="1525"/>
  <c r="J1058" i="1525"/>
  <c r="J1057" i="1525"/>
  <c r="J1056" i="1525"/>
  <c r="J1055" i="1525"/>
  <c r="J1054" i="1525"/>
  <c r="J1053" i="1525"/>
  <c r="J1052" i="1525"/>
  <c r="J1051" i="1525"/>
  <c r="J1050" i="1525"/>
  <c r="J1049" i="1525"/>
  <c r="J1048" i="1525"/>
  <c r="J1047" i="1525"/>
  <c r="J1046" i="1525"/>
  <c r="J1045" i="1525"/>
  <c r="J1044" i="1525"/>
  <c r="J1043" i="1525"/>
  <c r="J1042" i="1525"/>
  <c r="J1041" i="1525"/>
  <c r="J1040" i="1525"/>
  <c r="J1039" i="1525"/>
  <c r="J1038" i="1525"/>
  <c r="J1037" i="1525"/>
  <c r="J1036" i="1525"/>
  <c r="J1035" i="1525"/>
  <c r="J1034" i="1525"/>
  <c r="J1033" i="1525"/>
  <c r="J1032" i="1525"/>
  <c r="J1031" i="1525"/>
  <c r="J1030" i="1525"/>
  <c r="J1029" i="1525"/>
  <c r="J1028" i="1525"/>
  <c r="J1027" i="1525"/>
  <c r="J1026" i="1525"/>
  <c r="J1025" i="1525"/>
  <c r="J1024" i="1525"/>
  <c r="J1023" i="1525"/>
  <c r="J1022" i="1525"/>
  <c r="J1021" i="1525"/>
  <c r="J1020" i="1525"/>
  <c r="J1019" i="1525"/>
  <c r="J1018" i="1525"/>
  <c r="J1017" i="1525"/>
  <c r="J1016" i="1525"/>
  <c r="J1015" i="1525"/>
  <c r="J1014" i="1525"/>
  <c r="J1013" i="1525"/>
  <c r="J1012" i="1525"/>
  <c r="J1011" i="1525"/>
  <c r="J1010" i="1525"/>
  <c r="J1009" i="1525"/>
  <c r="J1008" i="1525"/>
  <c r="J1007" i="1525"/>
  <c r="J1006" i="1525"/>
  <c r="J1005" i="1525"/>
  <c r="J1004" i="1525"/>
  <c r="J1003" i="1525"/>
  <c r="J1002" i="1525"/>
  <c r="J1001" i="1525"/>
  <c r="J1000" i="1525"/>
  <c r="J999" i="1525"/>
  <c r="J998" i="1525"/>
  <c r="J997" i="1525"/>
  <c r="J996" i="1525"/>
  <c r="J995" i="1525"/>
  <c r="J994" i="1525"/>
  <c r="J993" i="1525"/>
  <c r="J992" i="1525"/>
  <c r="J991" i="1525"/>
  <c r="J990" i="1525"/>
  <c r="J989" i="1525"/>
  <c r="J988" i="1525"/>
  <c r="J987" i="1525"/>
  <c r="J986" i="1525"/>
  <c r="J985" i="1525"/>
  <c r="J984" i="1525"/>
  <c r="J983" i="1525"/>
  <c r="J982" i="1525"/>
  <c r="J981" i="1525"/>
  <c r="J980" i="1525"/>
  <c r="J979" i="1525"/>
  <c r="J978" i="1525"/>
  <c r="J977" i="1525"/>
  <c r="J976" i="1525"/>
  <c r="J975" i="1525"/>
  <c r="J974" i="1525"/>
  <c r="J973" i="1525"/>
  <c r="J972" i="1525"/>
  <c r="J971" i="1525"/>
  <c r="J970" i="1525"/>
  <c r="J969" i="1525"/>
  <c r="J968" i="1525"/>
  <c r="J967" i="1525"/>
  <c r="J966" i="1525"/>
  <c r="J965" i="1525"/>
  <c r="J964" i="1525"/>
  <c r="J963" i="1525"/>
  <c r="J962" i="1525"/>
  <c r="J961" i="1525"/>
  <c r="J960" i="1525"/>
  <c r="J959" i="1525"/>
  <c r="J958" i="1525"/>
  <c r="J957" i="1525"/>
  <c r="J956" i="1525"/>
  <c r="J955" i="1525"/>
  <c r="J954" i="1525"/>
  <c r="J953" i="1525"/>
  <c r="J952" i="1525"/>
  <c r="J951" i="1525"/>
  <c r="J950" i="1525"/>
  <c r="J949" i="1525"/>
  <c r="J948" i="1525"/>
  <c r="J947" i="1525"/>
  <c r="J946" i="1525"/>
  <c r="J945" i="1525"/>
  <c r="J944" i="1525"/>
  <c r="J943" i="1525"/>
  <c r="J942" i="1525"/>
  <c r="J941" i="1525"/>
  <c r="J940" i="1525"/>
  <c r="J939" i="1525"/>
  <c r="J938" i="1525"/>
  <c r="J937" i="1525"/>
  <c r="J936" i="1525"/>
  <c r="J935" i="1525"/>
  <c r="J934" i="1525"/>
  <c r="J933" i="1525"/>
  <c r="J932" i="1525"/>
  <c r="J931" i="1525"/>
  <c r="J930" i="1525"/>
  <c r="J929" i="1525"/>
  <c r="J928" i="1525"/>
  <c r="J927" i="1525"/>
  <c r="J926" i="1525"/>
  <c r="J925" i="1525"/>
  <c r="J924" i="1525"/>
  <c r="J923" i="1525"/>
  <c r="J922" i="1525"/>
  <c r="J921" i="1525"/>
  <c r="J920" i="1525"/>
  <c r="J919" i="1525"/>
  <c r="J918" i="1525"/>
  <c r="J917" i="1525"/>
  <c r="J916" i="1525"/>
  <c r="J915" i="1525"/>
  <c r="J914" i="1525"/>
  <c r="J913" i="1525"/>
  <c r="J912" i="1525"/>
  <c r="J911" i="1525"/>
  <c r="J910" i="1525"/>
  <c r="J909" i="1525"/>
  <c r="J908" i="1525"/>
  <c r="J907" i="1525"/>
  <c r="J906" i="1525"/>
  <c r="J905" i="1525"/>
  <c r="J904" i="1525"/>
  <c r="J903" i="1525"/>
  <c r="J902" i="1525"/>
  <c r="J901" i="1525"/>
  <c r="J900" i="1525"/>
  <c r="J899" i="1525"/>
  <c r="J898" i="1525"/>
  <c r="J897" i="1525"/>
  <c r="J896" i="1525"/>
  <c r="J895" i="1525"/>
  <c r="J894" i="1525"/>
  <c r="J893" i="1525"/>
  <c r="J892" i="1525"/>
  <c r="J891" i="1525"/>
  <c r="J890" i="1525"/>
  <c r="J889" i="1525"/>
  <c r="J888" i="1525"/>
  <c r="J887" i="1525"/>
  <c r="J886" i="1525"/>
  <c r="J885" i="1525"/>
  <c r="J884" i="1525"/>
  <c r="J883" i="1525"/>
  <c r="J882" i="1525"/>
  <c r="J881" i="1525"/>
  <c r="J880" i="1525"/>
  <c r="J879" i="1525"/>
  <c r="J878" i="1525"/>
  <c r="J877" i="1525"/>
  <c r="J876" i="1525"/>
  <c r="J875" i="1525"/>
  <c r="J874" i="1525"/>
  <c r="J873" i="1525"/>
  <c r="J872" i="1525"/>
  <c r="J871" i="1525"/>
  <c r="J870" i="1525"/>
  <c r="J869" i="1525"/>
  <c r="J868" i="1525"/>
  <c r="J867" i="1525"/>
  <c r="J866" i="1525"/>
  <c r="J865" i="1525"/>
  <c r="J864" i="1525"/>
  <c r="J863" i="1525"/>
  <c r="J862" i="1525"/>
  <c r="J861" i="1525"/>
  <c r="J860" i="1525"/>
  <c r="J859" i="1525"/>
  <c r="J858" i="1525"/>
  <c r="J857" i="1525"/>
  <c r="J856" i="1525"/>
  <c r="J855" i="1525"/>
  <c r="J854" i="1525"/>
  <c r="J853" i="1525"/>
  <c r="J852" i="1525"/>
  <c r="J851" i="1525"/>
  <c r="J850" i="1525"/>
  <c r="J849" i="1525"/>
  <c r="J848" i="1525"/>
  <c r="J847" i="1525"/>
  <c r="J846" i="1525"/>
  <c r="J845" i="1525"/>
  <c r="J844" i="1525"/>
  <c r="J843" i="1525"/>
  <c r="J842" i="1525"/>
  <c r="J841" i="1525"/>
  <c r="J840" i="1525"/>
  <c r="J839" i="1525"/>
  <c r="J838" i="1525"/>
  <c r="J837" i="1525"/>
  <c r="J836" i="1525"/>
  <c r="J835" i="1525"/>
  <c r="J834" i="1525"/>
  <c r="J833" i="1525"/>
  <c r="J832" i="1525"/>
  <c r="J831" i="1525"/>
  <c r="J830" i="1525"/>
  <c r="J829" i="1525"/>
  <c r="J828" i="1525"/>
  <c r="J827" i="1525"/>
  <c r="J826" i="1525"/>
  <c r="J825" i="1525"/>
  <c r="J824" i="1525"/>
  <c r="J823" i="1525"/>
  <c r="J822" i="1525"/>
  <c r="J821" i="1525"/>
  <c r="J820" i="1525"/>
  <c r="J819" i="1525"/>
  <c r="J818" i="1525"/>
  <c r="J817" i="1525"/>
  <c r="J816" i="1525"/>
  <c r="J815" i="1525"/>
  <c r="J814" i="1525"/>
  <c r="J813" i="1525"/>
  <c r="J812" i="1525"/>
  <c r="J811" i="1525"/>
  <c r="J810" i="1525"/>
  <c r="J809" i="1525"/>
  <c r="J808" i="1525"/>
  <c r="J807" i="1525"/>
  <c r="J806" i="1525"/>
  <c r="J805" i="1525"/>
  <c r="J804" i="1525"/>
  <c r="J803" i="1525"/>
  <c r="J802" i="1525"/>
  <c r="J801" i="1525"/>
  <c r="J800" i="1525"/>
  <c r="J799" i="1525"/>
  <c r="J798" i="1525"/>
  <c r="J797" i="1525"/>
  <c r="J796" i="1525"/>
  <c r="J795" i="1525"/>
  <c r="J794" i="1525"/>
  <c r="J793" i="1525"/>
  <c r="J792" i="1525"/>
  <c r="J791" i="1525"/>
  <c r="J790" i="1525"/>
  <c r="J789" i="1525"/>
  <c r="J788" i="1525"/>
  <c r="J787" i="1525"/>
  <c r="J786" i="1525"/>
  <c r="J785" i="1525"/>
  <c r="J784" i="1525"/>
  <c r="J783" i="1525"/>
  <c r="J782" i="1525"/>
  <c r="J781" i="1525"/>
  <c r="J780" i="1525"/>
  <c r="J779" i="1525"/>
  <c r="J778" i="1525"/>
  <c r="J777" i="1525"/>
  <c r="J776" i="1525"/>
  <c r="J775" i="1525"/>
  <c r="J774" i="1525"/>
  <c r="J773" i="1525"/>
  <c r="J772" i="1525"/>
  <c r="J771" i="1525"/>
  <c r="J770" i="1525"/>
  <c r="J769" i="1525"/>
  <c r="J768" i="1525"/>
  <c r="J767" i="1525"/>
  <c r="J766" i="1525"/>
  <c r="J765" i="1525"/>
  <c r="J764" i="1525"/>
  <c r="J763" i="1525"/>
  <c r="J762" i="1525"/>
  <c r="J761" i="1525"/>
  <c r="J760" i="1525"/>
  <c r="J759" i="1525"/>
  <c r="J758" i="1525"/>
  <c r="J757" i="1525"/>
  <c r="J756" i="1525"/>
  <c r="J755" i="1525"/>
  <c r="J754" i="1525"/>
  <c r="J753" i="1525"/>
  <c r="J752" i="1525"/>
  <c r="J751" i="1525"/>
  <c r="J750" i="1525"/>
  <c r="J749" i="1525"/>
  <c r="J748" i="1525"/>
  <c r="J747" i="1525"/>
  <c r="J746" i="1525"/>
  <c r="J745" i="1525"/>
  <c r="J744" i="1525"/>
  <c r="J743" i="1525"/>
  <c r="J742" i="1525"/>
  <c r="J741" i="1525"/>
  <c r="J740" i="1525"/>
  <c r="J739" i="1525"/>
  <c r="J738" i="1525"/>
  <c r="J737" i="1525"/>
  <c r="J736" i="1525"/>
  <c r="J735" i="1525"/>
  <c r="J734" i="1525"/>
  <c r="J733" i="1525"/>
  <c r="J732" i="1525"/>
  <c r="J731" i="1525"/>
  <c r="J730" i="1525"/>
  <c r="J729" i="1525"/>
  <c r="J728" i="1525"/>
  <c r="J727" i="1525"/>
  <c r="J726" i="1525"/>
  <c r="J725" i="1525"/>
  <c r="J724" i="1525"/>
  <c r="J723" i="1525"/>
  <c r="J722" i="1525"/>
  <c r="J721" i="1525"/>
  <c r="J720" i="1525"/>
  <c r="J719" i="1525"/>
  <c r="J718" i="1525"/>
  <c r="J717" i="1525"/>
  <c r="J716" i="1525"/>
  <c r="J715" i="1525"/>
  <c r="J714" i="1525"/>
  <c r="J713" i="1525"/>
  <c r="J712" i="1525"/>
  <c r="J711" i="1525"/>
  <c r="J710" i="1525"/>
  <c r="J709" i="1525"/>
  <c r="J708" i="1525"/>
  <c r="J707" i="1525"/>
  <c r="J706" i="1525"/>
  <c r="J705" i="1525"/>
  <c r="J704" i="1525"/>
  <c r="J703" i="1525"/>
  <c r="J702" i="1525"/>
  <c r="J701" i="1525"/>
  <c r="J700" i="1525"/>
  <c r="J699" i="1525"/>
  <c r="J698" i="1525"/>
  <c r="J697" i="1525"/>
  <c r="J696" i="1525"/>
  <c r="J695" i="1525"/>
  <c r="J694" i="1525"/>
  <c r="J693" i="1525"/>
  <c r="J692" i="1525"/>
  <c r="J691" i="1525"/>
  <c r="J690" i="1525"/>
  <c r="J689" i="1525"/>
  <c r="J688" i="1525"/>
  <c r="J687" i="1525"/>
  <c r="J686" i="1525"/>
  <c r="J685" i="1525"/>
  <c r="J684" i="1525"/>
  <c r="J683" i="1525"/>
  <c r="J682" i="1525"/>
  <c r="J681" i="1525"/>
  <c r="J680" i="1525"/>
  <c r="J679" i="1525"/>
  <c r="J678" i="1525"/>
  <c r="J677" i="1525"/>
  <c r="J676" i="1525"/>
  <c r="J675" i="1525"/>
  <c r="J674" i="1525"/>
  <c r="J673" i="1525"/>
  <c r="J672" i="1525"/>
  <c r="J671" i="1525"/>
  <c r="J670" i="1525"/>
  <c r="J669" i="1525"/>
  <c r="J668" i="1525"/>
  <c r="J667" i="1525"/>
  <c r="J666" i="1525"/>
  <c r="J665" i="1525"/>
  <c r="J664" i="1525"/>
  <c r="J663" i="1525"/>
  <c r="J662" i="1525"/>
  <c r="J661" i="1525"/>
  <c r="J660" i="1525"/>
  <c r="J659" i="1525"/>
  <c r="J658" i="1525"/>
  <c r="J657" i="1525"/>
  <c r="J656" i="1525"/>
  <c r="J655" i="1525"/>
  <c r="J654" i="1525"/>
  <c r="J653" i="1525"/>
  <c r="J652" i="1525"/>
  <c r="J651" i="1525"/>
  <c r="J650" i="1525"/>
  <c r="J649" i="1525"/>
  <c r="J648" i="1525"/>
  <c r="J647" i="1525"/>
  <c r="J646" i="1525"/>
  <c r="J645" i="1525"/>
  <c r="J644" i="1525"/>
  <c r="J643" i="1525"/>
  <c r="J642" i="1525"/>
  <c r="J641" i="1525"/>
  <c r="J640" i="1525"/>
  <c r="J639" i="1525"/>
  <c r="J638" i="1525"/>
  <c r="J637" i="1525"/>
  <c r="J636" i="1525"/>
  <c r="J635" i="1525"/>
  <c r="J634" i="1525"/>
  <c r="J633" i="1525"/>
  <c r="J632" i="1525"/>
  <c r="J631" i="1525"/>
  <c r="J630" i="1525"/>
  <c r="J629" i="1525"/>
  <c r="J628" i="1525"/>
  <c r="J627" i="1525"/>
  <c r="J626" i="1525"/>
  <c r="J625" i="1525"/>
  <c r="J624" i="1525"/>
  <c r="J623" i="1525"/>
  <c r="J622" i="1525"/>
  <c r="J621" i="1525"/>
  <c r="J620" i="1525"/>
  <c r="J619" i="1525"/>
  <c r="J618" i="1525"/>
  <c r="J617" i="1525"/>
  <c r="J616" i="1525"/>
  <c r="J615" i="1525"/>
  <c r="J614" i="1525"/>
  <c r="J613" i="1525"/>
  <c r="J612" i="1525"/>
  <c r="J611" i="1525"/>
  <c r="J610" i="1525"/>
  <c r="J609" i="1525"/>
  <c r="J608" i="1525"/>
  <c r="J607" i="1525"/>
  <c r="J606" i="1525"/>
  <c r="J605" i="1525"/>
  <c r="J604" i="1525"/>
  <c r="J603" i="1525"/>
  <c r="J602" i="1525"/>
  <c r="J601" i="1525"/>
  <c r="J600" i="1525"/>
  <c r="J599" i="1525"/>
  <c r="J598" i="1525"/>
  <c r="J597" i="1525"/>
  <c r="J596" i="1525"/>
  <c r="J595" i="1525"/>
  <c r="J594" i="1525"/>
  <c r="J593" i="1525"/>
  <c r="J592" i="1525"/>
  <c r="J591" i="1525"/>
  <c r="J590" i="1525"/>
  <c r="J589" i="1525"/>
  <c r="J588" i="1525"/>
  <c r="J587" i="1525"/>
  <c r="J586" i="1525"/>
  <c r="J585" i="1525"/>
  <c r="J584" i="1525"/>
  <c r="J583" i="1525"/>
  <c r="J582" i="1525"/>
  <c r="J581" i="1525"/>
  <c r="J580" i="1525"/>
  <c r="J579" i="1525"/>
  <c r="J578" i="1525"/>
  <c r="J577" i="1525"/>
  <c r="J576" i="1525"/>
  <c r="J575" i="1525"/>
  <c r="J574" i="1525"/>
  <c r="J573" i="1525"/>
  <c r="J572" i="1525"/>
  <c r="J571" i="1525"/>
  <c r="J570" i="1525"/>
  <c r="J569" i="1525"/>
  <c r="J568" i="1525"/>
  <c r="J567" i="1525"/>
  <c r="J566" i="1525"/>
  <c r="J565" i="1525"/>
  <c r="J564" i="1525"/>
  <c r="J563" i="1525"/>
  <c r="J562" i="1525"/>
  <c r="J561" i="1525"/>
  <c r="J560" i="1525"/>
  <c r="J559" i="1525"/>
  <c r="J558" i="1525"/>
  <c r="J557" i="1525"/>
  <c r="J556" i="1525"/>
  <c r="J555" i="1525"/>
  <c r="J554" i="1525"/>
  <c r="J553" i="1525"/>
  <c r="J552" i="1525"/>
  <c r="J551" i="1525"/>
  <c r="J550" i="1525"/>
  <c r="J549" i="1525"/>
  <c r="J548" i="1525"/>
  <c r="J547" i="1525"/>
  <c r="J546" i="1525"/>
  <c r="J545" i="1525"/>
  <c r="J544" i="1525"/>
  <c r="J543" i="1525"/>
  <c r="J542" i="1525"/>
  <c r="J541" i="1525"/>
  <c r="J540" i="1525"/>
  <c r="J539" i="1525"/>
  <c r="J538" i="1525"/>
  <c r="J537" i="1525"/>
  <c r="J536" i="1525"/>
  <c r="J535" i="1525"/>
  <c r="J534" i="1525"/>
  <c r="J533" i="1525"/>
  <c r="J532" i="1525"/>
  <c r="J531" i="1525"/>
  <c r="J530" i="1525"/>
  <c r="J529" i="1525"/>
  <c r="J528" i="1525"/>
  <c r="J527" i="1525"/>
  <c r="J526" i="1525"/>
  <c r="J525" i="1525"/>
  <c r="J524" i="1525"/>
  <c r="J523" i="1525"/>
  <c r="J522" i="1525"/>
  <c r="J521" i="1525"/>
  <c r="J520" i="1525"/>
  <c r="J519" i="1525"/>
  <c r="J518" i="1525"/>
  <c r="J517" i="1525"/>
  <c r="J516" i="1525"/>
  <c r="J515" i="1525"/>
  <c r="J514" i="1525"/>
  <c r="J513" i="1525"/>
  <c r="J512" i="1525"/>
  <c r="J511" i="1525"/>
  <c r="J510" i="1525"/>
  <c r="J509" i="1525"/>
  <c r="J508" i="1525"/>
  <c r="J507" i="1525"/>
  <c r="J506" i="1525"/>
  <c r="J505" i="1525"/>
  <c r="J504" i="1525"/>
  <c r="J503" i="1525"/>
  <c r="J502" i="1525"/>
  <c r="J501" i="1525"/>
  <c r="J500" i="1525"/>
  <c r="J499" i="1525"/>
  <c r="J498" i="1525"/>
  <c r="J497" i="1525"/>
  <c r="J496" i="1525"/>
  <c r="J495" i="1525"/>
  <c r="J494" i="1525"/>
  <c r="J493" i="1525"/>
  <c r="J492" i="1525"/>
  <c r="J491" i="1525"/>
  <c r="J490" i="1525"/>
  <c r="J489" i="1525"/>
  <c r="J488" i="1525"/>
  <c r="J487" i="1525"/>
  <c r="J486" i="1525"/>
  <c r="J485" i="1525"/>
  <c r="J484" i="1525"/>
  <c r="J483" i="1525"/>
  <c r="J482" i="1525"/>
  <c r="J481" i="1525"/>
  <c r="J480" i="1525"/>
  <c r="J479" i="1525"/>
  <c r="J478" i="1525"/>
  <c r="J477" i="1525"/>
  <c r="J476" i="1525"/>
  <c r="J475" i="1525"/>
  <c r="J474" i="1525"/>
  <c r="J473" i="1525"/>
  <c r="J472" i="1525"/>
  <c r="J471" i="1525"/>
  <c r="J470" i="1525"/>
  <c r="J469" i="1525"/>
  <c r="J468" i="1525"/>
  <c r="J467" i="1525"/>
  <c r="J466" i="1525"/>
  <c r="J465" i="1525"/>
  <c r="J464" i="1525"/>
  <c r="J463" i="1525"/>
  <c r="J462" i="1525"/>
  <c r="J461" i="1525"/>
  <c r="J460" i="1525"/>
  <c r="J459" i="1525"/>
  <c r="J458" i="1525"/>
  <c r="J457" i="1525"/>
  <c r="J456" i="1525"/>
  <c r="J455" i="1525"/>
  <c r="J454" i="1525"/>
  <c r="J453" i="1525"/>
  <c r="J452" i="1525"/>
  <c r="J451" i="1525"/>
  <c r="J450" i="1525"/>
  <c r="J449" i="1525"/>
  <c r="J448" i="1525"/>
  <c r="J447" i="1525"/>
  <c r="J446" i="1525"/>
  <c r="J445" i="1525"/>
  <c r="J444" i="1525"/>
  <c r="J443" i="1525"/>
  <c r="J442" i="1525"/>
  <c r="J441" i="1525"/>
  <c r="J440" i="1525"/>
  <c r="J439" i="1525"/>
  <c r="J438" i="1525"/>
  <c r="J437" i="1525"/>
  <c r="J436" i="1525"/>
  <c r="J435" i="1525"/>
  <c r="J434" i="1525"/>
  <c r="J433" i="1525"/>
  <c r="J432" i="1525"/>
  <c r="J431" i="1525"/>
  <c r="J430" i="1525"/>
  <c r="J429" i="1525"/>
  <c r="J428" i="1525"/>
  <c r="J427" i="1525"/>
  <c r="J426" i="1525"/>
  <c r="J425" i="1525"/>
  <c r="J424" i="1525"/>
  <c r="J423" i="1525"/>
  <c r="J422" i="1525"/>
  <c r="J421" i="1525"/>
  <c r="J420" i="1525"/>
  <c r="J419" i="1525"/>
  <c r="J418" i="1525"/>
  <c r="J417" i="1525"/>
  <c r="J416" i="1525"/>
  <c r="J415" i="1525"/>
  <c r="J414" i="1525"/>
  <c r="J413" i="1525"/>
  <c r="J412" i="1525"/>
  <c r="J411" i="1525"/>
  <c r="J410" i="1525"/>
  <c r="J409" i="1525"/>
  <c r="J408" i="1525"/>
  <c r="J407" i="1525"/>
  <c r="J406" i="1525"/>
  <c r="J405" i="1525"/>
  <c r="J404" i="1525"/>
  <c r="J403" i="1525"/>
  <c r="J402" i="1525"/>
  <c r="J401" i="1525"/>
  <c r="J400" i="1525"/>
  <c r="J399" i="1525"/>
  <c r="J398" i="1525"/>
  <c r="J397" i="1525"/>
  <c r="J396" i="1525"/>
  <c r="J395" i="1525"/>
  <c r="J394" i="1525"/>
  <c r="J393" i="1525"/>
  <c r="J392" i="1525"/>
  <c r="J391" i="1525"/>
  <c r="J390" i="1525"/>
  <c r="J389" i="1525"/>
  <c r="J388" i="1525"/>
  <c r="J387" i="1525"/>
  <c r="J386" i="1525"/>
  <c r="J385" i="1525"/>
  <c r="J384" i="1525"/>
  <c r="J383" i="1525"/>
  <c r="J382" i="1525"/>
  <c r="J381" i="1525"/>
  <c r="J380" i="1525"/>
  <c r="J379" i="1525"/>
  <c r="J378" i="1525"/>
  <c r="J377" i="1525"/>
  <c r="J376" i="1525"/>
  <c r="J375" i="1525"/>
  <c r="J374" i="1525"/>
  <c r="J373" i="1525"/>
  <c r="J372" i="1525"/>
  <c r="J371" i="1525"/>
  <c r="J370" i="1525"/>
  <c r="J369" i="1525"/>
  <c r="J368" i="1525"/>
  <c r="J367" i="1525"/>
  <c r="J366" i="1525"/>
  <c r="J365" i="1525"/>
  <c r="J364" i="1525"/>
  <c r="J363" i="1525"/>
  <c r="J362" i="1525"/>
  <c r="J361" i="1525"/>
  <c r="J360" i="1525"/>
  <c r="J359" i="1525"/>
  <c r="J358" i="1525"/>
  <c r="J357" i="1525"/>
  <c r="J356" i="1525"/>
  <c r="J355" i="1525"/>
  <c r="J354" i="1525"/>
  <c r="J353" i="1525"/>
  <c r="J352" i="1525"/>
  <c r="J351" i="1525"/>
  <c r="J350" i="1525"/>
  <c r="J349" i="1525"/>
  <c r="J348" i="1525"/>
  <c r="J347" i="1525"/>
  <c r="J346" i="1525"/>
  <c r="J345" i="1525"/>
  <c r="J344" i="1525"/>
  <c r="J343" i="1525"/>
  <c r="J342" i="1525"/>
  <c r="J341" i="1525"/>
  <c r="J340" i="1525"/>
  <c r="J339" i="1525"/>
  <c r="J338" i="1525"/>
  <c r="J337" i="1525"/>
  <c r="J336" i="1525"/>
  <c r="J335" i="1525"/>
  <c r="J334" i="1525"/>
  <c r="J333" i="1525"/>
  <c r="J332" i="1525"/>
  <c r="J331" i="1525"/>
  <c r="J330" i="1525"/>
  <c r="J329" i="1525"/>
  <c r="J328" i="1525"/>
  <c r="J327" i="1525"/>
  <c r="J326" i="1525"/>
  <c r="J325" i="1525"/>
  <c r="J324" i="1525"/>
  <c r="J323" i="1525"/>
  <c r="J322" i="1525"/>
  <c r="J321" i="1525"/>
  <c r="J320" i="1525"/>
  <c r="J319" i="1525"/>
  <c r="J318" i="1525"/>
  <c r="J317" i="1525"/>
  <c r="J316" i="1525"/>
  <c r="J315" i="1525"/>
  <c r="J314" i="1525"/>
  <c r="J313" i="1525"/>
  <c r="J312" i="1525"/>
  <c r="J311" i="1525"/>
  <c r="J310" i="1525"/>
  <c r="J309" i="1525"/>
  <c r="J308" i="1525"/>
  <c r="J307" i="1525"/>
  <c r="J306" i="1525"/>
  <c r="J305" i="1525"/>
  <c r="J304" i="1525"/>
  <c r="J303" i="1525"/>
  <c r="J302" i="1525"/>
  <c r="J301" i="1525"/>
  <c r="J300" i="1525"/>
  <c r="J299" i="1525"/>
  <c r="J298" i="1525"/>
  <c r="J297" i="1525"/>
  <c r="J296" i="1525"/>
  <c r="J295" i="1525"/>
  <c r="J294" i="1525"/>
  <c r="J293" i="1525"/>
  <c r="J292" i="1525"/>
  <c r="J291" i="1525"/>
  <c r="J290" i="1525"/>
  <c r="J289" i="1525"/>
  <c r="J288" i="1525"/>
  <c r="J287" i="1525"/>
  <c r="J286" i="1525"/>
  <c r="J285" i="1525"/>
  <c r="J284" i="1525"/>
  <c r="J283" i="1525"/>
  <c r="J282" i="1525"/>
  <c r="J281" i="1525"/>
  <c r="J280" i="1525"/>
  <c r="J279" i="1525"/>
  <c r="J278" i="1525"/>
  <c r="J277" i="1525"/>
  <c r="J276" i="1525"/>
  <c r="J275" i="1525"/>
  <c r="J274" i="1525"/>
  <c r="J273" i="1525"/>
  <c r="J272" i="1525"/>
  <c r="J271" i="1525"/>
  <c r="J270" i="1525"/>
  <c r="J269" i="1525"/>
  <c r="J268" i="1525"/>
  <c r="J267" i="1525"/>
  <c r="J266" i="1525"/>
  <c r="J265" i="1525"/>
  <c r="J264" i="1525"/>
  <c r="J263" i="1525"/>
  <c r="J262" i="1525"/>
  <c r="J261" i="1525"/>
  <c r="J260" i="1525"/>
  <c r="J259" i="1525"/>
  <c r="J258" i="1525"/>
  <c r="J257" i="1525"/>
  <c r="J256" i="1525"/>
  <c r="J255" i="1525"/>
  <c r="J254" i="1525"/>
  <c r="J253" i="1525"/>
  <c r="J252" i="1525"/>
  <c r="J251" i="1525"/>
  <c r="J250" i="1525"/>
  <c r="J249" i="1525"/>
  <c r="J248" i="1525"/>
  <c r="J247" i="1525"/>
  <c r="J246" i="1525"/>
  <c r="J245" i="1525"/>
  <c r="J244" i="1525"/>
  <c r="J243" i="1525"/>
  <c r="J242" i="1525"/>
  <c r="J241" i="1525"/>
  <c r="J240" i="1525"/>
  <c r="J239" i="1525"/>
  <c r="J238" i="1525"/>
  <c r="J237" i="1525"/>
  <c r="J236" i="1525"/>
  <c r="J235" i="1525"/>
  <c r="J234" i="1525"/>
  <c r="J233" i="1525"/>
  <c r="J232" i="1525"/>
  <c r="J231" i="1525"/>
  <c r="J230" i="1525"/>
  <c r="J229" i="1525"/>
  <c r="J228" i="1525"/>
  <c r="J227" i="1525"/>
  <c r="J226" i="1525"/>
  <c r="J225" i="1525"/>
  <c r="J224" i="1525"/>
  <c r="J223" i="1525"/>
  <c r="J222" i="1525"/>
  <c r="J221" i="1525"/>
  <c r="J220" i="1525"/>
  <c r="J219" i="1525"/>
  <c r="J218" i="1525"/>
  <c r="J217" i="1525"/>
  <c r="J216" i="1525"/>
  <c r="J215" i="1525"/>
  <c r="J214" i="1525"/>
  <c r="J213" i="1525"/>
  <c r="J212" i="1525"/>
  <c r="J211" i="1525"/>
  <c r="J210" i="1525"/>
  <c r="J209" i="1525"/>
  <c r="J208" i="1525"/>
  <c r="J207" i="1525"/>
  <c r="J206" i="1525"/>
  <c r="J205" i="1525"/>
  <c r="J204" i="1525"/>
  <c r="J203" i="1525"/>
  <c r="J202" i="1525"/>
  <c r="J201" i="1525"/>
  <c r="J200" i="1525"/>
  <c r="J199" i="1525"/>
  <c r="J198" i="1525"/>
  <c r="J197" i="1525"/>
  <c r="J196" i="1525"/>
  <c r="J195" i="1525"/>
  <c r="J194" i="1525"/>
  <c r="J193" i="1525"/>
  <c r="J192" i="1525"/>
  <c r="J191" i="1525"/>
  <c r="J190" i="1525"/>
  <c r="J189" i="1525"/>
  <c r="J188" i="1525"/>
  <c r="J187" i="1525"/>
  <c r="J186" i="1525"/>
  <c r="J185" i="1525"/>
  <c r="J184" i="1525"/>
  <c r="J183" i="1525"/>
  <c r="J182" i="1525"/>
  <c r="J181" i="1525"/>
  <c r="J180" i="1525"/>
  <c r="J179" i="1525"/>
  <c r="J178" i="1525"/>
  <c r="J177" i="1525"/>
  <c r="J176" i="1525"/>
  <c r="J175" i="1525"/>
  <c r="J174" i="1525"/>
  <c r="J173" i="1525"/>
  <c r="J172" i="1525"/>
  <c r="J171" i="1525"/>
  <c r="J170" i="1525"/>
  <c r="J169" i="1525"/>
  <c r="J168" i="1525"/>
  <c r="J167" i="1525"/>
  <c r="J166" i="1525"/>
  <c r="J165" i="1525"/>
  <c r="J164" i="1525"/>
  <c r="J163" i="1525"/>
  <c r="J162" i="1525"/>
  <c r="J161" i="1525"/>
  <c r="J160" i="1525"/>
  <c r="J159" i="1525"/>
  <c r="J158" i="1525"/>
  <c r="J157" i="1525"/>
  <c r="J156" i="1525"/>
  <c r="J155" i="1525"/>
  <c r="J154" i="1525"/>
  <c r="J153" i="1525"/>
  <c r="J152" i="1525"/>
  <c r="J151" i="1525"/>
  <c r="J150" i="1525"/>
  <c r="J149" i="1525"/>
  <c r="J148" i="1525"/>
  <c r="J147" i="1525"/>
  <c r="J146" i="1525"/>
  <c r="J145" i="1525"/>
  <c r="J144" i="1525"/>
  <c r="J143" i="1525"/>
  <c r="J142" i="1525"/>
  <c r="J141" i="1525"/>
  <c r="J140" i="1525"/>
  <c r="J139" i="1525"/>
  <c r="J138" i="1525"/>
  <c r="J137" i="1525"/>
  <c r="J136" i="1525"/>
  <c r="J135" i="1525"/>
  <c r="J134" i="1525"/>
  <c r="J133" i="1525"/>
  <c r="J132" i="1525"/>
  <c r="J131" i="1525"/>
  <c r="J130" i="1525"/>
  <c r="J129" i="1525"/>
  <c r="J128" i="1525"/>
  <c r="J127" i="1525"/>
  <c r="J126" i="1525"/>
  <c r="J125" i="1525"/>
  <c r="J124" i="1525"/>
  <c r="J123" i="1525"/>
  <c r="J122" i="1525"/>
  <c r="J121" i="1525"/>
  <c r="J120" i="1525"/>
  <c r="J119" i="1525"/>
  <c r="J118" i="1525"/>
  <c r="J117" i="1525"/>
  <c r="J116" i="1525"/>
  <c r="J115" i="1525"/>
  <c r="J114" i="1525"/>
  <c r="J113" i="1525"/>
  <c r="J112" i="1525"/>
  <c r="J111" i="1525"/>
  <c r="J110" i="1525"/>
  <c r="J109" i="1525"/>
  <c r="J108" i="1525"/>
  <c r="J107" i="1525"/>
  <c r="J106" i="1525"/>
  <c r="J105" i="1525"/>
  <c r="J104" i="1525"/>
  <c r="J103" i="1525"/>
  <c r="J102" i="1525"/>
  <c r="J101" i="1525"/>
  <c r="J100" i="1525"/>
  <c r="J99" i="1525"/>
  <c r="J98" i="1525"/>
  <c r="J97" i="1525"/>
  <c r="J96" i="1525"/>
  <c r="J95" i="1525"/>
  <c r="J94" i="1525"/>
  <c r="J93" i="1525"/>
  <c r="J92" i="1525"/>
  <c r="J91" i="1525"/>
  <c r="J90" i="1525"/>
  <c r="J89" i="1525"/>
  <c r="J88" i="1525"/>
  <c r="J87" i="1525"/>
  <c r="J86" i="1525"/>
  <c r="J85" i="1525"/>
  <c r="J84" i="1525"/>
  <c r="J83" i="1525"/>
  <c r="J82" i="1525"/>
  <c r="J81" i="1525"/>
  <c r="J80" i="1525"/>
  <c r="J79" i="1525"/>
  <c r="J78" i="1525"/>
  <c r="J77" i="1525"/>
  <c r="J76" i="1525"/>
  <c r="J75" i="1525"/>
  <c r="J74" i="1525"/>
  <c r="J73" i="1525"/>
  <c r="J72" i="1525"/>
  <c r="J71" i="1525"/>
  <c r="J70" i="1525"/>
  <c r="J69" i="1525"/>
  <c r="J68" i="1525"/>
  <c r="J67" i="1525"/>
  <c r="J66" i="1525"/>
  <c r="J65" i="1525"/>
  <c r="J64" i="1525"/>
  <c r="J63" i="1525"/>
  <c r="J62" i="1525"/>
  <c r="J61" i="1525"/>
  <c r="J60" i="1525"/>
  <c r="J59" i="1525"/>
  <c r="J58" i="1525"/>
  <c r="J57" i="1525"/>
  <c r="J56" i="1525"/>
  <c r="J55" i="1525"/>
  <c r="J54" i="1525"/>
  <c r="J53" i="1525"/>
  <c r="J52" i="1525"/>
  <c r="J51" i="1525"/>
  <c r="J50" i="1525"/>
  <c r="J49" i="1525"/>
  <c r="J48" i="1525"/>
  <c r="J47" i="1525"/>
  <c r="J46" i="1525"/>
  <c r="J45" i="1525"/>
  <c r="J44" i="1525"/>
  <c r="J43" i="1525"/>
  <c r="J42" i="1525"/>
  <c r="J41" i="1525"/>
  <c r="J40" i="1525"/>
  <c r="J39" i="1525"/>
  <c r="J38" i="1525"/>
  <c r="J37" i="1525"/>
  <c r="J36" i="1525"/>
  <c r="J35" i="1525"/>
  <c r="J34" i="1525"/>
  <c r="J33" i="1525"/>
  <c r="J32" i="1525"/>
  <c r="J31" i="1525"/>
  <c r="J30" i="1525"/>
  <c r="J29" i="1525"/>
  <c r="J28" i="1525"/>
  <c r="J27" i="1525"/>
  <c r="J26" i="1525"/>
  <c r="J25" i="1525"/>
  <c r="J24" i="1525"/>
  <c r="J23" i="1525"/>
  <c r="J22" i="1525"/>
  <c r="J21" i="1525"/>
  <c r="J20" i="1525"/>
  <c r="J19" i="1525"/>
  <c r="J18" i="1525"/>
  <c r="J17" i="1525"/>
  <c r="J16" i="1525"/>
  <c r="J15" i="1525"/>
  <c r="J14" i="1525"/>
  <c r="J13" i="1525"/>
  <c r="J12" i="1525"/>
  <c r="J11" i="1525"/>
  <c r="J10" i="1525"/>
  <c r="J9" i="1525"/>
  <c r="J8" i="1525"/>
  <c r="J7" i="1525"/>
  <c r="J6" i="1525"/>
  <c r="J5" i="1525"/>
  <c r="J4" i="1525"/>
  <c r="J3" i="1525"/>
  <c r="J2121" i="1525"/>
  <c r="A2120" i="1525"/>
  <c r="A2119" i="1525"/>
  <c r="A2118" i="1525"/>
  <c r="A2117" i="1525"/>
  <c r="A2116" i="1525"/>
  <c r="A2115" i="1525"/>
  <c r="A2114" i="1525"/>
  <c r="A2113" i="1525"/>
  <c r="A2112" i="1525"/>
  <c r="A2111" i="1525"/>
  <c r="A2110" i="1525"/>
  <c r="A2109" i="1525"/>
  <c r="A2108" i="1525"/>
  <c r="A2107" i="1525"/>
  <c r="A2106" i="1525"/>
  <c r="A2105" i="1525"/>
  <c r="A2104" i="1525"/>
  <c r="A2103" i="1525"/>
  <c r="A2102" i="1525"/>
  <c r="A2101" i="1525"/>
  <c r="A2100" i="1525"/>
  <c r="A2099" i="1525"/>
  <c r="A2098" i="1525"/>
  <c r="A2097" i="1525"/>
  <c r="A2096" i="1525"/>
  <c r="A2095" i="1525"/>
  <c r="A2094" i="1525"/>
  <c r="A2093" i="1525"/>
  <c r="A2092" i="1525"/>
  <c r="A2091" i="1525"/>
  <c r="A2090" i="1525"/>
  <c r="A2089" i="1525"/>
  <c r="A2088" i="1525"/>
  <c r="A2087" i="1525"/>
  <c r="A2086" i="1525"/>
  <c r="A2085" i="1525"/>
  <c r="A2084" i="1525"/>
  <c r="A2083" i="1525"/>
  <c r="A2082" i="1525"/>
  <c r="A2081" i="1525"/>
  <c r="A2080" i="1525"/>
  <c r="A2079" i="1525"/>
  <c r="A2078" i="1525"/>
  <c r="A2077" i="1525"/>
  <c r="A2076" i="1525"/>
  <c r="A2075" i="1525"/>
  <c r="A2074" i="1525"/>
  <c r="A2073" i="1525"/>
  <c r="A2072" i="1525"/>
  <c r="A2071" i="1525"/>
  <c r="A2070" i="1525"/>
  <c r="A2069" i="1525"/>
  <c r="A2068" i="1525"/>
  <c r="A2067" i="1525"/>
  <c r="A2066" i="1525"/>
  <c r="A2065" i="1525"/>
  <c r="A2064" i="1525"/>
  <c r="A2063" i="1525"/>
  <c r="A2062" i="1525"/>
  <c r="A2061" i="1525"/>
  <c r="A2060" i="1525"/>
  <c r="A2059" i="1525"/>
  <c r="A2058" i="1525"/>
  <c r="A2057" i="1525"/>
  <c r="A2056" i="1525"/>
  <c r="A2055" i="1525"/>
  <c r="A2054" i="1525"/>
  <c r="A2053" i="1525"/>
  <c r="A2052" i="1525"/>
  <c r="A2051" i="1525"/>
  <c r="A2050" i="1525"/>
  <c r="A2049" i="1525"/>
  <c r="A2048" i="1525"/>
  <c r="A2047" i="1525"/>
  <c r="A2046" i="1525"/>
  <c r="A2045" i="1525"/>
  <c r="A2044" i="1525"/>
  <c r="A2043" i="1525"/>
  <c r="A2042" i="1525"/>
  <c r="A2041" i="1525"/>
  <c r="A2040" i="1525"/>
  <c r="A2039" i="1525"/>
  <c r="A2038" i="1525"/>
  <c r="A2037" i="1525"/>
  <c r="A2036" i="1525"/>
  <c r="A2035" i="1525"/>
  <c r="A2034" i="1525"/>
  <c r="A2033" i="1525"/>
  <c r="A2032" i="1525"/>
  <c r="A2031" i="1525"/>
  <c r="A2030" i="1525"/>
  <c r="A2029" i="1525"/>
  <c r="A2028" i="1525"/>
  <c r="A2027" i="1525"/>
  <c r="A2026" i="1525"/>
  <c r="A2025" i="1525"/>
  <c r="A2024" i="1525"/>
  <c r="A2023" i="1525"/>
  <c r="A2022" i="1525"/>
  <c r="A2021" i="1525"/>
  <c r="A2020" i="1525"/>
  <c r="A2019" i="1525"/>
  <c r="A2018" i="1525"/>
  <c r="A2017" i="1525"/>
  <c r="A2016" i="1525"/>
  <c r="A2015" i="1525"/>
  <c r="A2014" i="1525"/>
  <c r="A2013" i="1525"/>
  <c r="A2012" i="1525"/>
  <c r="A2011" i="1525"/>
  <c r="A2010" i="1525"/>
  <c r="A2009" i="1525"/>
  <c r="A2008" i="1525"/>
  <c r="A2007" i="1525"/>
  <c r="A2006" i="1525"/>
  <c r="A2005" i="1525"/>
  <c r="A2004" i="1525"/>
  <c r="A2003" i="1525"/>
  <c r="A2002" i="1525"/>
  <c r="A2001" i="1525"/>
  <c r="A2000" i="1525"/>
  <c r="A1999" i="1525"/>
  <c r="A1998" i="1525"/>
  <c r="A1997" i="1525"/>
  <c r="A1996" i="1525"/>
  <c r="A1995" i="1525"/>
  <c r="A1994" i="1525"/>
  <c r="A1993" i="1525"/>
  <c r="A1992" i="1525"/>
  <c r="A1991" i="1525"/>
  <c r="A1990" i="1525"/>
  <c r="A1989" i="1525"/>
  <c r="A1988" i="1525"/>
  <c r="A1987" i="1525"/>
  <c r="A1986" i="1525"/>
  <c r="A1985" i="1525"/>
  <c r="A1984" i="1525"/>
  <c r="A1983" i="1525"/>
  <c r="A1982" i="1525"/>
  <c r="A1981" i="1525"/>
  <c r="A1980" i="1525"/>
  <c r="A1979" i="1525"/>
  <c r="A1978" i="1525"/>
  <c r="A1977" i="1525"/>
  <c r="A1976" i="1525"/>
  <c r="A1975" i="1525"/>
  <c r="A1974" i="1525"/>
  <c r="A1973" i="1525"/>
  <c r="A1972" i="1525"/>
  <c r="A1971" i="1525"/>
  <c r="A1970" i="1525"/>
  <c r="A1969" i="1525"/>
  <c r="A1968" i="1525"/>
  <c r="A1967" i="1525"/>
  <c r="A1966" i="1525"/>
  <c r="A1965" i="1525"/>
  <c r="A1964" i="1525"/>
  <c r="A1963" i="1525"/>
  <c r="A1962" i="1525"/>
  <c r="A1961" i="1525"/>
  <c r="A1960" i="1525"/>
  <c r="A1959" i="1525"/>
  <c r="A1958" i="1525"/>
  <c r="A1957" i="1525"/>
  <c r="A1956" i="1525"/>
  <c r="A1955" i="1525"/>
  <c r="A1954" i="1525"/>
  <c r="A1953" i="1525"/>
  <c r="A1952" i="1525"/>
  <c r="A1951" i="1525"/>
  <c r="A1950" i="1525"/>
  <c r="A1949" i="1525"/>
  <c r="A1948" i="1525"/>
  <c r="A1947" i="1525"/>
  <c r="A1946" i="1525"/>
  <c r="A1945" i="1525"/>
  <c r="A1944" i="1525"/>
  <c r="A1943" i="1525"/>
  <c r="A1942" i="1525"/>
  <c r="A1941" i="1525"/>
  <c r="A1940" i="1525"/>
  <c r="A1939" i="1525"/>
  <c r="A1938" i="1525"/>
  <c r="A1937" i="1525"/>
  <c r="A1936" i="1525"/>
  <c r="A1935" i="1525"/>
  <c r="A1934" i="1525"/>
  <c r="A1933" i="1525"/>
  <c r="A1932" i="1525"/>
  <c r="A1931" i="1525"/>
  <c r="A1930" i="1525"/>
  <c r="A1929" i="1525"/>
  <c r="A1928" i="1525"/>
  <c r="A1927" i="1525"/>
  <c r="A1926" i="1525"/>
  <c r="A1925" i="1525"/>
  <c r="A1924" i="1525"/>
  <c r="A1923" i="1525"/>
  <c r="A1922" i="1525"/>
  <c r="A1921" i="1525"/>
  <c r="A1920" i="1525"/>
  <c r="A1919" i="1525"/>
  <c r="A1918" i="1525"/>
  <c r="A1917" i="1525"/>
  <c r="A1916" i="1525"/>
  <c r="A1915" i="1525"/>
  <c r="A1914" i="1525"/>
  <c r="A1913" i="1525"/>
  <c r="A1912" i="1525"/>
  <c r="A1911" i="1525"/>
  <c r="A1910" i="1525"/>
  <c r="A1909" i="1525"/>
  <c r="A1908" i="1525"/>
  <c r="A1907" i="1525"/>
  <c r="A1906" i="1525"/>
  <c r="A1905" i="1525"/>
  <c r="A1904" i="1525"/>
  <c r="A1903" i="1525"/>
  <c r="A1902" i="1525"/>
  <c r="A1901" i="1525"/>
  <c r="A1900" i="1525"/>
  <c r="A1899" i="1525"/>
  <c r="A1898" i="1525"/>
  <c r="A1897" i="1525"/>
  <c r="A1896" i="1525"/>
  <c r="A1895" i="1525"/>
  <c r="A1894" i="1525"/>
  <c r="A1893" i="1525"/>
  <c r="A1892" i="1525"/>
  <c r="A1891" i="1525"/>
  <c r="A1890" i="1525"/>
  <c r="A1889" i="1525"/>
  <c r="A1888" i="1525"/>
  <c r="A1887" i="1525"/>
  <c r="A1886" i="1525"/>
  <c r="A1885" i="1525"/>
  <c r="A1884" i="1525"/>
  <c r="A1883" i="1525"/>
  <c r="A1882" i="1525"/>
  <c r="A1881" i="1525"/>
  <c r="A1880" i="1525"/>
  <c r="A1879" i="1525"/>
  <c r="A1878" i="1525"/>
  <c r="A1877" i="1525"/>
  <c r="A1876" i="1525"/>
  <c r="A1875" i="1525"/>
  <c r="A1874" i="1525"/>
  <c r="A1873" i="1525"/>
  <c r="A1872" i="1525"/>
  <c r="A1871" i="1525"/>
  <c r="A1870" i="1525"/>
  <c r="A1869" i="1525"/>
  <c r="A1868" i="1525"/>
  <c r="A1867" i="1525"/>
  <c r="A1866" i="1525"/>
  <c r="A1865" i="1525"/>
  <c r="A1864" i="1525"/>
  <c r="A1863" i="1525"/>
  <c r="A1862" i="1525"/>
  <c r="A1861" i="1525"/>
  <c r="A1860" i="1525"/>
  <c r="A1859" i="1525"/>
  <c r="A1858" i="1525"/>
  <c r="A1857" i="1525"/>
  <c r="A1856" i="1525"/>
  <c r="A1855" i="1525"/>
  <c r="A1854" i="1525"/>
  <c r="A1853" i="1525"/>
  <c r="A1852" i="1525"/>
  <c r="A1851" i="1525"/>
  <c r="A1850" i="1525"/>
  <c r="A1849" i="1525"/>
  <c r="A1848" i="1525"/>
  <c r="A1847" i="1525"/>
  <c r="A1846" i="1525"/>
  <c r="A1845" i="1525"/>
  <c r="A1844" i="1525"/>
  <c r="A1843" i="1525"/>
  <c r="A1842" i="1525"/>
  <c r="A1841" i="1525"/>
  <c r="A1840" i="1525"/>
  <c r="A1839" i="1525"/>
  <c r="A1838" i="1525"/>
  <c r="A1837" i="1525"/>
  <c r="A1836" i="1525"/>
  <c r="A1835" i="1525"/>
  <c r="A1834" i="1525"/>
  <c r="A1833" i="1525"/>
  <c r="A1832" i="1525"/>
  <c r="A1831" i="1525"/>
  <c r="A1830" i="1525"/>
  <c r="A1829" i="1525"/>
  <c r="A1828" i="1525"/>
  <c r="A1827" i="1525"/>
  <c r="A1826" i="1525"/>
  <c r="A1825" i="1525"/>
  <c r="A1824" i="1525"/>
  <c r="A1823" i="1525"/>
  <c r="A1822" i="1525"/>
  <c r="A1821" i="1525"/>
  <c r="A1820" i="1525"/>
  <c r="A1819" i="1525"/>
  <c r="A1818" i="1525"/>
  <c r="A1817" i="1525"/>
  <c r="A1816" i="1525"/>
  <c r="A1815" i="1525"/>
  <c r="A1814" i="1525"/>
  <c r="A1813" i="1525"/>
  <c r="A1812" i="1525"/>
  <c r="A1811" i="1525"/>
  <c r="A1810" i="1525"/>
  <c r="A1809" i="1525"/>
  <c r="A1808" i="1525"/>
  <c r="A1807" i="1525"/>
  <c r="A1806" i="1525"/>
  <c r="A1805" i="1525"/>
  <c r="A1804" i="1525"/>
  <c r="A1803" i="1525"/>
  <c r="A1802" i="1525"/>
  <c r="A1801" i="1525"/>
  <c r="A1800" i="1525"/>
  <c r="A1799" i="1525"/>
  <c r="A1798" i="1525"/>
  <c r="A1797" i="1525"/>
  <c r="A1796" i="1525"/>
  <c r="A1795" i="1525"/>
  <c r="A1794" i="1525"/>
  <c r="A1793" i="1525"/>
  <c r="A1792" i="1525"/>
  <c r="A1791" i="1525"/>
  <c r="A1790" i="1525"/>
  <c r="A1789" i="1525"/>
  <c r="A1788" i="1525"/>
  <c r="A1787" i="1525"/>
  <c r="A1786" i="1525"/>
  <c r="A1785" i="1525"/>
  <c r="A1784" i="1525"/>
  <c r="A1783" i="1525"/>
  <c r="A1782" i="1525"/>
  <c r="A1781" i="1525"/>
  <c r="A1780" i="1525"/>
  <c r="A1779" i="1525"/>
  <c r="A1778" i="1525"/>
  <c r="A1777" i="1525"/>
  <c r="A1776" i="1525"/>
  <c r="A1775" i="1525"/>
  <c r="A1774" i="1525"/>
  <c r="A1773" i="1525"/>
  <c r="A1772" i="1525"/>
  <c r="A1771" i="1525"/>
  <c r="A1770" i="1525"/>
  <c r="A1769" i="1525"/>
  <c r="A1768" i="1525"/>
  <c r="A1767" i="1525"/>
  <c r="A1766" i="1525"/>
  <c r="A1765" i="1525"/>
  <c r="A1764" i="1525"/>
  <c r="A1763" i="1525"/>
  <c r="A1762" i="1525"/>
  <c r="A1761" i="1525"/>
  <c r="A1760" i="1525"/>
  <c r="A1759" i="1525"/>
  <c r="A1758" i="1525"/>
  <c r="A1757" i="1525"/>
  <c r="A1756" i="1525"/>
  <c r="A1755" i="1525"/>
  <c r="A1754" i="1525"/>
  <c r="A1753" i="1525"/>
  <c r="A1752" i="1525"/>
  <c r="A1751" i="1525"/>
  <c r="A1750" i="1525"/>
  <c r="A1749" i="1525"/>
  <c r="A1748" i="1525"/>
  <c r="A1747" i="1525"/>
  <c r="A1746" i="1525"/>
  <c r="A1745" i="1525"/>
  <c r="A1744" i="1525"/>
  <c r="A1743" i="1525"/>
  <c r="A1742" i="1525"/>
  <c r="A1741" i="1525"/>
  <c r="A1740" i="1525"/>
  <c r="A1739" i="1525"/>
  <c r="A1738" i="1525"/>
  <c r="A1737" i="1525"/>
  <c r="A1736" i="1525"/>
  <c r="A1735" i="1525"/>
  <c r="A1734" i="1525"/>
  <c r="A1733" i="1525"/>
  <c r="A1732" i="1525"/>
  <c r="A1731" i="1525"/>
  <c r="A1730" i="1525"/>
  <c r="A1729" i="1525"/>
  <c r="A1728" i="1525"/>
  <c r="A1727" i="1525"/>
  <c r="A1726" i="1525"/>
  <c r="A1725" i="1525"/>
  <c r="A1724" i="1525"/>
  <c r="A1723" i="1525"/>
  <c r="A1722" i="1525"/>
  <c r="A1721" i="1525"/>
  <c r="A1720" i="1525"/>
  <c r="A1719" i="1525"/>
  <c r="A1718" i="1525"/>
  <c r="A1717" i="1525"/>
  <c r="A1716" i="1525"/>
  <c r="A1715" i="1525"/>
  <c r="A1714" i="1525"/>
  <c r="A1713" i="1525"/>
  <c r="A1712" i="1525"/>
  <c r="A1711" i="1525"/>
  <c r="A1710" i="1525"/>
  <c r="A1709" i="1525"/>
  <c r="A1708" i="1525"/>
  <c r="A1707" i="1525"/>
  <c r="A1706" i="1525"/>
  <c r="A1705" i="1525"/>
  <c r="A1704" i="1525"/>
  <c r="A1703" i="1525"/>
  <c r="A1702" i="1525"/>
  <c r="A1701" i="1525"/>
  <c r="A1700" i="1525"/>
  <c r="A1699" i="1525"/>
  <c r="A1698" i="1525"/>
  <c r="A1697" i="1525"/>
  <c r="A1696" i="1525"/>
  <c r="A1695" i="1525"/>
  <c r="A1694" i="1525"/>
  <c r="A1693" i="1525"/>
  <c r="A1692" i="1525"/>
  <c r="A1691" i="1525"/>
  <c r="A1690" i="1525"/>
  <c r="A1689" i="1525"/>
  <c r="A1688" i="1525"/>
  <c r="A1687" i="1525"/>
  <c r="A1686" i="1525"/>
  <c r="A1685" i="1525"/>
  <c r="A1684" i="1525"/>
  <c r="A1683" i="1525"/>
  <c r="A1682" i="1525"/>
  <c r="A1681" i="1525"/>
  <c r="A1680" i="1525"/>
  <c r="A1679" i="1525"/>
  <c r="A1678" i="1525"/>
  <c r="A1677" i="1525"/>
  <c r="A1676" i="1525"/>
  <c r="A1675" i="1525"/>
  <c r="A1674" i="1525"/>
  <c r="A1673" i="1525"/>
  <c r="A1672" i="1525"/>
  <c r="A1671" i="1525"/>
  <c r="A1670" i="1525"/>
  <c r="A1669" i="1525"/>
  <c r="A1668" i="1525"/>
  <c r="A1667" i="1525"/>
  <c r="A1666" i="1525"/>
  <c r="A1665" i="1525"/>
  <c r="A1664" i="1525"/>
  <c r="A1663" i="1525"/>
  <c r="A1662" i="1525"/>
  <c r="A1661" i="1525"/>
  <c r="A1660" i="1525"/>
  <c r="A1659" i="1525"/>
  <c r="A1658" i="1525"/>
  <c r="A1657" i="1525"/>
  <c r="A1656" i="1525"/>
  <c r="A1655" i="1525"/>
  <c r="A1654" i="1525"/>
  <c r="A1653" i="1525"/>
  <c r="A1652" i="1525"/>
  <c r="A1651" i="1525"/>
  <c r="A1650" i="1525"/>
  <c r="A1649" i="1525"/>
  <c r="A1648" i="1525"/>
  <c r="A1647" i="1525"/>
  <c r="A1646" i="1525"/>
  <c r="A1645" i="1525"/>
  <c r="A1644" i="1525"/>
  <c r="A1643" i="1525"/>
  <c r="A1642" i="1525"/>
  <c r="A1641" i="1525"/>
  <c r="A1640" i="1525"/>
  <c r="A1639" i="1525"/>
  <c r="A1638" i="1525"/>
  <c r="A1637" i="1525"/>
  <c r="A1636" i="1525"/>
  <c r="A1635" i="1525"/>
  <c r="A1634" i="1525"/>
  <c r="A1633" i="1525"/>
  <c r="A1632" i="1525"/>
  <c r="A1631" i="1525"/>
  <c r="A1630" i="1525"/>
  <c r="A1629" i="1525"/>
  <c r="A1628" i="1525"/>
  <c r="A1627" i="1525"/>
  <c r="A1626" i="1525"/>
  <c r="A1625" i="1525"/>
  <c r="A1624" i="1525"/>
  <c r="A1623" i="1525"/>
  <c r="A1622" i="1525"/>
  <c r="A1621" i="1525"/>
  <c r="A1620" i="1525"/>
  <c r="A1619" i="1525"/>
  <c r="A1618" i="1525"/>
  <c r="A1617" i="1525"/>
  <c r="A1616" i="1525"/>
  <c r="A1615" i="1525"/>
  <c r="A1614" i="1525"/>
  <c r="A1613" i="1525"/>
  <c r="A1612" i="1525"/>
  <c r="A1611" i="1525"/>
  <c r="A1610" i="1525"/>
  <c r="A1609" i="1525"/>
  <c r="A1608" i="1525"/>
  <c r="A1607" i="1525"/>
  <c r="A1606" i="1525"/>
  <c r="A1605" i="1525"/>
  <c r="A1604" i="1525"/>
  <c r="A1603" i="1525"/>
  <c r="A1602" i="1525"/>
  <c r="A1601" i="1525"/>
  <c r="A1600" i="1525"/>
  <c r="A1599" i="1525"/>
  <c r="A1598" i="1525"/>
  <c r="A1597" i="1525"/>
  <c r="A1596" i="1525"/>
  <c r="A1595" i="1525"/>
  <c r="A1594" i="1525"/>
  <c r="A1593" i="1525"/>
  <c r="A1592" i="1525"/>
  <c r="A1591" i="1525"/>
  <c r="A1590" i="1525"/>
  <c r="A1589" i="1525"/>
  <c r="A1588" i="1525"/>
  <c r="A1587" i="1525"/>
  <c r="A1586" i="1525"/>
  <c r="A1585" i="1525"/>
  <c r="A1584" i="1525"/>
  <c r="A1583" i="1525"/>
  <c r="A1582" i="1525"/>
  <c r="A1581" i="1525"/>
  <c r="A1580" i="1525"/>
  <c r="A1579" i="1525"/>
  <c r="A1578" i="1525"/>
  <c r="A1577" i="1525"/>
  <c r="A1576" i="1525"/>
  <c r="A1575" i="1525"/>
  <c r="A1574" i="1525"/>
  <c r="A1573" i="1525"/>
  <c r="A1572" i="1525"/>
  <c r="A1571" i="1525"/>
  <c r="A1570" i="1525"/>
  <c r="A1569" i="1525"/>
  <c r="A1568" i="1525"/>
  <c r="A1567" i="1525"/>
  <c r="A1566" i="1525"/>
  <c r="A1565" i="1525"/>
  <c r="A1564" i="1525"/>
  <c r="A1563" i="1525"/>
  <c r="A1562" i="1525"/>
  <c r="A1561" i="1525"/>
  <c r="A1560" i="1525"/>
  <c r="A1559" i="1525"/>
  <c r="A1558" i="1525"/>
  <c r="A1557" i="1525"/>
  <c r="A1556" i="1525"/>
  <c r="A1555" i="1525"/>
  <c r="A1554" i="1525"/>
  <c r="A1553" i="1525"/>
  <c r="A1552" i="1525"/>
  <c r="A1551" i="1525"/>
  <c r="A1550" i="1525"/>
  <c r="A1549" i="1525"/>
  <c r="A1548" i="1525"/>
  <c r="A1547" i="1525"/>
  <c r="A1546" i="1525"/>
  <c r="A1545" i="1525"/>
  <c r="A1544" i="1525"/>
  <c r="A1543" i="1525"/>
  <c r="A1542" i="1525"/>
  <c r="A1541" i="1525"/>
  <c r="A1540" i="1525"/>
  <c r="A1539" i="1525"/>
  <c r="A1538" i="1525"/>
  <c r="A1537" i="1525"/>
  <c r="A1536" i="1525"/>
  <c r="A1535" i="1525"/>
  <c r="A1534" i="1525"/>
  <c r="A1533" i="1525"/>
  <c r="A1532" i="1525"/>
  <c r="A1531" i="1525"/>
  <c r="A1530" i="1525"/>
  <c r="A1529" i="1525"/>
  <c r="A1528" i="1525"/>
  <c r="A1527" i="1525"/>
  <c r="A1526" i="1525"/>
  <c r="A1525" i="1525"/>
  <c r="A1524" i="1525"/>
  <c r="A1523" i="1525"/>
  <c r="A1522" i="1525"/>
  <c r="A1521" i="1525"/>
  <c r="A1520" i="1525"/>
  <c r="A1519" i="1525"/>
  <c r="A1518" i="1525"/>
  <c r="A1517" i="1525"/>
  <c r="A1516" i="1525"/>
  <c r="A1515" i="1525"/>
  <c r="A1514" i="1525"/>
  <c r="A1513" i="1525"/>
  <c r="A1512" i="1525"/>
  <c r="A1511" i="1525"/>
  <c r="A1510" i="1525"/>
  <c r="A1509" i="1525"/>
  <c r="A1508" i="1525"/>
  <c r="A1507" i="1525"/>
  <c r="A1506" i="1525"/>
  <c r="A1505" i="1525"/>
  <c r="A1504" i="1525"/>
  <c r="A1503" i="1525"/>
  <c r="A1502" i="1525"/>
  <c r="A1501" i="1525"/>
  <c r="A1500" i="1525"/>
  <c r="A1499" i="1525"/>
  <c r="A1498" i="1525"/>
  <c r="A1497" i="1525"/>
  <c r="A1496" i="1525"/>
  <c r="A1495" i="1525"/>
  <c r="A1494" i="1525"/>
  <c r="A1493" i="1525"/>
  <c r="A1492" i="1525"/>
  <c r="A1491" i="1525"/>
  <c r="A1490" i="1525"/>
  <c r="A1489" i="1525"/>
  <c r="A1488" i="1525"/>
  <c r="A1487" i="1525"/>
  <c r="A1486" i="1525"/>
  <c r="A1485" i="1525"/>
  <c r="A1484" i="1525"/>
  <c r="A1483" i="1525"/>
  <c r="A1482" i="1525"/>
  <c r="A1481" i="1525"/>
  <c r="A1480" i="1525"/>
  <c r="A1479" i="1525"/>
  <c r="A1478" i="1525"/>
  <c r="A1477" i="1525"/>
  <c r="A1476" i="1525"/>
  <c r="A1475" i="1525"/>
  <c r="A1474" i="1525"/>
  <c r="A1473" i="1525"/>
  <c r="A1472" i="1525"/>
  <c r="A1471" i="1525"/>
  <c r="A1470" i="1525"/>
  <c r="A1469" i="1525"/>
  <c r="A1468" i="1525"/>
  <c r="A1467" i="1525"/>
  <c r="A1466" i="1525"/>
  <c r="A1465" i="1525"/>
  <c r="A1464" i="1525"/>
  <c r="A1463" i="1525"/>
  <c r="A1462" i="1525"/>
  <c r="A1461" i="1525"/>
  <c r="A1460" i="1525"/>
  <c r="A1459" i="1525"/>
  <c r="A1458" i="1525"/>
  <c r="A1457" i="1525"/>
  <c r="A1456" i="1525"/>
  <c r="A1455" i="1525"/>
  <c r="A1454" i="1525"/>
  <c r="A1453" i="1525"/>
  <c r="A1452" i="1525"/>
  <c r="A1451" i="1525"/>
  <c r="A1450" i="1525"/>
  <c r="A1449" i="1525"/>
  <c r="A1448" i="1525"/>
  <c r="A1447" i="1525"/>
  <c r="A1446" i="1525"/>
  <c r="A1445" i="1525"/>
  <c r="A1444" i="1525"/>
  <c r="A1443" i="1525"/>
  <c r="A1442" i="1525"/>
  <c r="A1441" i="1525"/>
  <c r="A1440" i="1525"/>
  <c r="A1439" i="1525"/>
  <c r="A1438" i="1525"/>
  <c r="A1437" i="1525"/>
  <c r="A1436" i="1525"/>
  <c r="A1435" i="1525"/>
  <c r="A1434" i="1525"/>
  <c r="A1433" i="1525"/>
  <c r="A1432" i="1525"/>
  <c r="A1431" i="1525"/>
  <c r="A1430" i="1525"/>
  <c r="A1429" i="1525"/>
  <c r="A1428" i="1525"/>
  <c r="A1427" i="1525"/>
  <c r="A1426" i="1525"/>
  <c r="A1425" i="1525"/>
  <c r="A1424" i="1525"/>
  <c r="A1423" i="1525"/>
  <c r="A1422" i="1525"/>
  <c r="A1421" i="1525"/>
  <c r="A1420" i="1525"/>
  <c r="A1419" i="1525"/>
  <c r="A1418" i="1525"/>
  <c r="A1417" i="1525"/>
  <c r="A1416" i="1525"/>
  <c r="A1415" i="1525"/>
  <c r="A1414" i="1525"/>
  <c r="A1413" i="1525"/>
  <c r="A1412" i="1525"/>
  <c r="A1411" i="1525"/>
  <c r="A1410" i="1525"/>
  <c r="A1409" i="1525"/>
  <c r="A1408" i="1525"/>
  <c r="A1407" i="1525"/>
  <c r="A1406" i="1525"/>
  <c r="A1405" i="1525"/>
  <c r="A1404" i="1525"/>
  <c r="A1403" i="1525"/>
  <c r="A1402" i="1525"/>
  <c r="A1401" i="1525"/>
  <c r="A1400" i="1525"/>
  <c r="A1399" i="1525"/>
  <c r="A1398" i="1525"/>
  <c r="A1397" i="1525"/>
  <c r="A1396" i="1525"/>
  <c r="A1395" i="1525"/>
  <c r="A1394" i="1525"/>
  <c r="A1393" i="1525"/>
  <c r="A1392" i="1525"/>
  <c r="A1391" i="1525"/>
  <c r="A1390" i="1525"/>
  <c r="A1389" i="1525"/>
  <c r="A1388" i="1525"/>
  <c r="A1387" i="1525"/>
  <c r="A1386" i="1525"/>
  <c r="A1385" i="1525"/>
  <c r="A1384" i="1525"/>
  <c r="A1383" i="1525"/>
  <c r="A1382" i="1525"/>
  <c r="A1381" i="1525"/>
  <c r="A1380" i="1525"/>
  <c r="A1379" i="1525"/>
  <c r="A1378" i="1525"/>
  <c r="A1377" i="1525"/>
  <c r="A1376" i="1525"/>
  <c r="A1375" i="1525"/>
  <c r="A1374" i="1525"/>
  <c r="A1373" i="1525"/>
  <c r="A1372" i="1525"/>
  <c r="A1371" i="1525"/>
  <c r="A1370" i="1525"/>
  <c r="A1369" i="1525"/>
  <c r="A1368" i="1525"/>
  <c r="A1367" i="1525"/>
  <c r="A1366" i="1525"/>
  <c r="A1365" i="1525"/>
  <c r="A1364" i="1525"/>
  <c r="A1363" i="1525"/>
  <c r="A1362" i="1525"/>
  <c r="A1361" i="1525"/>
  <c r="A1360" i="1525"/>
  <c r="A1359" i="1525"/>
  <c r="A1358" i="1525"/>
  <c r="A1357" i="1525"/>
  <c r="A1356" i="1525"/>
  <c r="A1355" i="1525"/>
  <c r="A1354" i="1525"/>
  <c r="A1353" i="1525"/>
  <c r="A1352" i="1525"/>
  <c r="A1351" i="1525"/>
  <c r="A1350" i="1525"/>
  <c r="A1349" i="1525"/>
  <c r="A1348" i="1525"/>
  <c r="A1347" i="1525"/>
  <c r="A1346" i="1525"/>
  <c r="A1345" i="1525"/>
  <c r="A1344" i="1525"/>
  <c r="A1343" i="1525"/>
  <c r="A1342" i="1525"/>
  <c r="A1341" i="1525"/>
  <c r="A1340" i="1525"/>
  <c r="A1339" i="1525"/>
  <c r="A1338" i="1525"/>
  <c r="A1337" i="1525"/>
  <c r="A1336" i="1525"/>
  <c r="A1335" i="1525"/>
  <c r="A1334" i="1525"/>
  <c r="A1333" i="1525"/>
  <c r="A1332" i="1525"/>
  <c r="A1331" i="1525"/>
  <c r="A1330" i="1525"/>
  <c r="A1329" i="1525"/>
  <c r="A1328" i="1525"/>
  <c r="A1327" i="1525"/>
  <c r="A1326" i="1525"/>
  <c r="A1325" i="1525"/>
  <c r="A1324" i="1525"/>
  <c r="A1323" i="1525"/>
  <c r="A1322" i="1525"/>
  <c r="A1321" i="1525"/>
  <c r="A1320" i="1525"/>
  <c r="A1319" i="1525"/>
  <c r="A1318" i="1525"/>
  <c r="A1317" i="1525"/>
  <c r="A1316" i="1525"/>
  <c r="A1315" i="1525"/>
  <c r="A1314" i="1525"/>
  <c r="A1313" i="1525"/>
  <c r="A1312" i="1525"/>
  <c r="A1311" i="1525"/>
  <c r="A1310" i="1525"/>
  <c r="A1309" i="1525"/>
  <c r="A1308" i="1525"/>
  <c r="A1307" i="1525"/>
  <c r="A1306" i="1525"/>
  <c r="A1305" i="1525"/>
  <c r="A1304" i="1525"/>
  <c r="A1303" i="1525"/>
  <c r="A1302" i="1525"/>
  <c r="A1301" i="1525"/>
  <c r="A1300" i="1525"/>
  <c r="A1299" i="1525"/>
  <c r="A1298" i="1525"/>
  <c r="A1297" i="1525"/>
  <c r="A1296" i="1525"/>
  <c r="A1295" i="1525"/>
  <c r="A1294" i="1525"/>
  <c r="A1293" i="1525"/>
  <c r="A1292" i="1525"/>
  <c r="A1291" i="1525"/>
  <c r="A1290" i="1525"/>
  <c r="A1289" i="1525"/>
  <c r="A1288" i="1525"/>
  <c r="A1287" i="1525"/>
  <c r="A1286" i="1525"/>
  <c r="A1285" i="1525"/>
  <c r="A1284" i="1525"/>
  <c r="A1283" i="1525"/>
  <c r="A1282" i="1525"/>
  <c r="A1281" i="1525"/>
  <c r="A1280" i="1525"/>
  <c r="A1279" i="1525"/>
  <c r="A1278" i="1525"/>
  <c r="A1277" i="1525"/>
  <c r="A1276" i="1525"/>
  <c r="A1275" i="1525"/>
  <c r="A1274" i="1525"/>
  <c r="A1273" i="1525"/>
  <c r="A1272" i="1525"/>
  <c r="A1271" i="1525"/>
  <c r="A1270" i="1525"/>
  <c r="A1269" i="1525"/>
  <c r="A1268" i="1525"/>
  <c r="A1267" i="1525"/>
  <c r="A1266" i="1525"/>
  <c r="A1265" i="1525"/>
  <c r="A1264" i="1525"/>
  <c r="A1263" i="1525"/>
  <c r="A1262" i="1525"/>
  <c r="A1261" i="1525"/>
  <c r="A1260" i="1525"/>
  <c r="A1259" i="1525"/>
  <c r="A1258" i="1525"/>
  <c r="A1257" i="1525"/>
  <c r="A1256" i="1525"/>
  <c r="A1255" i="1525"/>
  <c r="A1254" i="1525"/>
  <c r="A1253" i="1525"/>
  <c r="A1252" i="1525"/>
  <c r="A1251" i="1525"/>
  <c r="A1250" i="1525"/>
  <c r="A1249" i="1525"/>
  <c r="A1248" i="1525"/>
  <c r="A1247" i="1525"/>
  <c r="A1246" i="1525"/>
  <c r="A1245" i="1525"/>
  <c r="A1244" i="1525"/>
  <c r="A1243" i="1525"/>
  <c r="A1242" i="1525"/>
  <c r="A1241" i="1525"/>
  <c r="A1240" i="1525"/>
  <c r="A1239" i="1525"/>
  <c r="A1238" i="1525"/>
  <c r="A1237" i="1525"/>
  <c r="A1236" i="1525"/>
  <c r="A1235" i="1525"/>
  <c r="A1234" i="1525"/>
  <c r="A1233" i="1525"/>
  <c r="A1232" i="1525"/>
  <c r="A1231" i="1525"/>
  <c r="A1230" i="1525"/>
  <c r="A1229" i="1525"/>
  <c r="A1228" i="1525"/>
  <c r="A1227" i="1525"/>
  <c r="A1226" i="1525"/>
  <c r="A1225" i="1525"/>
  <c r="A1224" i="1525"/>
  <c r="A1223" i="1525"/>
  <c r="A1222" i="1525"/>
  <c r="A1221" i="1525"/>
  <c r="A1220" i="1525"/>
  <c r="A1219" i="1525"/>
  <c r="A1218" i="1525"/>
  <c r="A1217" i="1525"/>
  <c r="A1216" i="1525"/>
  <c r="A1215" i="1525"/>
  <c r="A1214" i="1525"/>
  <c r="A1213" i="1525"/>
  <c r="A1212" i="1525"/>
  <c r="A1211" i="1525"/>
  <c r="A1210" i="1525"/>
  <c r="A1209" i="1525"/>
  <c r="A1208" i="1525"/>
  <c r="A1207" i="1525"/>
  <c r="A1206" i="1525"/>
  <c r="A1205" i="1525"/>
  <c r="A1204" i="1525"/>
  <c r="A1203" i="1525"/>
  <c r="A1202" i="1525"/>
  <c r="A1201" i="1525"/>
  <c r="A1200" i="1525"/>
  <c r="A1199" i="1525"/>
  <c r="A1198" i="1525"/>
  <c r="A1197" i="1525"/>
  <c r="A1196" i="1525"/>
  <c r="A1195" i="1525"/>
  <c r="A1194" i="1525"/>
  <c r="A1193" i="1525"/>
  <c r="A1192" i="1525"/>
  <c r="A1191" i="1525"/>
  <c r="A1190" i="1525"/>
  <c r="A1189" i="1525"/>
  <c r="A1188" i="1525"/>
  <c r="A1187" i="1525"/>
  <c r="A1186" i="1525"/>
  <c r="A1185" i="1525"/>
  <c r="A1184" i="1525"/>
  <c r="A1183" i="1525"/>
  <c r="A1182" i="1525"/>
  <c r="A1181" i="1525"/>
  <c r="A1180" i="1525"/>
  <c r="A1179" i="1525"/>
  <c r="A1178" i="1525"/>
  <c r="A1177" i="1525"/>
  <c r="A1176" i="1525"/>
  <c r="A1175" i="1525"/>
  <c r="A1174" i="1525"/>
  <c r="A1173" i="1525"/>
  <c r="A1172" i="1525"/>
  <c r="A1171" i="1525"/>
  <c r="A1170" i="1525"/>
  <c r="A1169" i="1525"/>
  <c r="A1168" i="1525"/>
  <c r="A1167" i="1525"/>
  <c r="A1166" i="1525"/>
  <c r="A1165" i="1525"/>
  <c r="A1164" i="1525"/>
  <c r="A1163" i="1525"/>
  <c r="A1162" i="1525"/>
  <c r="A1161" i="1525"/>
  <c r="A1160" i="1525"/>
  <c r="A1159" i="1525"/>
  <c r="A1158" i="1525"/>
  <c r="A1157" i="1525"/>
  <c r="A1156" i="1525"/>
  <c r="A1155" i="1525"/>
  <c r="A1154" i="1525"/>
  <c r="A1153" i="1525"/>
  <c r="A1152" i="1525"/>
  <c r="A1151" i="1525"/>
  <c r="A1150" i="1525"/>
  <c r="A1149" i="1525"/>
  <c r="A1148" i="1525"/>
  <c r="A1147" i="1525"/>
  <c r="A1146" i="1525"/>
  <c r="A1145" i="1525"/>
  <c r="A1144" i="1525"/>
  <c r="A1143" i="1525"/>
  <c r="A1142" i="1525"/>
  <c r="A1141" i="1525"/>
  <c r="A1140" i="1525"/>
  <c r="A1139" i="1525"/>
  <c r="A1138" i="1525"/>
  <c r="A1137" i="1525"/>
  <c r="A1136" i="1525"/>
  <c r="A1135" i="1525"/>
  <c r="A1134" i="1525"/>
  <c r="A1133" i="1525"/>
  <c r="A1132" i="1525"/>
  <c r="A1131" i="1525"/>
  <c r="A1130" i="1525"/>
  <c r="A1129" i="1525"/>
  <c r="A1128" i="1525"/>
  <c r="A1127" i="1525"/>
  <c r="A1126" i="1525"/>
  <c r="A1125" i="1525"/>
  <c r="A1124" i="1525"/>
  <c r="A1123" i="1525"/>
  <c r="A1122" i="1525"/>
  <c r="A1121" i="1525"/>
  <c r="A1120" i="1525"/>
  <c r="A1119" i="1525"/>
  <c r="A1118" i="1525"/>
  <c r="A1117" i="1525"/>
  <c r="A1116" i="1525"/>
  <c r="A1115" i="1525"/>
  <c r="A1114" i="1525"/>
  <c r="A1113" i="1525"/>
  <c r="A1112" i="1525"/>
  <c r="A1111" i="1525"/>
  <c r="A1110" i="1525"/>
  <c r="A1109" i="1525"/>
  <c r="A1108" i="1525"/>
  <c r="A1107" i="1525"/>
  <c r="A1106" i="1525"/>
  <c r="A1105" i="1525"/>
  <c r="A1104" i="1525"/>
  <c r="A1103" i="1525"/>
  <c r="A1102" i="1525"/>
  <c r="A1101" i="1525"/>
  <c r="A1100" i="1525"/>
  <c r="A1099" i="1525"/>
  <c r="A1098" i="1525"/>
  <c r="A1097" i="1525"/>
  <c r="A1096" i="1525"/>
  <c r="A1095" i="1525"/>
  <c r="A1094" i="1525"/>
  <c r="A1093" i="1525"/>
  <c r="A1092" i="1525"/>
  <c r="A1091" i="1525"/>
  <c r="A1090" i="1525"/>
  <c r="A1089" i="1525"/>
  <c r="A1088" i="1525"/>
  <c r="A1087" i="1525"/>
  <c r="A1086" i="1525"/>
  <c r="A1085" i="1525"/>
  <c r="A1084" i="1525"/>
  <c r="A1083" i="1525"/>
  <c r="A1082" i="1525"/>
  <c r="A1081" i="1525"/>
  <c r="A1080" i="1525"/>
  <c r="A1079" i="1525"/>
  <c r="A1078" i="1525"/>
  <c r="A1077" i="1525"/>
  <c r="A1076" i="1525"/>
  <c r="A1075" i="1525"/>
  <c r="A1074" i="1525"/>
  <c r="A1073" i="1525"/>
  <c r="A1072" i="1525"/>
  <c r="A1071" i="1525"/>
  <c r="A1070" i="1525"/>
  <c r="A1069" i="1525"/>
  <c r="A1068" i="1525"/>
  <c r="A1067" i="1525"/>
  <c r="A1066" i="1525"/>
  <c r="A1065" i="1525"/>
  <c r="A1064" i="1525"/>
  <c r="A1063" i="1525"/>
  <c r="A1062" i="1525"/>
  <c r="A1061" i="1525"/>
  <c r="A1060" i="1525"/>
  <c r="A1059" i="1525"/>
  <c r="A1058" i="1525"/>
  <c r="A1057" i="1525"/>
  <c r="A1056" i="1525"/>
  <c r="A1055" i="1525"/>
  <c r="A1054" i="1525"/>
  <c r="A1053" i="1525"/>
  <c r="A1052" i="1525"/>
  <c r="A1051" i="1525"/>
  <c r="A1050" i="1525"/>
  <c r="A1049" i="1525"/>
  <c r="A1048" i="1525"/>
  <c r="A1047" i="1525"/>
  <c r="A1046" i="1525"/>
  <c r="A1045" i="1525"/>
  <c r="A1044" i="1525"/>
  <c r="A1043" i="1525"/>
  <c r="A1042" i="1525"/>
  <c r="A1041" i="1525"/>
  <c r="A1040" i="1525"/>
  <c r="A1039" i="1525"/>
  <c r="A1038" i="1525"/>
  <c r="A1037" i="1525"/>
  <c r="A1036" i="1525"/>
  <c r="A1035" i="1525"/>
  <c r="A1034" i="1525"/>
  <c r="A1033" i="1525"/>
  <c r="A1032" i="1525"/>
  <c r="A1031" i="1525"/>
  <c r="A1030" i="1525"/>
  <c r="A1029" i="1525"/>
  <c r="A1028" i="1525"/>
  <c r="A1027" i="1525"/>
  <c r="A1026" i="1525"/>
  <c r="A1025" i="1525"/>
  <c r="A1024" i="1525"/>
  <c r="A1023" i="1525"/>
  <c r="A1022" i="1525"/>
  <c r="A1021" i="1525"/>
  <c r="A1020" i="1525"/>
  <c r="A1019" i="1525"/>
  <c r="A1018" i="1525"/>
  <c r="A1017" i="1525"/>
  <c r="A1016" i="1525"/>
  <c r="A1015" i="1525"/>
  <c r="A1014" i="1525"/>
  <c r="A1013" i="1525"/>
  <c r="A1012" i="1525"/>
  <c r="A1011" i="1525"/>
  <c r="A1010" i="1525"/>
  <c r="A1009" i="1525"/>
  <c r="A1008" i="1525"/>
  <c r="A1007" i="1525"/>
  <c r="A1006" i="1525"/>
  <c r="A1005" i="1525"/>
  <c r="A1004" i="1525"/>
  <c r="A1003" i="1525"/>
  <c r="A1002" i="1525"/>
  <c r="A1001" i="1525"/>
  <c r="A1000" i="1525"/>
  <c r="A999" i="1525"/>
  <c r="A998" i="1525"/>
  <c r="A997" i="1525"/>
  <c r="A996" i="1525"/>
  <c r="A995" i="1525"/>
  <c r="A994" i="1525"/>
  <c r="A993" i="1525"/>
  <c r="A992" i="1525"/>
  <c r="A991" i="1525"/>
  <c r="A990" i="1525"/>
  <c r="A989" i="1525"/>
  <c r="A988" i="1525"/>
  <c r="A987" i="1525"/>
  <c r="A986" i="1525"/>
  <c r="A985" i="1525"/>
  <c r="A984" i="1525"/>
  <c r="A983" i="1525"/>
  <c r="A982" i="1525"/>
  <c r="A981" i="1525"/>
  <c r="A980" i="1525"/>
  <c r="A979" i="1525"/>
  <c r="A978" i="1525"/>
  <c r="A977" i="1525"/>
  <c r="A976" i="1525"/>
  <c r="A975" i="1525"/>
  <c r="A974" i="1525"/>
  <c r="A973" i="1525"/>
  <c r="A972" i="1525"/>
  <c r="A971" i="1525"/>
  <c r="A970" i="1525"/>
  <c r="A969" i="1525"/>
  <c r="A968" i="1525"/>
  <c r="A967" i="1525"/>
  <c r="A966" i="1525"/>
  <c r="A965" i="1525"/>
  <c r="A964" i="1525"/>
  <c r="A963" i="1525"/>
  <c r="A962" i="1525"/>
  <c r="A961" i="1525"/>
  <c r="A960" i="1525"/>
  <c r="A959" i="1525"/>
  <c r="A958" i="1525"/>
  <c r="A957" i="1525"/>
  <c r="A956" i="1525"/>
  <c r="A955" i="1525"/>
  <c r="A954" i="1525"/>
  <c r="A953" i="1525"/>
  <c r="A952" i="1525"/>
  <c r="A951" i="1525"/>
  <c r="A950" i="1525"/>
  <c r="A949" i="1525"/>
  <c r="A948" i="1525"/>
  <c r="A947" i="1525"/>
  <c r="A946" i="1525"/>
  <c r="A945" i="1525"/>
  <c r="A944" i="1525"/>
  <c r="A943" i="1525"/>
  <c r="A942" i="1525"/>
  <c r="A941" i="1525"/>
  <c r="A940" i="1525"/>
  <c r="A939" i="1525"/>
  <c r="A938" i="1525"/>
  <c r="A937" i="1525"/>
  <c r="A936" i="1525"/>
  <c r="A935" i="1525"/>
  <c r="A934" i="1525"/>
  <c r="A933" i="1525"/>
  <c r="A932" i="1525"/>
  <c r="A931" i="1525"/>
  <c r="A930" i="1525"/>
  <c r="A929" i="1525"/>
  <c r="A928" i="1525"/>
  <c r="A927" i="1525"/>
  <c r="A926" i="1525"/>
  <c r="A925" i="1525"/>
  <c r="A924" i="1525"/>
  <c r="A923" i="1525"/>
  <c r="A922" i="1525"/>
  <c r="A921" i="1525"/>
  <c r="A920" i="1525"/>
  <c r="A919" i="1525"/>
  <c r="A918" i="1525"/>
  <c r="A917" i="1525"/>
  <c r="A916" i="1525"/>
  <c r="A915" i="1525"/>
  <c r="A914" i="1525"/>
  <c r="A913" i="1525"/>
  <c r="A912" i="1525"/>
  <c r="A911" i="1525"/>
  <c r="A910" i="1525"/>
  <c r="A909" i="1525"/>
  <c r="A908" i="1525"/>
  <c r="A907" i="1525"/>
  <c r="A906" i="1525"/>
  <c r="A905" i="1525"/>
  <c r="A904" i="1525"/>
  <c r="A903" i="1525"/>
  <c r="A902" i="1525"/>
  <c r="A901" i="1525"/>
  <c r="A900" i="1525"/>
  <c r="A899" i="1525"/>
  <c r="A898" i="1525"/>
  <c r="A897" i="1525"/>
  <c r="A896" i="1525"/>
  <c r="A895" i="1525"/>
  <c r="A894" i="1525"/>
  <c r="A893" i="1525"/>
  <c r="A892" i="1525"/>
  <c r="A891" i="1525"/>
  <c r="A890" i="1525"/>
  <c r="A889" i="1525"/>
  <c r="A888" i="1525"/>
  <c r="A887" i="1525"/>
  <c r="A886" i="1525"/>
  <c r="A885" i="1525"/>
  <c r="A884" i="1525"/>
  <c r="A883" i="1525"/>
  <c r="A882" i="1525"/>
  <c r="A881" i="1525"/>
  <c r="A880" i="1525"/>
  <c r="A879" i="1525"/>
  <c r="A878" i="1525"/>
  <c r="A877" i="1525"/>
  <c r="A876" i="1525"/>
  <c r="A875" i="1525"/>
  <c r="A874" i="1525"/>
  <c r="A873" i="1525"/>
  <c r="A872" i="1525"/>
  <c r="A871" i="1525"/>
  <c r="A870" i="1525"/>
  <c r="A869" i="1525"/>
  <c r="A868" i="1525"/>
  <c r="A867" i="1525"/>
  <c r="A866" i="1525"/>
  <c r="A865" i="1525"/>
  <c r="A864" i="1525"/>
  <c r="A863" i="1525"/>
  <c r="A862" i="1525"/>
  <c r="A861" i="1525"/>
  <c r="A860" i="1525"/>
  <c r="A859" i="1525"/>
  <c r="A858" i="1525"/>
  <c r="A857" i="1525"/>
  <c r="A856" i="1525"/>
  <c r="A855" i="1525"/>
  <c r="A854" i="1525"/>
  <c r="A853" i="1525"/>
  <c r="A852" i="1525"/>
  <c r="A851" i="1525"/>
  <c r="A850" i="1525"/>
  <c r="A849" i="1525"/>
  <c r="A848" i="1525"/>
  <c r="A847" i="1525"/>
  <c r="A846" i="1525"/>
  <c r="A845" i="1525"/>
  <c r="A844" i="1525"/>
  <c r="A843" i="1525"/>
  <c r="A842" i="1525"/>
  <c r="A841" i="1525"/>
  <c r="A840" i="1525"/>
  <c r="A839" i="1525"/>
  <c r="A838" i="1525"/>
  <c r="A837" i="1525"/>
  <c r="A836" i="1525"/>
  <c r="A835" i="1525"/>
  <c r="A834" i="1525"/>
  <c r="A833" i="1525"/>
  <c r="A832" i="1525"/>
  <c r="A831" i="1525"/>
  <c r="A830" i="1525"/>
  <c r="A829" i="1525"/>
  <c r="A828" i="1525"/>
  <c r="A827" i="1525"/>
  <c r="A826" i="1525"/>
  <c r="A825" i="1525"/>
  <c r="A824" i="1525"/>
  <c r="A823" i="1525"/>
  <c r="A822" i="1525"/>
  <c r="A821" i="1525"/>
  <c r="A820" i="1525"/>
  <c r="A819" i="1525"/>
  <c r="A818" i="1525"/>
  <c r="A817" i="1525"/>
  <c r="A816" i="1525"/>
  <c r="A815" i="1525"/>
  <c r="A814" i="1525"/>
  <c r="A813" i="1525"/>
  <c r="A812" i="1525"/>
  <c r="A811" i="1525"/>
  <c r="A810" i="1525"/>
  <c r="A809" i="1525"/>
  <c r="A808" i="1525"/>
  <c r="A807" i="1525"/>
  <c r="A806" i="1525"/>
  <c r="A805" i="1525"/>
  <c r="A804" i="1525"/>
  <c r="A803" i="1525"/>
  <c r="A802" i="1525"/>
  <c r="A801" i="1525"/>
  <c r="A800" i="1525"/>
  <c r="A799" i="1525"/>
  <c r="A798" i="1525"/>
  <c r="A797" i="1525"/>
  <c r="A796" i="1525"/>
  <c r="A795" i="1525"/>
  <c r="A794" i="1525"/>
  <c r="A793" i="1525"/>
  <c r="A792" i="1525"/>
  <c r="A791" i="1525"/>
  <c r="A790" i="1525"/>
  <c r="A789" i="1525"/>
  <c r="A788" i="1525"/>
  <c r="A787" i="1525"/>
  <c r="A786" i="1525"/>
  <c r="A785" i="1525"/>
  <c r="A784" i="1525"/>
  <c r="A783" i="1525"/>
  <c r="A782" i="1525"/>
  <c r="A781" i="1525"/>
  <c r="A780" i="1525"/>
  <c r="A779" i="1525"/>
  <c r="A778" i="1525"/>
  <c r="A777" i="1525"/>
  <c r="A776" i="1525"/>
  <c r="A775" i="1525"/>
  <c r="A774" i="1525"/>
  <c r="A773" i="1525"/>
  <c r="A772" i="1525"/>
  <c r="A771" i="1525"/>
  <c r="A770" i="1525"/>
  <c r="A769" i="1525"/>
  <c r="A768" i="1525"/>
  <c r="A767" i="1525"/>
  <c r="A766" i="1525"/>
  <c r="A765" i="1525"/>
  <c r="A764" i="1525"/>
  <c r="A763" i="1525"/>
  <c r="A762" i="1525"/>
  <c r="A761" i="1525"/>
  <c r="A760" i="1525"/>
  <c r="A759" i="1525"/>
  <c r="A758" i="1525"/>
  <c r="A757" i="1525"/>
  <c r="A756" i="1525"/>
  <c r="A755" i="1525"/>
  <c r="A754" i="1525"/>
  <c r="A753" i="1525"/>
  <c r="A752" i="1525"/>
  <c r="A751" i="1525"/>
  <c r="A750" i="1525"/>
  <c r="A749" i="1525"/>
  <c r="A748" i="1525"/>
  <c r="A747" i="1525"/>
  <c r="A746" i="1525"/>
  <c r="A745" i="1525"/>
  <c r="A744" i="1525"/>
  <c r="A743" i="1525"/>
  <c r="A742" i="1525"/>
  <c r="A741" i="1525"/>
  <c r="A740" i="1525"/>
  <c r="A739" i="1525"/>
  <c r="A738" i="1525"/>
  <c r="A737" i="1525"/>
  <c r="A736" i="1525"/>
  <c r="A735" i="1525"/>
  <c r="A734" i="1525"/>
  <c r="A733" i="1525"/>
  <c r="A732" i="1525"/>
  <c r="A731" i="1525"/>
  <c r="A730" i="1525"/>
  <c r="A729" i="1525"/>
  <c r="A728" i="1525"/>
  <c r="A727" i="1525"/>
  <c r="A726" i="1525"/>
  <c r="A725" i="1525"/>
  <c r="A724" i="1525"/>
  <c r="A723" i="1525"/>
  <c r="A722" i="1525"/>
  <c r="A721" i="1525"/>
  <c r="A720" i="1525"/>
  <c r="A719" i="1525"/>
  <c r="A718" i="1525"/>
  <c r="A717" i="1525"/>
  <c r="A716" i="1525"/>
  <c r="A715" i="1525"/>
  <c r="A714" i="1525"/>
  <c r="A713" i="1525"/>
  <c r="A712" i="1525"/>
  <c r="A711" i="1525"/>
  <c r="A710" i="1525"/>
  <c r="A709" i="1525"/>
  <c r="A708" i="1525"/>
  <c r="A707" i="1525"/>
  <c r="A706" i="1525"/>
  <c r="A705" i="1525"/>
  <c r="A704" i="1525"/>
  <c r="A703" i="1525"/>
  <c r="A702" i="1525"/>
  <c r="A701" i="1525"/>
  <c r="A700" i="1525"/>
  <c r="A699" i="1525"/>
  <c r="A698" i="1525"/>
  <c r="A697" i="1525"/>
  <c r="A696" i="1525"/>
  <c r="A695" i="1525"/>
  <c r="A694" i="1525"/>
  <c r="A693" i="1525"/>
  <c r="A692" i="1525"/>
  <c r="A691" i="1525"/>
  <c r="A690" i="1525"/>
  <c r="A689" i="1525"/>
  <c r="A688" i="1525"/>
  <c r="A687" i="1525"/>
  <c r="A686" i="1525"/>
  <c r="A685" i="1525"/>
  <c r="A684" i="1525"/>
  <c r="A683" i="1525"/>
  <c r="A682" i="1525"/>
  <c r="A681" i="1525"/>
  <c r="A680" i="1525"/>
  <c r="A679" i="1525"/>
  <c r="A678" i="1525"/>
  <c r="A677" i="1525"/>
  <c r="A676" i="1525"/>
  <c r="A675" i="1525"/>
  <c r="A674" i="1525"/>
  <c r="A673" i="1525"/>
  <c r="A672" i="1525"/>
  <c r="A671" i="1525"/>
  <c r="A670" i="1525"/>
  <c r="A669" i="1525"/>
  <c r="A668" i="1525"/>
  <c r="A667" i="1525"/>
  <c r="A666" i="1525"/>
  <c r="A665" i="1525"/>
  <c r="A664" i="1525"/>
  <c r="A663" i="1525"/>
  <c r="A662" i="1525"/>
  <c r="A661" i="1525"/>
  <c r="A660" i="1525"/>
  <c r="A659" i="1525"/>
  <c r="A658" i="1525"/>
  <c r="A657" i="1525"/>
  <c r="A656" i="1525"/>
  <c r="A655" i="1525"/>
  <c r="A654" i="1525"/>
  <c r="A653" i="1525"/>
  <c r="A652" i="1525"/>
  <c r="A651" i="1525"/>
  <c r="A650" i="1525"/>
  <c r="A649" i="1525"/>
  <c r="A648" i="1525"/>
  <c r="A647" i="1525"/>
  <c r="A646" i="1525"/>
  <c r="A645" i="1525"/>
  <c r="A644" i="1525"/>
  <c r="A643" i="1525"/>
  <c r="A642" i="1525"/>
  <c r="A641" i="1525"/>
  <c r="A640" i="1525"/>
  <c r="A639" i="1525"/>
  <c r="A638" i="1525"/>
  <c r="A637" i="1525"/>
  <c r="A636" i="1525"/>
  <c r="A635" i="1525"/>
  <c r="A634" i="1525"/>
  <c r="A633" i="1525"/>
  <c r="A632" i="1525"/>
  <c r="A631" i="1525"/>
  <c r="A630" i="1525"/>
  <c r="A629" i="1525"/>
  <c r="A628" i="1525"/>
  <c r="A627" i="1525"/>
  <c r="A626" i="1525"/>
  <c r="A625" i="1525"/>
  <c r="A624" i="1525"/>
  <c r="A623" i="1525"/>
  <c r="A622" i="1525"/>
  <c r="A621" i="1525"/>
  <c r="A620" i="1525"/>
  <c r="A619" i="1525"/>
  <c r="A618" i="1525"/>
  <c r="A617" i="1525"/>
  <c r="A616" i="1525"/>
  <c r="A615" i="1525"/>
  <c r="A614" i="1525"/>
  <c r="A613" i="1525"/>
  <c r="A612" i="1525"/>
  <c r="A611" i="1525"/>
  <c r="A610" i="1525"/>
  <c r="A609" i="1525"/>
  <c r="A608" i="1525"/>
  <c r="A607" i="1525"/>
  <c r="A606" i="1525"/>
  <c r="A605" i="1525"/>
  <c r="A604" i="1525"/>
  <c r="A603" i="1525"/>
  <c r="A602" i="1525"/>
  <c r="A601" i="1525"/>
  <c r="A600" i="1525"/>
  <c r="A599" i="1525"/>
  <c r="A598" i="1525"/>
  <c r="A597" i="1525"/>
  <c r="A596" i="1525"/>
  <c r="A595" i="1525"/>
  <c r="A594" i="1525"/>
  <c r="A593" i="1525"/>
  <c r="A592" i="1525"/>
  <c r="A591" i="1525"/>
  <c r="A590" i="1525"/>
  <c r="A589" i="1525"/>
  <c r="A588" i="1525"/>
  <c r="A587" i="1525"/>
  <c r="A586" i="1525"/>
  <c r="A585" i="1525"/>
  <c r="A584" i="1525"/>
  <c r="A583" i="1525"/>
  <c r="A582" i="1525"/>
  <c r="A581" i="1525"/>
  <c r="A580" i="1525"/>
  <c r="A579" i="1525"/>
  <c r="A578" i="1525"/>
  <c r="A577" i="1525"/>
  <c r="A576" i="1525"/>
  <c r="A575" i="1525"/>
  <c r="A574" i="1525"/>
  <c r="A573" i="1525"/>
  <c r="A572" i="1525"/>
  <c r="A571" i="1525"/>
  <c r="A570" i="1525"/>
  <c r="A569" i="1525"/>
  <c r="A568" i="1525"/>
  <c r="A567" i="1525"/>
  <c r="A566" i="1525"/>
  <c r="A565" i="1525"/>
  <c r="A564" i="1525"/>
  <c r="A563" i="1525"/>
  <c r="A562" i="1525"/>
  <c r="A561" i="1525"/>
  <c r="A560" i="1525"/>
  <c r="A559" i="1525"/>
  <c r="A558" i="1525"/>
  <c r="A557" i="1525"/>
  <c r="A556" i="1525"/>
  <c r="A555" i="1525"/>
  <c r="A554" i="1525"/>
  <c r="A553" i="1525"/>
  <c r="A552" i="1525"/>
  <c r="A551" i="1525"/>
  <c r="A550" i="1525"/>
  <c r="A549" i="1525"/>
  <c r="A548" i="1525"/>
  <c r="A547" i="1525"/>
  <c r="A546" i="1525"/>
  <c r="A545" i="1525"/>
  <c r="A544" i="1525"/>
  <c r="A543" i="1525"/>
  <c r="A542" i="1525"/>
  <c r="A541" i="1525"/>
  <c r="A540" i="1525"/>
  <c r="A539" i="1525"/>
  <c r="A538" i="1525"/>
  <c r="A537" i="1525"/>
  <c r="A536" i="1525"/>
  <c r="A535" i="1525"/>
  <c r="A534" i="1525"/>
  <c r="A533" i="1525"/>
  <c r="A532" i="1525"/>
  <c r="A531" i="1525"/>
  <c r="A530" i="1525"/>
  <c r="A529" i="1525"/>
  <c r="A528" i="1525"/>
  <c r="A527" i="1525"/>
  <c r="A526" i="1525"/>
  <c r="A525" i="1525"/>
  <c r="A524" i="1525"/>
  <c r="A523" i="1525"/>
  <c r="A522" i="1525"/>
  <c r="A521" i="1525"/>
  <c r="A520" i="1525"/>
  <c r="A519" i="1525"/>
  <c r="A518" i="1525"/>
  <c r="A517" i="1525"/>
  <c r="A516" i="1525"/>
  <c r="A515" i="1525"/>
  <c r="A514" i="1525"/>
  <c r="A513" i="1525"/>
  <c r="A512" i="1525"/>
  <c r="A511" i="1525"/>
  <c r="A510" i="1525"/>
  <c r="A509" i="1525"/>
  <c r="A508" i="1525"/>
  <c r="A507" i="1525"/>
  <c r="A506" i="1525"/>
  <c r="A505" i="1525"/>
  <c r="A504" i="1525"/>
  <c r="A503" i="1525"/>
  <c r="A502" i="1525"/>
  <c r="A501" i="1525"/>
  <c r="A500" i="1525"/>
  <c r="A499" i="1525"/>
  <c r="A498" i="1525"/>
  <c r="A497" i="1525"/>
  <c r="A496" i="1525"/>
  <c r="A495" i="1525"/>
  <c r="A494" i="1525"/>
  <c r="A493" i="1525"/>
  <c r="A492" i="1525"/>
  <c r="A491" i="1525"/>
  <c r="A490" i="1525"/>
  <c r="A489" i="1525"/>
  <c r="A488" i="1525"/>
  <c r="A487" i="1525"/>
  <c r="A486" i="1525"/>
  <c r="A485" i="1525"/>
  <c r="A484" i="1525"/>
  <c r="A483" i="1525"/>
  <c r="A482" i="1525"/>
  <c r="A481" i="1525"/>
  <c r="A480" i="1525"/>
  <c r="A479" i="1525"/>
  <c r="A478" i="1525"/>
  <c r="A477" i="1525"/>
  <c r="A476" i="1525"/>
  <c r="A475" i="1525"/>
  <c r="A474" i="1525"/>
  <c r="A473" i="1525"/>
  <c r="A472" i="1525"/>
  <c r="A471" i="1525"/>
  <c r="A470" i="1525"/>
  <c r="A469" i="1525"/>
  <c r="A468" i="1525"/>
  <c r="A467" i="1525"/>
  <c r="A466" i="1525"/>
  <c r="A465" i="1525"/>
  <c r="A464" i="1525"/>
  <c r="A463" i="1525"/>
  <c r="A462" i="1525"/>
  <c r="A461" i="1525"/>
  <c r="A460" i="1525"/>
  <c r="A459" i="1525"/>
  <c r="A458" i="1525"/>
  <c r="A457" i="1525"/>
  <c r="A456" i="1525"/>
  <c r="A455" i="1525"/>
  <c r="A454" i="1525"/>
  <c r="A453" i="1525"/>
  <c r="A452" i="1525"/>
  <c r="A451" i="1525"/>
  <c r="A450" i="1525"/>
  <c r="A449" i="1525"/>
  <c r="A448" i="1525"/>
  <c r="A447" i="1525"/>
  <c r="A446" i="1525"/>
  <c r="A445" i="1525"/>
  <c r="A444" i="1525"/>
  <c r="A443" i="1525"/>
  <c r="A442" i="1525"/>
  <c r="A441" i="1525"/>
  <c r="A440" i="1525"/>
  <c r="A439" i="1525"/>
  <c r="A438" i="1525"/>
  <c r="A437" i="1525"/>
  <c r="A436" i="1525"/>
  <c r="A435" i="1525"/>
  <c r="A434" i="1525"/>
  <c r="A433" i="1525"/>
  <c r="A432" i="1525"/>
  <c r="A431" i="1525"/>
  <c r="A430" i="1525"/>
  <c r="A429" i="1525"/>
  <c r="A428" i="1525"/>
  <c r="A427" i="1525"/>
  <c r="A426" i="1525"/>
  <c r="A425" i="1525"/>
  <c r="A424" i="1525"/>
  <c r="A423" i="1525"/>
  <c r="A422" i="1525"/>
  <c r="A421" i="1525"/>
  <c r="A420" i="1525"/>
  <c r="A419" i="1525"/>
  <c r="A418" i="1525"/>
  <c r="A417" i="1525"/>
  <c r="A416" i="1525"/>
  <c r="A415" i="1525"/>
  <c r="A414" i="1525"/>
  <c r="A413" i="1525"/>
  <c r="A412" i="1525"/>
  <c r="A411" i="1525"/>
  <c r="A410" i="1525"/>
  <c r="A409" i="1525"/>
  <c r="A408" i="1525"/>
  <c r="A407" i="1525"/>
  <c r="A406" i="1525"/>
  <c r="A405" i="1525"/>
  <c r="A404" i="1525"/>
  <c r="A403" i="1525"/>
  <c r="A402" i="1525"/>
  <c r="A401" i="1525"/>
  <c r="A400" i="1525"/>
  <c r="A399" i="1525"/>
  <c r="A398" i="1525"/>
  <c r="A397" i="1525"/>
  <c r="A396" i="1525"/>
  <c r="A395" i="1525"/>
  <c r="A394" i="1525"/>
  <c r="A393" i="1525"/>
  <c r="A392" i="1525"/>
  <c r="A391" i="1525"/>
  <c r="A390" i="1525"/>
  <c r="A389" i="1525"/>
  <c r="A388" i="1525"/>
  <c r="A387" i="1525"/>
  <c r="A386" i="1525"/>
  <c r="A385" i="1525"/>
  <c r="A384" i="1525"/>
  <c r="A383" i="1525"/>
  <c r="A382" i="1525"/>
  <c r="A381" i="1525"/>
  <c r="A380" i="1525"/>
  <c r="A379" i="1525"/>
  <c r="A378" i="1525"/>
  <c r="A377" i="1525"/>
  <c r="A376" i="1525"/>
  <c r="A375" i="1525"/>
  <c r="A374" i="1525"/>
  <c r="A373" i="1525"/>
  <c r="A372" i="1525"/>
  <c r="A371" i="1525"/>
  <c r="A370" i="1525"/>
  <c r="A369" i="1525"/>
  <c r="A368" i="1525"/>
  <c r="A367" i="1525"/>
  <c r="A366" i="1525"/>
  <c r="A365" i="1525"/>
  <c r="A364" i="1525"/>
  <c r="A363" i="1525"/>
  <c r="A362" i="1525"/>
  <c r="A361" i="1525"/>
  <c r="A360" i="1525"/>
  <c r="A359" i="1525"/>
  <c r="A358" i="1525"/>
  <c r="A357" i="1525"/>
  <c r="A356" i="1525"/>
  <c r="A355" i="1525"/>
  <c r="A354" i="1525"/>
  <c r="A353" i="1525"/>
  <c r="A352" i="1525"/>
  <c r="A351" i="1525"/>
  <c r="A350" i="1525"/>
  <c r="A349" i="1525"/>
  <c r="A348" i="1525"/>
  <c r="A347" i="1525"/>
  <c r="A346" i="1525"/>
  <c r="A345" i="1525"/>
  <c r="A344" i="1525"/>
  <c r="A343" i="1525"/>
  <c r="A342" i="1525"/>
  <c r="A341" i="1525"/>
  <c r="A340" i="1525"/>
  <c r="A339" i="1525"/>
  <c r="A338" i="1525"/>
  <c r="A337" i="1525"/>
  <c r="A336" i="1525"/>
  <c r="A335" i="1525"/>
  <c r="A334" i="1525"/>
  <c r="A333" i="1525"/>
  <c r="A332" i="1525"/>
  <c r="A331" i="1525"/>
  <c r="A330" i="1525"/>
  <c r="A329" i="1525"/>
  <c r="A328" i="1525"/>
  <c r="A327" i="1525"/>
  <c r="A326" i="1525"/>
  <c r="A325" i="1525"/>
  <c r="A324" i="1525"/>
  <c r="A323" i="1525"/>
  <c r="A322" i="1525"/>
  <c r="A321" i="1525"/>
  <c r="A320" i="1525"/>
  <c r="A319" i="1525"/>
  <c r="A318" i="1525"/>
  <c r="A317" i="1525"/>
  <c r="A316" i="1525"/>
  <c r="A315" i="1525"/>
  <c r="A314" i="1525"/>
  <c r="A313" i="1525"/>
  <c r="A312" i="1525"/>
  <c r="A311" i="1525"/>
  <c r="A310" i="1525"/>
  <c r="A309" i="1525"/>
  <c r="A308" i="1525"/>
  <c r="A307" i="1525"/>
  <c r="A306" i="1525"/>
  <c r="A305" i="1525"/>
  <c r="A304" i="1525"/>
  <c r="A303" i="1525"/>
  <c r="A302" i="1525"/>
  <c r="A301" i="1525"/>
  <c r="A300" i="1525"/>
  <c r="A299" i="1525"/>
  <c r="A298" i="1525"/>
  <c r="A297" i="1525"/>
  <c r="A296" i="1525"/>
  <c r="A295" i="1525"/>
  <c r="A294" i="1525"/>
  <c r="A293" i="1525"/>
  <c r="A292" i="1525"/>
  <c r="A291" i="1525"/>
  <c r="A290" i="1525"/>
  <c r="A289" i="1525"/>
  <c r="A288" i="1525"/>
  <c r="A287" i="1525"/>
  <c r="A286" i="1525"/>
  <c r="A285" i="1525"/>
  <c r="A284" i="1525"/>
  <c r="A283" i="1525"/>
  <c r="A282" i="1525"/>
  <c r="A281" i="1525"/>
  <c r="A280" i="1525"/>
  <c r="A279" i="1525"/>
  <c r="A278" i="1525"/>
  <c r="A277" i="1525"/>
  <c r="A276" i="1525"/>
  <c r="A275" i="1525"/>
  <c r="A274" i="1525"/>
  <c r="A273" i="1525"/>
  <c r="A272" i="1525"/>
  <c r="A271" i="1525"/>
  <c r="A270" i="1525"/>
  <c r="A269" i="1525"/>
  <c r="A268" i="1525"/>
  <c r="A267" i="1525"/>
  <c r="A266" i="1525"/>
  <c r="A265" i="1525"/>
  <c r="A264" i="1525"/>
  <c r="A263" i="1525"/>
  <c r="A262" i="1525"/>
  <c r="A261" i="1525"/>
  <c r="A260" i="1525"/>
  <c r="A259" i="1525"/>
  <c r="A258" i="1525"/>
  <c r="A257" i="1525"/>
  <c r="A256" i="1525"/>
  <c r="A255" i="1525"/>
  <c r="A254" i="1525"/>
  <c r="A253" i="1525"/>
  <c r="A252" i="1525"/>
  <c r="A251" i="1525"/>
  <c r="A250" i="1525"/>
  <c r="A249" i="1525"/>
  <c r="A248" i="1525"/>
  <c r="A247" i="1525"/>
  <c r="A246" i="1525"/>
  <c r="A245" i="1525"/>
  <c r="A244" i="1525"/>
  <c r="A243" i="1525"/>
  <c r="A242" i="1525"/>
  <c r="A241" i="1525"/>
  <c r="A240" i="1525"/>
  <c r="A239" i="1525"/>
  <c r="A238" i="1525"/>
  <c r="A237" i="1525"/>
  <c r="A236" i="1525"/>
  <c r="A235" i="1525"/>
  <c r="A234" i="1525"/>
  <c r="A233" i="1525"/>
  <c r="A232" i="1525"/>
  <c r="A231" i="1525"/>
  <c r="A230" i="1525"/>
  <c r="A229" i="1525"/>
  <c r="A228" i="1525"/>
  <c r="A227" i="1525"/>
  <c r="A226" i="1525"/>
  <c r="A225" i="1525"/>
  <c r="A224" i="1525"/>
  <c r="A223" i="1525"/>
  <c r="A222" i="1525"/>
  <c r="A221" i="1525"/>
  <c r="A220" i="1525"/>
  <c r="A219" i="1525"/>
  <c r="A218" i="1525"/>
  <c r="A217" i="1525"/>
  <c r="A216" i="1525"/>
  <c r="A215" i="1525"/>
  <c r="A214" i="1525"/>
  <c r="A213" i="1525"/>
  <c r="A212" i="1525"/>
  <c r="A211" i="1525"/>
  <c r="A210" i="1525"/>
  <c r="A209" i="1525"/>
  <c r="A208" i="1525"/>
  <c r="A207" i="1525"/>
  <c r="A206" i="1525"/>
  <c r="A205" i="1525"/>
  <c r="A204" i="1525"/>
  <c r="A203" i="1525"/>
  <c r="A202" i="1525"/>
  <c r="A201" i="1525"/>
  <c r="A200" i="1525"/>
  <c r="A199" i="1525"/>
  <c r="A198" i="1525"/>
  <c r="A197" i="1525"/>
  <c r="A196" i="1525"/>
  <c r="A195" i="1525"/>
  <c r="A194" i="1525"/>
  <c r="A193" i="1525"/>
  <c r="A192" i="1525"/>
  <c r="A191" i="1525"/>
  <c r="A190" i="1525"/>
  <c r="A189" i="1525"/>
  <c r="A188" i="1525"/>
  <c r="A187" i="1525"/>
  <c r="A186" i="1525"/>
  <c r="A185" i="1525"/>
  <c r="A184" i="1525"/>
  <c r="A183" i="1525"/>
  <c r="A182" i="1525"/>
  <c r="A181" i="1525"/>
  <c r="A180" i="1525"/>
  <c r="A179" i="1525"/>
  <c r="A178" i="1525"/>
  <c r="A177" i="1525"/>
  <c r="A176" i="1525"/>
  <c r="A175" i="1525"/>
  <c r="A174" i="1525"/>
  <c r="A173" i="1525"/>
  <c r="A172" i="1525"/>
  <c r="A171" i="1525"/>
  <c r="A170" i="1525"/>
  <c r="A169" i="1525"/>
  <c r="A168" i="1525"/>
  <c r="A167" i="1525"/>
  <c r="A166" i="1525"/>
  <c r="A165" i="1525"/>
  <c r="A164" i="1525"/>
  <c r="A163" i="1525"/>
  <c r="A162" i="1525"/>
  <c r="A161" i="1525"/>
  <c r="A160" i="1525"/>
  <c r="A159" i="1525"/>
  <c r="A158" i="1525"/>
  <c r="A157" i="1525"/>
  <c r="A156" i="1525"/>
  <c r="A155" i="1525"/>
  <c r="A154" i="1525"/>
  <c r="A153" i="1525"/>
  <c r="A152" i="1525"/>
  <c r="A151" i="1525"/>
  <c r="A150" i="1525"/>
  <c r="A149" i="1525"/>
  <c r="A148" i="1525"/>
  <c r="A147" i="1525"/>
  <c r="A146" i="1525"/>
  <c r="A145" i="1525"/>
  <c r="A144" i="1525"/>
  <c r="A143" i="1525"/>
  <c r="A142" i="1525"/>
  <c r="A141" i="1525"/>
  <c r="A140" i="1525"/>
  <c r="A139" i="1525"/>
  <c r="A138" i="1525"/>
  <c r="A137" i="1525"/>
  <c r="A136" i="1525"/>
  <c r="A135" i="1525"/>
  <c r="A134" i="1525"/>
  <c r="A133" i="1525"/>
  <c r="A132" i="1525"/>
  <c r="A131" i="1525"/>
  <c r="A130" i="1525"/>
  <c r="A129" i="1525"/>
  <c r="A128" i="1525"/>
  <c r="A127" i="1525"/>
  <c r="A126" i="1525"/>
  <c r="A125" i="1525"/>
  <c r="A124" i="1525"/>
  <c r="A123" i="1525"/>
  <c r="A122" i="1525"/>
  <c r="A121" i="1525"/>
  <c r="A120" i="1525"/>
  <c r="A119" i="1525"/>
  <c r="A118" i="1525"/>
  <c r="A117" i="1525"/>
  <c r="A116" i="1525"/>
  <c r="A115" i="1525"/>
  <c r="A114" i="1525"/>
  <c r="A113" i="1525"/>
  <c r="A112" i="1525"/>
  <c r="A111" i="1525"/>
  <c r="A110" i="1525"/>
  <c r="A109" i="1525"/>
  <c r="A108" i="1525"/>
  <c r="A107" i="1525"/>
  <c r="A106" i="1525"/>
  <c r="A105" i="1525"/>
  <c r="A104" i="1525"/>
  <c r="A103" i="1525"/>
  <c r="A102" i="1525"/>
  <c r="A101" i="1525"/>
  <c r="A100" i="1525"/>
  <c r="A99" i="1525"/>
  <c r="A98" i="1525"/>
  <c r="A97" i="1525"/>
  <c r="A96" i="1525"/>
  <c r="A95" i="1525"/>
  <c r="A94" i="1525"/>
  <c r="A93" i="1525"/>
  <c r="A92" i="1525"/>
  <c r="A91" i="1525"/>
  <c r="A90" i="1525"/>
  <c r="A89" i="1525"/>
  <c r="A88" i="1525"/>
  <c r="A87" i="1525"/>
  <c r="A86" i="1525"/>
  <c r="A85" i="1525"/>
  <c r="A84" i="1525"/>
  <c r="A83" i="1525"/>
  <c r="A82" i="1525"/>
  <c r="A81" i="1525"/>
  <c r="A80" i="1525"/>
  <c r="A79" i="1525"/>
  <c r="A78" i="1525"/>
  <c r="A77" i="1525"/>
  <c r="A76" i="1525"/>
  <c r="A75" i="1525"/>
  <c r="A74" i="1525"/>
  <c r="A73" i="1525"/>
  <c r="A72" i="1525"/>
  <c r="A71" i="1525"/>
  <c r="A70" i="1525"/>
  <c r="A69" i="1525"/>
  <c r="A68" i="1525"/>
  <c r="A67" i="1525"/>
  <c r="A66" i="1525"/>
  <c r="A65" i="1525"/>
  <c r="A64" i="1525"/>
  <c r="A63" i="1525"/>
  <c r="A62" i="1525"/>
  <c r="A61" i="1525"/>
  <c r="A60" i="1525"/>
  <c r="A59" i="1525"/>
  <c r="A58" i="1525"/>
  <c r="A57" i="1525"/>
  <c r="A56" i="1525"/>
  <c r="A55" i="1525"/>
  <c r="A54" i="1525"/>
  <c r="A53" i="1525"/>
  <c r="A52" i="1525"/>
  <c r="A51" i="1525"/>
  <c r="A50" i="1525"/>
  <c r="A49" i="1525"/>
  <c r="A48" i="1525"/>
  <c r="A47" i="1525"/>
  <c r="A46" i="1525"/>
  <c r="A45" i="1525"/>
  <c r="A44" i="1525"/>
  <c r="A43" i="1525"/>
  <c r="A42" i="1525"/>
  <c r="A41" i="1525"/>
  <c r="A40" i="1525"/>
  <c r="A39" i="1525"/>
  <c r="A38" i="1525"/>
  <c r="A37" i="1525"/>
  <c r="A36" i="1525"/>
  <c r="A35" i="1525"/>
  <c r="A34" i="1525"/>
  <c r="A33" i="1525"/>
  <c r="A32" i="1525"/>
  <c r="A31" i="1525"/>
  <c r="A30" i="1525"/>
  <c r="A29" i="1525"/>
  <c r="A28" i="1525"/>
  <c r="A27" i="1525"/>
  <c r="A26" i="1525"/>
  <c r="A25" i="1525"/>
  <c r="A24" i="1525"/>
  <c r="A23" i="1525"/>
  <c r="A22" i="1525"/>
  <c r="A21" i="1525"/>
  <c r="A20" i="1525"/>
  <c r="A19" i="1525"/>
  <c r="A18" i="1525"/>
  <c r="A17" i="1525"/>
  <c r="A16" i="1525"/>
  <c r="A15" i="1525"/>
  <c r="A14" i="1525"/>
  <c r="A13" i="1525"/>
  <c r="A12" i="1525"/>
  <c r="A11" i="1525"/>
  <c r="A10" i="1525"/>
  <c r="A9" i="1525"/>
  <c r="A8" i="1525"/>
  <c r="A7" i="1525"/>
  <c r="A6" i="1525"/>
  <c r="A5" i="1525"/>
  <c r="A4" i="1525"/>
  <c r="A3" i="1525"/>
</calcChain>
</file>

<file path=xl/sharedStrings.xml><?xml version="1.0" encoding="utf-8"?>
<sst xmlns="http://schemas.openxmlformats.org/spreadsheetml/2006/main" count="32263" uniqueCount="3602">
  <si>
    <t>Sr. No.</t>
  </si>
  <si>
    <t>Date:</t>
  </si>
  <si>
    <t>UNDER PROCESS</t>
  </si>
  <si>
    <t>ACTIVITY</t>
  </si>
  <si>
    <t>SITE VISIT</t>
  </si>
  <si>
    <t>STATUS</t>
  </si>
  <si>
    <t>PROJECT</t>
  </si>
  <si>
    <t>REFERENCE</t>
  </si>
  <si>
    <t>EMAIL</t>
  </si>
  <si>
    <t>TECHNICAL REPORT</t>
  </si>
  <si>
    <t>METHOD STATEMENT</t>
  </si>
  <si>
    <t>LOCATION</t>
  </si>
  <si>
    <t>Churchill Towers</t>
  </si>
  <si>
    <t>DUBAI</t>
  </si>
  <si>
    <t>ABU-DHABI</t>
  </si>
  <si>
    <t>SHARJAH</t>
  </si>
  <si>
    <t>QATAR</t>
  </si>
  <si>
    <t>KUWAIT</t>
  </si>
  <si>
    <t>KSA</t>
  </si>
  <si>
    <t>BAHRAIN</t>
  </si>
  <si>
    <t>OTHERS REVIEW</t>
  </si>
  <si>
    <t>MEETING_CLIENT</t>
  </si>
  <si>
    <t>MEETING_SUPPLIER</t>
  </si>
  <si>
    <t>MEETING_INTERNAL</t>
  </si>
  <si>
    <t>North Gate Mall</t>
  </si>
  <si>
    <t>Viva bahriya - Pearl</t>
  </si>
  <si>
    <t>CCL GULF OFFICE</t>
  </si>
  <si>
    <t>QUOTATION</t>
  </si>
  <si>
    <t>DRAWING</t>
  </si>
  <si>
    <t>DONE</t>
  </si>
  <si>
    <t>SUPPLIER_QTN</t>
  </si>
  <si>
    <t>SCHEDULE</t>
  </si>
  <si>
    <t>Tiara Hotel Tower</t>
  </si>
  <si>
    <t>Kempinski Hotel</t>
  </si>
  <si>
    <t>TECHNICAL SUBMITTAL</t>
  </si>
  <si>
    <t>CCL QATAR OFFICE</t>
  </si>
  <si>
    <t>Prime Business Center</t>
  </si>
  <si>
    <t>SITE WORKS</t>
  </si>
  <si>
    <t>OPERATIONS</t>
  </si>
  <si>
    <t>Marina 101</t>
  </si>
  <si>
    <t>ENQUIRY</t>
  </si>
  <si>
    <t>FUJAIRAH</t>
  </si>
  <si>
    <t>LETTER</t>
  </si>
  <si>
    <t>BOQ</t>
  </si>
  <si>
    <t>Latifa Tower</t>
  </si>
  <si>
    <t>Dubai Mall</t>
  </si>
  <si>
    <t>FOLLOW-UP</t>
  </si>
  <si>
    <t>Lilian Tower</t>
  </si>
  <si>
    <t>DicoTech</t>
  </si>
  <si>
    <t>INFORMATION</t>
  </si>
  <si>
    <t>STORE VISIT</t>
  </si>
  <si>
    <t>Business Development</t>
  </si>
  <si>
    <t>TENDER</t>
  </si>
  <si>
    <t>ECC</t>
  </si>
  <si>
    <t>Emirates NBD</t>
  </si>
  <si>
    <t>Naeem Mall</t>
  </si>
  <si>
    <t>NOTES</t>
  </si>
  <si>
    <t>Tiara Pkg-4</t>
  </si>
  <si>
    <t>KIZAD</t>
  </si>
  <si>
    <t>Dr. Riadh Hospital (Core wall)</t>
  </si>
  <si>
    <t>Damac Heights</t>
  </si>
  <si>
    <t>SITE SURVEY</t>
  </si>
  <si>
    <t>Ghazi Warehouse</t>
  </si>
  <si>
    <t>Burj Daman</t>
  </si>
  <si>
    <t>REPORT</t>
  </si>
  <si>
    <t>Paragon Bay Mall</t>
  </si>
  <si>
    <t>Jafza Building 17</t>
  </si>
  <si>
    <t>Al-Shaali Building</t>
  </si>
  <si>
    <t>AJMAN</t>
  </si>
  <si>
    <t>MEETING_CONSULTANT</t>
  </si>
  <si>
    <t>Amesco</t>
  </si>
  <si>
    <t>Latifa Tower (L-15)</t>
  </si>
  <si>
    <t>Dr. Riadh Hospital (Ramp)</t>
  </si>
  <si>
    <t>FGB Building Jadaf</t>
  </si>
  <si>
    <t>Hydra Project</t>
  </si>
  <si>
    <t>Concorde Tower JLT</t>
  </si>
  <si>
    <t>Kempinski Lower Roof</t>
  </si>
  <si>
    <t>Barari Towers</t>
  </si>
  <si>
    <t>Kempinski GF Lift</t>
  </si>
  <si>
    <t>Canadian Hospital</t>
  </si>
  <si>
    <t>The Address Phase 2</t>
  </si>
  <si>
    <t>Jalila Foundation</t>
  </si>
  <si>
    <t>JAFZA</t>
  </si>
  <si>
    <t>Vision Tower</t>
  </si>
  <si>
    <t>Mandarin Hotel</t>
  </si>
  <si>
    <t>Address Fashion</t>
  </si>
  <si>
    <t>Damac - The Wave</t>
  </si>
  <si>
    <t>Lamcy Plaza</t>
  </si>
  <si>
    <t>Azizi Developers</t>
  </si>
  <si>
    <t>Hansa Hotel</t>
  </si>
  <si>
    <t>Shapoorji G+4 Building</t>
  </si>
  <si>
    <t>Gate Towers Shapoorji</t>
  </si>
  <si>
    <t>Merano Tower Al-Sahel</t>
  </si>
  <si>
    <t>Staff Accomodation DIP</t>
  </si>
  <si>
    <t>Arcade Tower</t>
  </si>
  <si>
    <t>MILCO</t>
  </si>
  <si>
    <t>Villa DIP</t>
  </si>
  <si>
    <t>Continental</t>
  </si>
  <si>
    <t>School Nad-al-hamr</t>
  </si>
  <si>
    <t>Dr. Riadh Hospital (Roof)</t>
  </si>
  <si>
    <t>Building_Deira</t>
  </si>
  <si>
    <t>School Sharjah_Elite Design</t>
  </si>
  <si>
    <t>World Trade Center (KONE)</t>
  </si>
  <si>
    <t>GEMS School (Sharjah)</t>
  </si>
  <si>
    <t>TECOM Towers (Transemirates)</t>
  </si>
  <si>
    <t>Coptic Church</t>
  </si>
  <si>
    <t>Habib Bank Building</t>
  </si>
  <si>
    <t>AbuDhabi School</t>
  </si>
  <si>
    <t>ADCI HQ Building</t>
  </si>
  <si>
    <t>Dr. Ghanem Villa</t>
  </si>
  <si>
    <t>Paragon Cinema</t>
  </si>
  <si>
    <t>Marina Continental</t>
  </si>
  <si>
    <t>Mazyad Mall</t>
  </si>
  <si>
    <t>Asma Hotel Barsha</t>
  </si>
  <si>
    <t>Pointe Mall Palm</t>
  </si>
  <si>
    <t>INVOICE</t>
  </si>
  <si>
    <t>Barsha Tower</t>
  </si>
  <si>
    <t>Nakheel Mall</t>
  </si>
  <si>
    <t>CCL KSA</t>
  </si>
  <si>
    <t>Palm D-Frond Villa 132</t>
  </si>
  <si>
    <t>DM Building Rashidiya</t>
  </si>
  <si>
    <t>Al-Manzel Building Pool</t>
  </si>
  <si>
    <t>Dhiyyafa Building</t>
  </si>
  <si>
    <t>Jadaf Hotel Building</t>
  </si>
  <si>
    <t>City Land Mall AVIC</t>
  </si>
  <si>
    <t>Medical Village KSA</t>
  </si>
  <si>
    <t>DIB Bank Sharjah</t>
  </si>
  <si>
    <t>Hatta Building</t>
  </si>
  <si>
    <t>Aster Building Sharjah</t>
  </si>
  <si>
    <t>Retaj Hotel Riyadh</t>
  </si>
  <si>
    <t>Blue Bay Tower</t>
  </si>
  <si>
    <t>Furjan Building</t>
  </si>
  <si>
    <t>Al-Nokhba School</t>
  </si>
  <si>
    <t>Motorcity Building</t>
  </si>
  <si>
    <t>Asisa Dental</t>
  </si>
  <si>
    <t>Sunset Mall</t>
  </si>
  <si>
    <t>Ibn-e-Batuta</t>
  </si>
  <si>
    <t>Site visit along with Armia and Atif</t>
  </si>
  <si>
    <t>Agora Shopping Mall</t>
  </si>
  <si>
    <t>CRC Stella WaterTank</t>
  </si>
  <si>
    <t>Lincoln Showroom</t>
  </si>
  <si>
    <t>Damac-7404</t>
  </si>
  <si>
    <t>Maven Spa</t>
  </si>
  <si>
    <t>Science Park Building</t>
  </si>
  <si>
    <t>KG4 Hospital</t>
  </si>
  <si>
    <t>Hera Project</t>
  </si>
  <si>
    <t>Hussain Darwaish Bldg</t>
  </si>
  <si>
    <t>T2 Greens</t>
  </si>
  <si>
    <t>Elite-2 and 6</t>
  </si>
  <si>
    <t>Premmier Inn</t>
  </si>
  <si>
    <t>Barsha Pond Hotel</t>
  </si>
  <si>
    <t>Wasl Tower</t>
  </si>
  <si>
    <t>Deira Waterfront</t>
  </si>
  <si>
    <t>Burjuman Mall</t>
  </si>
  <si>
    <t>Das Island AUH</t>
  </si>
  <si>
    <t>Das Island_Emdad</t>
  </si>
  <si>
    <t>DAS ISLAND</t>
  </si>
  <si>
    <t>Some VO for Level-03 to be sent</t>
  </si>
  <si>
    <t>VO for Level-03 Zone-I made and given to Atif for by hand submission</t>
  </si>
  <si>
    <t>Revised quotation for fire-damaged zone given to Atif for submission</t>
  </si>
  <si>
    <t>Email response to client to send revised offer tomorrow</t>
  </si>
  <si>
    <t>Mai Dubai</t>
  </si>
  <si>
    <t>HSBC Bank</t>
  </si>
  <si>
    <t>Damac Akoya</t>
  </si>
  <si>
    <t>Site visit of HSBC bank with Sameh and met another interior design company</t>
  </si>
  <si>
    <t>Site meeting with M/s China state for CCL's strengthening quotation</t>
  </si>
  <si>
    <t>Undertaking letter for design and execution to DM</t>
  </si>
  <si>
    <t>Technical report on cracks sent to ATC for Wasl Tower</t>
  </si>
  <si>
    <t>Letter to be sent for response to close-out documentation</t>
  </si>
  <si>
    <t>Email response to Dong to send us the latest drawings with loadings</t>
  </si>
  <si>
    <t>Follow-up with Engr. Clark regarding our quotation</t>
  </si>
  <si>
    <t>Email response to be sent to Declan for Level-19</t>
  </si>
  <si>
    <t>Site observation to be made and sent to consultant from Sameh's pc</t>
  </si>
  <si>
    <t>RAM model requested from client</t>
  </si>
  <si>
    <t>Information made ready for study by Bitar</t>
  </si>
  <si>
    <t>Study of drawings for the HSBC repair project (Dubai media city) by Bitar</t>
  </si>
  <si>
    <t>Yas Mall</t>
  </si>
  <si>
    <t>Quotation for coring works required at kid-zania (paragon mall)</t>
  </si>
  <si>
    <t>Letter sent officially to Tiara</t>
  </si>
  <si>
    <t>One email forwarded by Sameh to Simon regarding site observation # 3</t>
  </si>
  <si>
    <t>Sent one email response to Odai and another to Declan regarding Level-19 and Level-56</t>
  </si>
  <si>
    <t>Site observation # 4 under process</t>
  </si>
  <si>
    <t>Quotation sent for AED 35,000 for 100 LM of cracks</t>
  </si>
  <si>
    <t>Site visit and photos for Tower-B, C and D roofs</t>
  </si>
  <si>
    <t>Quotation made for AED 890,000 and sent to client (Ekma)</t>
  </si>
  <si>
    <t>Loading details for P2 sent to Matt related to back-propping design</t>
  </si>
  <si>
    <t>Revised quotation based on the latest loadings received - AED 115,000 now</t>
  </si>
  <si>
    <t>Quotation sent for Aed 250,000 only for Tower-C and Tower-D</t>
  </si>
  <si>
    <t>Quotation for Tower-B as per latest discussion with Bitar under progress.</t>
  </si>
  <si>
    <t>VO # 8 for AED 5,000 for design check of Level-56</t>
  </si>
  <si>
    <t>Quotation for Tower-B sent for AED 375,000</t>
  </si>
  <si>
    <t>Letter to Declan about Level-56 NOC</t>
  </si>
  <si>
    <t>R &amp; S report for end of 2018 compiled and sent to Bitar</t>
  </si>
  <si>
    <t>Email to Engr. Hassan for Opening IR related issue</t>
  </si>
  <si>
    <t>Warranty letter for client</t>
  </si>
  <si>
    <t>Some call for updates from Mr. Dong</t>
  </si>
  <si>
    <t>DIB Deira</t>
  </si>
  <si>
    <t xml:space="preserve">Site visit for DIB deira project with Atif. Need to quote for repair of main ramp. </t>
  </si>
  <si>
    <t>Dubai Creek Cove</t>
  </si>
  <si>
    <t>Site visit for Cover tower in dubai creek project - Repair of RCC wall required</t>
  </si>
  <si>
    <t>Email to some contractor for coating works</t>
  </si>
  <si>
    <t>Quotation sent to client for AED 150,000</t>
  </si>
  <si>
    <t>Requested ETABS model</t>
  </si>
  <si>
    <t xml:space="preserve">Call and request for Etabs model in order to make strengthening calculation and to provide the quotation. </t>
  </si>
  <si>
    <t>Quotation sent for Engr. Rasha (184600 + 60000)</t>
  </si>
  <si>
    <t>Sky Villa</t>
  </si>
  <si>
    <t>Quotation sent for 3D scanning of 2 beams for AED 3500</t>
  </si>
  <si>
    <t>Site visit and survey done along with Armia for DIB project in Deira for three basements and ramps</t>
  </si>
  <si>
    <t>Sky Villa_Amesco</t>
  </si>
  <si>
    <t>Switching Station_L&amp;T</t>
  </si>
  <si>
    <t>Site visit and meeting with Fosroc, Unitbeton, L&amp;T and client held at their site office in Al-Zafra area of Abudhabi. L&amp;T switching gear station for client TRANSCO.</t>
  </si>
  <si>
    <t>GPR scanning report for Amesco Sky Villa.</t>
  </si>
  <si>
    <t>GPR scanning report completed and sent by Email to client</t>
  </si>
  <si>
    <t>Email received from L&amp;T with some drawings and information from L&amp;T</t>
  </si>
  <si>
    <t>Quotation sent for AED 56,000 for cover tower in dubai creek - RCC wall strengthening</t>
  </si>
  <si>
    <t xml:space="preserve">Report and details received from </t>
  </si>
  <si>
    <t>Meydan One (Salini Impregillo)</t>
  </si>
  <si>
    <t>Email sent with CCL profile and details of various activities done by CCL</t>
  </si>
  <si>
    <t>Quotation sent for two openings cutting and strengthening for AED 15,600</t>
  </si>
  <si>
    <t>Revised quotation sent for AED 20,000</t>
  </si>
  <si>
    <t>Lilian Tower RCC Walls</t>
  </si>
  <si>
    <t>Quotation sent for complete painting and repair works for AED 550,000</t>
  </si>
  <si>
    <t>Quotation for cutting of 4 openings and strengthening of RCC Wall for AED 130,000</t>
  </si>
  <si>
    <t>Revised quotation with some amendments</t>
  </si>
  <si>
    <t>City Land Mall Beams</t>
  </si>
  <si>
    <t>Visited the cityland project site for new cutting works required in 4 no's of beams</t>
  </si>
  <si>
    <t>Quotation sent to repair beams; AED 35,000 for each beam.</t>
  </si>
  <si>
    <t>Quotation sent as official from CCL (previously by email only)</t>
  </si>
  <si>
    <t>Quotation break-up sent to Tommy by email only</t>
  </si>
  <si>
    <t>Revised Quotation sent for Engr. Rasha (140800 + 48000)</t>
  </si>
  <si>
    <t xml:space="preserve">Various confirmations (internal and data) for beam size of Aster project's Level-02 beams where steel plates are required. </t>
  </si>
  <si>
    <t>Discussion about beam sizes for various levels where steel plates are to be fixed. Width should be 250 or 300?</t>
  </si>
  <si>
    <t>Meeting of Sameh with consultant at their office to clarify the pending issues.</t>
  </si>
  <si>
    <t>Me and Atif met with Declan, Matt and Consultant at burj daman site.</t>
  </si>
  <si>
    <t>Meeting by Sameh at Arif and Bintoak office to finalize the issues related to steel plates</t>
  </si>
  <si>
    <t>ME DO RE JLT</t>
  </si>
  <si>
    <t xml:space="preserve">Work on BOQ for CRC project ME DO RE in JLT; Steel plate pricing required from some supplier. </t>
  </si>
  <si>
    <t>Basic BOQ work for the building</t>
  </si>
  <si>
    <t>BOQ finalized with Sameh</t>
  </si>
  <si>
    <t>Quotation sent to M/s CRC</t>
  </si>
  <si>
    <t>Follow-up with Techno-steel for steel pricing</t>
  </si>
  <si>
    <t>Wafi Mall</t>
  </si>
  <si>
    <t>Meeting with client for Wafi mall strengthening project</t>
  </si>
  <si>
    <t>LPO for Hilti materials (new bolt and RE-500)</t>
  </si>
  <si>
    <t>Quotation sent for AED 300,000 to Unibeton</t>
  </si>
  <si>
    <t>Quotation sent for 250/LM for CFRP and 450/SQM for shotcrete</t>
  </si>
  <si>
    <t>Waiting for steel quotation from Techno-Steel</t>
  </si>
  <si>
    <t>Quotation sent to CRC for almost 11.1 million based on latest quotations from Steel suppliers and yesterday's discussion with Sameh</t>
  </si>
  <si>
    <t>Strengthening quantities received from Bitar</t>
  </si>
  <si>
    <t>Made sketch of the strengthening received from Bitar</t>
  </si>
  <si>
    <t>Email to cutting guys for best cutting price</t>
  </si>
  <si>
    <t>Quotation sent for AED 295,000</t>
  </si>
  <si>
    <t>VO # 9 sent to Declan - AED 10,000</t>
  </si>
  <si>
    <t>Lacasa Tecom Building</t>
  </si>
  <si>
    <t>Quotation sent for AED 10,200 for concrete testing works</t>
  </si>
  <si>
    <t>Response to matt about pull-off test results</t>
  </si>
  <si>
    <t>Site meeting required for finalization of "as-built" drawings</t>
  </si>
  <si>
    <t>Declan response for Level-19 plinths</t>
  </si>
  <si>
    <t>Testing for HIT v8.8 bolts M10x190</t>
  </si>
  <si>
    <t>Met Kamalambika from ATC team at Tiara site office regarding as-built drawings</t>
  </si>
  <si>
    <t>Invoice # 17 finalized</t>
  </si>
  <si>
    <t>Email for Site Observation # 5</t>
  </si>
  <si>
    <t>King Faisal Hospital - KSA</t>
  </si>
  <si>
    <t>Police Academy AUH</t>
  </si>
  <si>
    <t>Quotation for repair works required at AUH police academy sent to Arabian company AED 3,288,000</t>
  </si>
  <si>
    <t>Meeting tomorrow with client ECCE for the hotel building cutting and strengthening works</t>
  </si>
  <si>
    <t>Site visit along with armia to prepare quotation for rcc wall cutting</t>
  </si>
  <si>
    <t>Quotation sent for AED 15,000 (Wall size 1.76 x 5.3 x 0.32)</t>
  </si>
  <si>
    <t>Meeting at site with consultant ECCE and sent quotation</t>
  </si>
  <si>
    <t>Quotation revised and sent for AED 285,000</t>
  </si>
  <si>
    <t>Villa on Palm</t>
  </si>
  <si>
    <t>JBR Hospital</t>
  </si>
  <si>
    <t>Quotation sent to Bitar to be sent to client for AED 115,000</t>
  </si>
  <si>
    <t>Pooja started working on the BOQ</t>
  </si>
  <si>
    <t>Working on the new CCL R &amp; S Brochure</t>
  </si>
  <si>
    <t>Discussed with Bitar about villa and got some quantities for quotation</t>
  </si>
  <si>
    <t>Review of received drawings</t>
  </si>
  <si>
    <t>Bloom Tower JVC</t>
  </si>
  <si>
    <t>Site visit along with Sameh and met Engr. Ahmed (previously in CRC company)</t>
  </si>
  <si>
    <t>Invoice # 18 under process</t>
  </si>
  <si>
    <t>Study of BOQ and working to make quotation</t>
  </si>
  <si>
    <t>BOQ received from KWEC for study and quotation</t>
  </si>
  <si>
    <t>Visit to Al-Fajer company in Al-quoz area - DROPPED BROCHURE</t>
  </si>
  <si>
    <t>Visit to Space Group company in Tecom - DROPPED BROCHURE</t>
  </si>
  <si>
    <t>Quotation sent for AED 3.28 Million along with filled-in BOQ</t>
  </si>
  <si>
    <t>Quotation sent for AED 24,000 for crack repairs up to 100LM</t>
  </si>
  <si>
    <t>Brief method statements for various scope of works</t>
  </si>
  <si>
    <t>Al-Tayer Building</t>
  </si>
  <si>
    <t>Visited site along with Murugesan (Conmix) for Expansion Joint repairs</t>
  </si>
  <si>
    <t>Quotation to be made for expansion joint treatment</t>
  </si>
  <si>
    <t>Revised Quotation sent for AED 4,262,150</t>
  </si>
  <si>
    <t>Revised Quotation sent for AED 6,565,150</t>
  </si>
  <si>
    <t xml:space="preserve">Quotation made for expansion joint treatment works. </t>
  </si>
  <si>
    <t>Meeting at China state site office in Damac Akoya project. Project almost closed as client went for different solution and loads also decreased considerably.</t>
  </si>
  <si>
    <t xml:space="preserve">Revised new enquiry from Al-Ghurair CEW. </t>
  </si>
  <si>
    <t>Meeting at site with Main contractor BW and Consultant ECCE</t>
  </si>
  <si>
    <t>Quotation sent to Al-Tayer group</t>
  </si>
  <si>
    <t>Al-Dana 2 Building</t>
  </si>
  <si>
    <t>Revised two quotations sent to client</t>
  </si>
  <si>
    <t>Quotation to be made as per advice from Murugesan</t>
  </si>
  <si>
    <t>Revised quotation with 15% discount on original quotation sent</t>
  </si>
  <si>
    <t>Level-19 (Part-2) clarification email sent to Declan</t>
  </si>
  <si>
    <t>Deira City Center</t>
  </si>
  <si>
    <t>BOQ under process by Pooja - DUTCO Company</t>
  </si>
  <si>
    <t>Site visit along with Atif and met Engr. Ahmed from KWEC</t>
  </si>
  <si>
    <t>Site visit along with Atif and took various photos</t>
  </si>
  <si>
    <t>Revised quotation (two separate quotations) to be sent</t>
  </si>
  <si>
    <t>Quotation sent for AED 289,000 to Al-Ghurair group</t>
  </si>
  <si>
    <t>Quotation sent as per advice from Murugesan regarding pricing</t>
  </si>
  <si>
    <t>Dovronbek</t>
  </si>
  <si>
    <t>Quotation sent for AED 3,000 for Dovronbek building for scanning &amp; Coring works</t>
  </si>
  <si>
    <t>Revised quotation sent as two separate quotations</t>
  </si>
  <si>
    <t>Quotation sent to DUTCO as a copy of same quotation previously sent to M/s CRC back in March 2019</t>
  </si>
  <si>
    <t>Work on strengthening BOQ as received from Suresh (Dutco) under process</t>
  </si>
  <si>
    <t>Quotation sent for AED 516,000 for structural strengthening works</t>
  </si>
  <si>
    <t xml:space="preserve">Some updates to the Invoice # 19 regarding lift opening VO and also addition of previously removed MEP items. </t>
  </si>
  <si>
    <t>Circle Mall JVC</t>
  </si>
  <si>
    <t xml:space="preserve">Meeting to be held at client office tomorrow. </t>
  </si>
  <si>
    <t xml:space="preserve">Meeting done at CRC office and they need to remove certain items from quotation as well as to reduce AED 2 Million from quotation final amount. </t>
  </si>
  <si>
    <t xml:space="preserve">Quotation send for Void # 1 (1.6 Mn) and Void # 2 (2.5 Mn) to A &amp; B. </t>
  </si>
  <si>
    <t>GEMS Cambridge Sharjah</t>
  </si>
  <si>
    <t>ORASCOM Reem Island</t>
  </si>
  <si>
    <t>Khamis Al Qubsi</t>
  </si>
  <si>
    <t>Study of project documents provided</t>
  </si>
  <si>
    <t>Quotation sent to Asokan for feasibility studies for AED 15,000 (as per latest layout)</t>
  </si>
  <si>
    <t>Email sent to client as a REGRET Letter as most scope is not relevant to us</t>
  </si>
  <si>
    <t xml:space="preserve">Revised quotation sent as per the latest info from Asokan. Total now 14 openings are required. </t>
  </si>
  <si>
    <t xml:space="preserve">Email sent to client as a regret email because CCL is not specialized for advanced waterproofing requested. </t>
  </si>
  <si>
    <t>Strengthening desing drawings received from Odai and also asked client for title block. 4 RCC openings to be made in RCC walls</t>
  </si>
  <si>
    <t>Discussion with sameh regarding the prequalification questionnaire</t>
  </si>
  <si>
    <t>Update to the various indices of the prequalification questionnaire - Technical and Commercial offer separation</t>
  </si>
  <si>
    <t>Clarification regarding P2 opening VO required</t>
  </si>
  <si>
    <t>Commercial proposal prepared and discussed with Sameh. Email sent to Ali from Ansaries regarding final discount for 70mm bonded screed.</t>
  </si>
  <si>
    <t>Both technical and commercial proposals completed and the final submission to be done tomorrow by Atif by hand. Final price is 4.6 Mn without VAT.</t>
  </si>
  <si>
    <t>Information to be sent to Mr. Hani as he called yesterday to price for this project.</t>
  </si>
  <si>
    <t>Revised quotation for wet area and swimming pool side area sent to Maria</t>
  </si>
  <si>
    <t xml:space="preserve">Podium-2 confirmation letter for AED 45,000 from M/s AFO. Various documents related to confirmation gave to Sameh and Mena. </t>
  </si>
  <si>
    <t xml:space="preserve">Very long discussion with Bitar about various strengthening solutions for various parts of the bridge. Some solutions rejected by Bitar and CCL to quote only for viable options. </t>
  </si>
  <si>
    <t>Reem Plaza Riyadh</t>
  </si>
  <si>
    <t>Lot of new files received via email from Martin</t>
  </si>
  <si>
    <t xml:space="preserve">Quotation sent to Mr. Hani for total lumpsum amount of AED 177,000 to be quoted to client. </t>
  </si>
  <si>
    <t>Revised enquiry received from head office of BW. Sent back same quotation for the feasibility studies earlier sent to Asokan.</t>
  </si>
  <si>
    <t>Further revision of the wet area waterproofing quotation sent for AED 23,000</t>
  </si>
  <si>
    <t>Study of updated drawings to be carried out</t>
  </si>
  <si>
    <t>Quotation sent for AED 129,000 to Cundall</t>
  </si>
  <si>
    <t>Royal Continental</t>
  </si>
  <si>
    <t>Site visit done along with Martin and saw the cracked portions of basement slab along with ARC person Mr. Rony and client representatives</t>
  </si>
  <si>
    <t>Quotation to be prepared based on the information received from ARC</t>
  </si>
  <si>
    <t xml:space="preserve">Quotation sent to ATC for AED 4760 for 32 no's of cores at core wall </t>
  </si>
  <si>
    <t>PPI Coring 3rd floor</t>
  </si>
  <si>
    <t>Revised quotation sent as two options package after detailed conversation with Bitar and also comparison with Structural quotation</t>
  </si>
  <si>
    <t>Quotation sent for AED 45,000 to Mr. Rony</t>
  </si>
  <si>
    <t>Deira Waterfront Repairs</t>
  </si>
  <si>
    <t>Meeting with Mr. Dong Yibin at site for discussion about new repairs required for the collapsed slab</t>
  </si>
  <si>
    <t>LPO sent to Coring guy from Al-Manara</t>
  </si>
  <si>
    <t>Drawings to be studied as received from Dong Yibin</t>
  </si>
  <si>
    <t>Revised quotation sent as per the updated BOQ and details</t>
  </si>
  <si>
    <t>Revised final quotation sent for AED 225,000</t>
  </si>
  <si>
    <t>DEWA Jebel Ali Repairs</t>
  </si>
  <si>
    <t>Final quotation with three options in BOQ (18.5 million AED) sent to Orascom</t>
  </si>
  <si>
    <t>Meeting with client at their head office in Warsan area for Jebel Ali foundation repair works</t>
  </si>
  <si>
    <t>Sent the basic information to Martin to propose some suitable solution</t>
  </si>
  <si>
    <t>New quotation sent for 35mm 16 no's of cores each 300mm deep</t>
  </si>
  <si>
    <t xml:space="preserve">Site visit done along with Armia for the Deira waterfront project. </t>
  </si>
  <si>
    <t>Quotation sent to PPI contracting for AED 9600</t>
  </si>
  <si>
    <t>Khansaheb Villa</t>
  </si>
  <si>
    <t>Site visit to khansaheb villa project along with Armia to see the site situation</t>
  </si>
  <si>
    <t>Awaiting information from client regarding survey of column and shear wall as-built condition</t>
  </si>
  <si>
    <t>Email response sent to Mooventhan from Khansaheb regarding some queries</t>
  </si>
  <si>
    <t>Regret email sent to Mr. Aslam</t>
  </si>
  <si>
    <t>Meeting at client's office in Abu Dhabi along with Atif. Discussed our submitted technical and commercial proposal.</t>
  </si>
  <si>
    <t>Al-Hazami JVC Project</t>
  </si>
  <si>
    <t>Quotation sent for AED 1,193,000 to Wael</t>
  </si>
  <si>
    <t>Quotation sent for AED 5,600 for 38 no's of cores</t>
  </si>
  <si>
    <t>Email response sent to Sitheek Ali</t>
  </si>
  <si>
    <t>Updated site as-built drawings and information requested from Shihab</t>
  </si>
  <si>
    <t>Email to be sent to client about updated proposal</t>
  </si>
  <si>
    <t>Email sent to Damien regarding clarification on the eight rejected drawings for Level-19 (Roof). First 4 for opening edge beams and next 4 for not installing 2 CFRP strips.</t>
  </si>
  <si>
    <t>Meeting with client at their office in Abu Dhabi (Reem Island) along with Martin from Sika</t>
  </si>
  <si>
    <t>Revised quotation sent for AED 435,000 (Drops Caps + Anchoring works)</t>
  </si>
  <si>
    <t>Revised commercial offer sent by Email to Bloom Properties</t>
  </si>
  <si>
    <t>Crowne Plaza Complex</t>
  </si>
  <si>
    <t>Information received from client and sent request for site visit and CD collection</t>
  </si>
  <si>
    <t>Sent revised quotation and asked for a detailed technical meeting with Orascom technical team. Revised quote includes missing item in previous quote.</t>
  </si>
  <si>
    <t>Email response sent to Mohammad (Bloom Properties) after repeated calls from him regarding heavy discount i.e. below 4 Mn while our final is 4.47 Mn</t>
  </si>
  <si>
    <t>Site visit to collect CD For the strengthening works as well as to familiarize with the site works</t>
  </si>
  <si>
    <t>As-built drawings received from Shihab and requested again for the ETABS model.</t>
  </si>
  <si>
    <t>LPO received from PPI for coring works (75mm and 150mm total 51)</t>
  </si>
  <si>
    <t xml:space="preserve">Email sent to SF Marine requesting for various marine services. </t>
  </si>
  <si>
    <t>MS prepared. ITP and material sheets to be added.</t>
  </si>
  <si>
    <t>Invoice for 50% to be raised to PPI Contracting</t>
  </si>
  <si>
    <t>Revised discounted quotation sent for AED 215,000 (prev. AED 225,000)</t>
  </si>
  <si>
    <t>Some email sent to Roberts regarding scope of works and got back response about scope required from CCL</t>
  </si>
  <si>
    <t>Need to price for design check for various floors of crown plaza strengthening works</t>
  </si>
  <si>
    <t xml:space="preserve">MS + Material submittal prepared. </t>
  </si>
  <si>
    <t>Strengthening design drawings to be submitted officially to client.</t>
  </si>
  <si>
    <t>Quotation sent by Bitar to Vanessa from Roberts for design review only. AED 304,000 for four floors.</t>
  </si>
  <si>
    <t xml:space="preserve">Drawings studied for various comments from consultant and talked with kamalambika. Arranged meeting tomorrow with consultant. </t>
  </si>
  <si>
    <t xml:space="preserve">Received confirmation from client regarding contract for CCL. Meeting to be held at consultant office tomorrow. </t>
  </si>
  <si>
    <t>Meeting at consultant office along with Kamalambika to clarify various points about as-built drawings submission</t>
  </si>
  <si>
    <t>Based on comments from site meeting as-built to be updated</t>
  </si>
  <si>
    <t>Sent to Kurt for printing and submission to client officially.</t>
  </si>
  <si>
    <t xml:space="preserve">Review of draft subcontract agreement done and comments sent to client. </t>
  </si>
  <si>
    <t>LPO received for coring works in JVC tower: AED 5500</t>
  </si>
  <si>
    <t>Quotation sent to client for carrying out assessment and on-site testing along with report for AED 33,500</t>
  </si>
  <si>
    <t>Email response sent to khansaheb regarding pricing clarification</t>
  </si>
  <si>
    <t>Price of AED 29,000 all inclusive sent to client</t>
  </si>
  <si>
    <t>Study of drawings to see if more offsets are required. Final as-built to be submitted to consultant including the offsets as well as coring schedules for all the drawings having coring works.</t>
  </si>
  <si>
    <t>Study of some new photos and drawings received from Sameh via whatsapp</t>
  </si>
  <si>
    <t xml:space="preserve">Site visit done along with Sameh and met client representative for the hydra towers where fire happened. P2, P3 and P4 are damaged. </t>
  </si>
  <si>
    <t>Study of latest information as well as information based on meeting today at site.</t>
  </si>
  <si>
    <t xml:space="preserve">Quotation to be sent as per agreed email conversation. </t>
  </si>
  <si>
    <t xml:space="preserve">Updated info received from atif after his site visit and need to send a revised quotation. </t>
  </si>
  <si>
    <t>Quotation sent for AED 285,000</t>
  </si>
  <si>
    <t>Report modified and sent to client for scanning works</t>
  </si>
  <si>
    <t>Sample drawings sent to Kamalambika for general review</t>
  </si>
  <si>
    <t>For material submittal (long list) various items requested from Martin (Sika) to be included in material submittal.</t>
  </si>
  <si>
    <t>More updated info received and need to send the quotation by tomorrow morning</t>
  </si>
  <si>
    <t xml:space="preserve">Update on the drawings requirement from client (by sameh). Need to give x,y gridlines for each core as well as mention the same on the relevant drawing in the form of a table. </t>
  </si>
  <si>
    <t xml:space="preserve">Technical submittal sent to client by link and need the initial approval before the final print to be made by client. </t>
  </si>
  <si>
    <t>Tech submittal response required</t>
  </si>
  <si>
    <t>Received email that the Overall works are CANCELLED.</t>
  </si>
  <si>
    <t xml:space="preserve">Need to at least finalize one drawing in final shape. 1:75 is the scale to be used on A1 paper as well as bigger size for the core numbers to be used. </t>
  </si>
  <si>
    <t>Meeting at ATC office for Lilian towers along with Armia and explained about the works to be carried out at site.</t>
  </si>
  <si>
    <t>Quotation to be sent for AED 49,000 to Khansaheb company</t>
  </si>
  <si>
    <t xml:space="preserve">Called Mr. Mooventhan and he confirmed that the scope has been cancelled by client due to change of main tenant requirement. </t>
  </si>
  <si>
    <t>Ramboll</t>
  </si>
  <si>
    <t>Quotation sent to Shihab (Client owner copied) for AED 49,000</t>
  </si>
  <si>
    <t>Working with drawing for level-02 along with new LISP codes to make table as well as make numbering bigger.</t>
  </si>
  <si>
    <t>Oberoi Building</t>
  </si>
  <si>
    <t>Email sent to Sika (Martin and Joseph) to propose some solution based on our today's visit of site.</t>
  </si>
  <si>
    <t>Site visit along with Sameh and Bitar to Oberoi towers basement-3 and basement-4</t>
  </si>
  <si>
    <t>Quotation sent to Mr. Tarun for AED 255,000</t>
  </si>
  <si>
    <t>Drawings for Level-02 printed at A1 scale to be discussed tomorrow with JP from Client for final printing and approval.</t>
  </si>
  <si>
    <t>Called guy from Doka regarding the requirements for the support system. Sent necessary details to the guy from Khansaheb to prepare the contract for CCL</t>
  </si>
  <si>
    <t>Awaiting the response on CCL's technical submittal</t>
  </si>
  <si>
    <t>Visited tiara hotel site along with Armia and met JP from client. Discussed coring table and he needs more points for offset. Also 6 more new cores are required (4 at Level-14 and 2 at basement-1)</t>
  </si>
  <si>
    <t>Updated loading required from Omar</t>
  </si>
  <si>
    <t>Talked with Martin and he shared his waterproofing team personnel info.</t>
  </si>
  <si>
    <t>Final quotation sent for AED 400,000 to Ms. Maryam from CSEC.</t>
  </si>
  <si>
    <t>BOQ to be made for the actual requirements and materials at site. LPO sent for the cutting works.</t>
  </si>
  <si>
    <t>Talk of Martin with sameh and new meeting to be arranged with client for new site visit along with Sika.</t>
  </si>
  <si>
    <t>Email sent to Florian for loading and zone for support works</t>
  </si>
  <si>
    <t>Quotation sent for 14 new cores in Hera Building</t>
  </si>
  <si>
    <t>Continued work on tiara drawings for final submission</t>
  </si>
  <si>
    <t>Letter made, reviewed by Bitar and sent to Sameh for final review</t>
  </si>
  <si>
    <t>Raffah Building</t>
  </si>
  <si>
    <t>Email sent to Bilal regarding updates on the status of various works and preparations at site</t>
  </si>
  <si>
    <t>Drawings for Level-02 almost complete</t>
  </si>
  <si>
    <t>Letter sent for the various NCRs related to cracks</t>
  </si>
  <si>
    <t>Site visit done along with Atef and report sent to Sameh.</t>
  </si>
  <si>
    <t xml:space="preserve">Revised site visit done along with Martin and one waterproofing guy from their company </t>
  </si>
  <si>
    <t xml:space="preserve">Updated info and drawing received from Shihab for the rebar details. Sketch also sent to Florian for the shuttering works. </t>
  </si>
  <si>
    <t>Revised letter for the crack repair works.</t>
  </si>
  <si>
    <t xml:space="preserve">As-built with Rev-Y to be submitted. Sent to Kurt for printing and submission. </t>
  </si>
  <si>
    <t xml:space="preserve">As per sameh need to hold any submittals till payment issues are clear. </t>
  </si>
  <si>
    <t>Quotation sent for AED 38,000 to Mr. Prasantha from Al-Tayer</t>
  </si>
  <si>
    <t>MoE Grouting Khansaheb</t>
  </si>
  <si>
    <t>Quotation sent for AED 5,000 to Mr. Hicham from NFPC</t>
  </si>
  <si>
    <t>Quotation sent for AED 20,000 to Mr. Jappu from Khansaheb</t>
  </si>
  <si>
    <t xml:space="preserve">Previous technical submittal documents returned by client. </t>
  </si>
  <si>
    <t>Report prepared with Bitar and sent to Roland cc: sameh for review.</t>
  </si>
  <si>
    <t>Revised quotation along with all the prequalification documents sent to Mithun from Khansaheb for AED 16,000</t>
  </si>
  <si>
    <t>Revised quotation with VAT Sent for AED 34000</t>
  </si>
  <si>
    <t>Final report sent to Mr. Roland to send to client. Earlier had discussion with Mr. roland, bitar and atef.</t>
  </si>
  <si>
    <t>Various emails regarding various issues at site and to arrange works.</t>
  </si>
  <si>
    <t>Mr. Roland will finalize some meeting with client.</t>
  </si>
  <si>
    <t xml:space="preserve">MS prepared for the grouting works. Need to review and update after discussion with Atef. </t>
  </si>
  <si>
    <t>Updated layout and details received from Khansaheb for wall cutting works</t>
  </si>
  <si>
    <t>MS + RA submitted to Khansaheb and now awaiting their LPO</t>
  </si>
  <si>
    <t>Visit to the Ramboll office along with Bitar and discussed in detail regarding GOOGLE office project and general presentation about CCL.</t>
  </si>
  <si>
    <t>Call to sameh to get updates.</t>
  </si>
  <si>
    <t>NOC to be sent to PPI contracting company and works to be started by tomorrow after PPI carries out the marking at site. CCL received full payment already.</t>
  </si>
  <si>
    <t xml:space="preserve">NOC letter sent to PPI. Scanning to be started on site today. </t>
  </si>
  <si>
    <t>Email HSE induction details to Khansaheb.</t>
  </si>
  <si>
    <t xml:space="preserve">Revised quotation for Hera to client and LPO sent to Manara for the coring works. </t>
  </si>
  <si>
    <t>Drawing sent to Shihab (first and ground floor coring works) - shifted</t>
  </si>
  <si>
    <t>Marina Arcade Dutco</t>
  </si>
  <si>
    <t>INC Media City</t>
  </si>
  <si>
    <t>Official quotation sent for AED 3000 (14 no's of scanning points)</t>
  </si>
  <si>
    <t>Need autocad drawings with proper coring details</t>
  </si>
  <si>
    <t>Quotation sent for AED 4,000,000 to Bhatia company for main two voids</t>
  </si>
  <si>
    <t xml:space="preserve">Enquiry also received from Ms Quantum for same areas similar to enquiry from Dutco. </t>
  </si>
  <si>
    <t>Revisd quotation to be sent - New scope requested for the cutting works.</t>
  </si>
  <si>
    <t>Updated sameh about the status of drawings - Need response from JP</t>
  </si>
  <si>
    <t>Will discuss in detail with sameh tomorrow</t>
  </si>
  <si>
    <t>Still awaiting CAD drawings from client</t>
  </si>
  <si>
    <t>LPO sent to ACE company for the grouting machine. Documents sent to Khansaheb to arrange the grouting works</t>
  </si>
  <si>
    <t>Revised quotation with revised terms sent for AED 4.1 Mn</t>
  </si>
  <si>
    <t>Dilmunia Mall Bahrain</t>
  </si>
  <si>
    <t>Quotation made for USD 10,200 and sent to Sameh</t>
  </si>
  <si>
    <t>BOQ and quotation made ready. Total value 7.2 Million AED</t>
  </si>
  <si>
    <t>Will get updates today on how to proceed further.</t>
  </si>
  <si>
    <t>Awaiting AutoCAD drawings</t>
  </si>
  <si>
    <t>Final revised quotation sent for AED 7 Million (6 openings to be closed by Bhatia)</t>
  </si>
  <si>
    <t>Manzil Building Karama</t>
  </si>
  <si>
    <t>Building in Silicon</t>
  </si>
  <si>
    <t>Still wating for commented drawings from JP</t>
  </si>
  <si>
    <t>Quotation along with schedule sent to Mr. Kumar</t>
  </si>
  <si>
    <t>DIFC Gate Avenue Coring</t>
  </si>
  <si>
    <t>Revised and updated offer sent for AED 25,000</t>
  </si>
  <si>
    <t>Quotation for cutting portion of slab sent for AED 3000</t>
  </si>
  <si>
    <t>Quotation (revised) sent for AED 2500</t>
  </si>
  <si>
    <t>MOE Khansaheb</t>
  </si>
  <si>
    <t>MS for the cutting works</t>
  </si>
  <si>
    <t>New enquiry for the cutting works required</t>
  </si>
  <si>
    <t>Quotation sent to Khamesy for AED 36,000</t>
  </si>
  <si>
    <t>Technical submittal sent to Emirates Engineer</t>
  </si>
  <si>
    <t>Email sent and asked for official meeting</t>
  </si>
  <si>
    <t>Email reminder by Kamalambika to JP for approval</t>
  </si>
  <si>
    <t>Follow-up call to Mr. Anees for the drawings. Received architectual drawings for various floors and made print-outs</t>
  </si>
  <si>
    <t xml:space="preserve">Follow-up call to Mr. Kumar. He still needs to submit to client his own quotation. </t>
  </si>
  <si>
    <t>MS sent to Armia for approval</t>
  </si>
  <si>
    <t>Some clarificaitons with Emirates Engineer as well as Odai for some beam and slab cutting issues. Odai sent NOC to proceed.</t>
  </si>
  <si>
    <t>Site survey along with Atef and Armia for the Oberoi building in Business Bay Area. Surveyed B4, B3, B2 and B1 from 12 till 3pm</t>
  </si>
  <si>
    <t>Quotation made for USD 10,800 and sent to Sameh</t>
  </si>
  <si>
    <t>Cake and More</t>
  </si>
  <si>
    <t>GPR scanning report sent to client</t>
  </si>
  <si>
    <t>Updated letter to Murthy for crack NCR response</t>
  </si>
  <si>
    <t>Quotation sent for AED 6.28 Mn to Dutco</t>
  </si>
  <si>
    <t>GPR scanning works report sent to Ms. Mini</t>
  </si>
  <si>
    <t>Some clarification sent to Mithun</t>
  </si>
  <si>
    <t>BOQ under process. Mark-up for all the repair areas done</t>
  </si>
  <si>
    <t>Rev-Y for the drawings to be prepared</t>
  </si>
  <si>
    <t>Letter sent as response to "delay of works" letter</t>
  </si>
  <si>
    <t>Revised quotation to be sent 5cm jacketing</t>
  </si>
  <si>
    <t>Revised quotation with break-down to be sent</t>
  </si>
  <si>
    <t>GPR report revised and sent along with drawings</t>
  </si>
  <si>
    <t>Report (new by Atef) to be sent officially to client</t>
  </si>
  <si>
    <t>Material BOQ to be prepared</t>
  </si>
  <si>
    <t>Material submittal along with material sample to be submitted</t>
  </si>
  <si>
    <t>Revised quotation sent for AED 33,000</t>
  </si>
  <si>
    <t>Quotation sent for AED 250,000</t>
  </si>
  <si>
    <t>Quotation sent with detailed break-down as requested by client</t>
  </si>
  <si>
    <t>Material submittal to be printed total 04 copies along with change to Rev-01</t>
  </si>
  <si>
    <t>Sent report to Khamesy</t>
  </si>
  <si>
    <t>Revised quotation with small change to break-down sent to Bhatia</t>
  </si>
  <si>
    <t>Material submittal along with material sample submitted officially - 4 copies</t>
  </si>
  <si>
    <t>Level - 03 under process</t>
  </si>
  <si>
    <t>Drawings up to Level-09 completed</t>
  </si>
  <si>
    <t>Ewan Coring</t>
  </si>
  <si>
    <t>Quotation sent to Mr. Gad for AED 2000</t>
  </si>
  <si>
    <t>Revised quotation sent with updated Gridlines</t>
  </si>
  <si>
    <t>Some email correspondence regarding loading layout and support layout</t>
  </si>
  <si>
    <t>Response for the coring in HCS slab sent</t>
  </si>
  <si>
    <t>Continuing with the coring schedule - Currently level-13 almost finished starting from level-02</t>
  </si>
  <si>
    <t>Status update report</t>
  </si>
  <si>
    <t>Level-01, Mezzanine done, Level-15 done</t>
  </si>
  <si>
    <t>Level-14 done</t>
  </si>
  <si>
    <t>Basement-2 drawing work continued</t>
  </si>
  <si>
    <t>Details sent to PM Hassan regarding list of strengthening requirements</t>
  </si>
  <si>
    <t>PT_Town Square</t>
  </si>
  <si>
    <t>Quotation sent for AED 657,009</t>
  </si>
  <si>
    <t>PT_Zawaya Al-Hebiah</t>
  </si>
  <si>
    <t>Email sent to Khansaheb team with updated drawings from odai for the loading plan</t>
  </si>
  <si>
    <t>PT_DCH Palace</t>
  </si>
  <si>
    <t>Quotation prepared and will be sent by Josephine to the client.</t>
  </si>
  <si>
    <t>Revised quotation to be sent along with better pricing for steel works</t>
  </si>
  <si>
    <t>Site visit done with Atef and Ayman from Dutco to make BOQ for the crack repairs as well as concrete repair works</t>
  </si>
  <si>
    <t>Report sent for the GPR scanning and coring works</t>
  </si>
  <si>
    <t>Sent revised quote as per client's BOQ. Price is same 7 Million AED</t>
  </si>
  <si>
    <t>Revised quotation sent to Bhatia</t>
  </si>
  <si>
    <t>Email sent for Dr. Ghanem villa to contractor for info required</t>
  </si>
  <si>
    <t>Drawings All completed. Sent to Odai for review.</t>
  </si>
  <si>
    <t>Email response sent to Ayah for the slab thickness proposals</t>
  </si>
  <si>
    <t>Stamped architectural drawings sent to client by email</t>
  </si>
  <si>
    <t>Revised Qutoation sent for AED 6.3 Mn. Steel fixing price reduced and Qty for cracks as well as concrete repairs added.</t>
  </si>
  <si>
    <t>Drawings sent to Kurt for review.</t>
  </si>
  <si>
    <t>Email sent to Ayah with new proposal for slab thickness</t>
  </si>
  <si>
    <t>Some drawings printed as a sample before official submission to client.</t>
  </si>
  <si>
    <t>Drawings updated as per Armia comments after visiting JP at site</t>
  </si>
  <si>
    <t>Drawings printed for armia</t>
  </si>
  <si>
    <t>LKP received for level-01 and Basement-02 from odai and should be included in submittal.</t>
  </si>
  <si>
    <t>Meeting requested at DBB office in jebel ali. Me and atef attended meeting at their office and met Mr. Rizwan and Abdul Hafeez</t>
  </si>
  <si>
    <t>Review of BOQ</t>
  </si>
  <si>
    <t>Revised full package email to be sent to Kurt for full printing of Rev-Y</t>
  </si>
  <si>
    <t>Quotation for grouting works sent as two options.</t>
  </si>
  <si>
    <t>Quotation prepared and need Bitar's input</t>
  </si>
  <si>
    <t>Ali &amp; Sons_AUH</t>
  </si>
  <si>
    <t>Revised quotation sent for AED 31,000 with break-up</t>
  </si>
  <si>
    <t>Revised quotation sent for AED 75,000</t>
  </si>
  <si>
    <t>Atif to visit the site</t>
  </si>
  <si>
    <t>Revised boq prepared. Total price to be quoted around 7.2 Million. Atef visited site today with techno-steel person</t>
  </si>
  <si>
    <t>Rev-Y printed and should be submitted officially.</t>
  </si>
  <si>
    <t>Adnan Contracting_Gunite</t>
  </si>
  <si>
    <t>Site visit to AUH along with Atef for the Ali &amp; Sons C40 building.</t>
  </si>
  <si>
    <t>Quotation sent to Vineed for AED 32,500</t>
  </si>
  <si>
    <t>Emails and information sent to Omar</t>
  </si>
  <si>
    <t>Discussed along with design team and Tarun from ramboll about ways to move forward.</t>
  </si>
  <si>
    <t>Sent final quotation for 7.197 Million</t>
  </si>
  <si>
    <t>Sent quotation for AED 33,500</t>
  </si>
  <si>
    <t>Sent quotation for AED 29,000</t>
  </si>
  <si>
    <t>Need to print the vertical members drawings as well</t>
  </si>
  <si>
    <t>Made BBS for steel rebar and sent to Atef</t>
  </si>
  <si>
    <t>Invoice # 20 sent to atef for review</t>
  </si>
  <si>
    <t>Visited tiara site and signed all the drawings submitted by hand.</t>
  </si>
  <si>
    <t>Revised and updated invoice # 20</t>
  </si>
  <si>
    <t>Received the updated LOA and CCL team will start working on design checks and strengthening design</t>
  </si>
  <si>
    <t>Email sent to shihab regarding gap between shuttering system and the props</t>
  </si>
  <si>
    <t>Drawings Rev-Y for vertical elements submitted today</t>
  </si>
  <si>
    <t>Sent revised Quotation</t>
  </si>
  <si>
    <t>Sent revised letter</t>
  </si>
  <si>
    <t>Received the original contract agreement</t>
  </si>
  <si>
    <t>Received enquiry for the roof coating works</t>
  </si>
  <si>
    <t>Details sent to Bitar for the ghanem villa</t>
  </si>
  <si>
    <t xml:space="preserve">New quotation sent </t>
  </si>
  <si>
    <t>Awaiting sika proposal for the roofing works. Roof coating proposal required from sika</t>
  </si>
  <si>
    <t>Revised quotation sent for AED 30,000 and also received the VO. Need to finalize the payment terms with Khansaheb.</t>
  </si>
  <si>
    <t>Drawing # 1941 and 1942 were missing (numbering only) and submitted as soft copy to Kamrul</t>
  </si>
  <si>
    <t>Need to submit MS to client (same as previous but for different area)</t>
  </si>
  <si>
    <t>Sika asked for site visit to Ali &amp; Sons showroom</t>
  </si>
  <si>
    <t>Olga agreed for site visit tomorrow (i.e. Monday)</t>
  </si>
  <si>
    <t>Sent some updated info to Omar. Prepared the technical specs for the strengthening works required.</t>
  </si>
  <si>
    <t>MS for the grouting works required at MOE - BASF material</t>
  </si>
  <si>
    <t>Olga agreed for site visit tomorrow (i.e. Tuesday morning at 8:30)</t>
  </si>
  <si>
    <t>MS prepared</t>
  </si>
  <si>
    <t>AlTayer_Google</t>
  </si>
  <si>
    <t>Visited Ali &amp; Sons showroom roof site regarding new coating works. Olga from Sika and Hollow-core slab contractor also visited the site.</t>
  </si>
  <si>
    <t>MS now required for the wall casting - Grouting will be separate</t>
  </si>
  <si>
    <t>Quotation gave to Armia and will be submitted by hand. Total price is AED 39,000</t>
  </si>
  <si>
    <t>Quotation sent for AED 308,000 to three contractors</t>
  </si>
  <si>
    <t>Some drawings and details sent to Omar</t>
  </si>
  <si>
    <t>Call from client regarding small presentation at client's office. Need preparation for upcoming meeting on Sunday. Meeting request received and responded in positive for meeting on coming Sunday 13 Oct 2019 at 3pm.</t>
  </si>
  <si>
    <t>Technical submittal sent to Engr. Fouad from CCT company</t>
  </si>
  <si>
    <t>Quotation sent to one more contractor</t>
  </si>
  <si>
    <t>Email sent as an IR to shihab</t>
  </si>
  <si>
    <t>Quotation sent for coring design check for USD 540</t>
  </si>
  <si>
    <t>Crown Prince Court</t>
  </si>
  <si>
    <t>NDA sent to client to get the models and details</t>
  </si>
  <si>
    <t>Quotation sent for 8 cores for 1600</t>
  </si>
  <si>
    <t>Site visit done along with Atef for the external boundary wall repairs required at Dewaan Raeisi in Abu Dhabi</t>
  </si>
  <si>
    <t xml:space="preserve">Quotation also to be sent for AFO </t>
  </si>
  <si>
    <t>Email sent for new IR for casting works. LPO sent to ACE company for release of machine.</t>
  </si>
  <si>
    <t>Marina Arcade 2019</t>
  </si>
  <si>
    <t>Hub Zero AFO</t>
  </si>
  <si>
    <t>Site visit required for Hub Zero project. Email sent already requesting for site visit.</t>
  </si>
  <si>
    <t>Quotation also to be sent for 1 core and 1st floor and info about new 150 cores</t>
  </si>
  <si>
    <t>ETABS model received from client and need to be studied for revised Quotation. Steel quotation will be received today.</t>
  </si>
  <si>
    <t>LPO for cutting works also sent.</t>
  </si>
  <si>
    <t>Sent quotation to Khansaheb interiors as well</t>
  </si>
  <si>
    <t>New ETABS model received and our team studying the same. Need to find 2-3 more structural steel subcontractors.</t>
  </si>
  <si>
    <t>Bridge Salini</t>
  </si>
  <si>
    <t>Comments on submittal and need to send revised version</t>
  </si>
  <si>
    <t>CCL can't quote as the existing pile capacity is way below strengthening works.</t>
  </si>
  <si>
    <t>BOQ and quantities provided to Atef for Hera CFRP 600C works</t>
  </si>
  <si>
    <t>Sent ETABS 9.6 to Omar for review. Revised quotation to be made with discounted pricing as well as input from bitar. Will have meeting with steel guys tomorrow for steel quotation. Received quotation of 1.5 Million (supply &amp; installation).</t>
  </si>
  <si>
    <t xml:space="preserve">Meeting with structural steel supplier i.e. M/s United Steel Works. Discussed various aspects and need to send updated information to send us latest revised quotation. </t>
  </si>
  <si>
    <t>Final quotation (combined) sent along with new repairs and PT works sent to Mr. Tamer for two options. Option # 1 is 7.3 million and Option # 2 is 6.5 million</t>
  </si>
  <si>
    <t>Meeting done at client's office and discussed along with Sameh and bitar</t>
  </si>
  <si>
    <t>Email sent for IR # 2 to shihab</t>
  </si>
  <si>
    <t xml:space="preserve">Meeting with Mr. KC at Al-Tayer stocks office in Barsha-1 and discussed in detail out pricing proposal. </t>
  </si>
  <si>
    <t>Sent letter to Wasl team by email</t>
  </si>
  <si>
    <t>Sent quotation to al-tayer stocks as well as khansaheb as revised Qtn</t>
  </si>
  <si>
    <t>Sent letter comments for the VO approval</t>
  </si>
  <si>
    <t>BW_Palm Villa</t>
  </si>
  <si>
    <t>Quotation sent to Arabian for 600 / sqm unit rate basis</t>
  </si>
  <si>
    <t>Follow-up call to Mr. Haries and he received our quotation</t>
  </si>
  <si>
    <t>Quotation sent for AED 175000 (@ 11600 per column) to BW company. Some queries for the cutting works and need to also quote for the demolition of columns work.</t>
  </si>
  <si>
    <t>Danube Fire NEB</t>
  </si>
  <si>
    <t>LPO for ACE company sent to Sreekumar along with cheque copy</t>
  </si>
  <si>
    <t>Tried to reach Ms. Ayesh but couldn't.</t>
  </si>
  <si>
    <t>Revised quotation to be sent along with cutting works. Total now 182,000</t>
  </si>
  <si>
    <t>Abu-Khail Bldg</t>
  </si>
  <si>
    <t>Revised quotation to be sent along with filled-in BOQ</t>
  </si>
  <si>
    <t>Visited site along with Atef and took photos for the various damaged areas</t>
  </si>
  <si>
    <t>BoQ under process with Pooja for the repair areas</t>
  </si>
  <si>
    <t>Email sent for all the as-built and design drawings of Rotunda area</t>
  </si>
  <si>
    <t>BoQ finalized by Pooja and need to make quotation based on this boq</t>
  </si>
  <si>
    <t>Quotation made based on unit rate basis</t>
  </si>
  <si>
    <t>Updated quotation sent for AED 198,000 to Abdul Qavi</t>
  </si>
  <si>
    <t>Cube test result sent to Shihab</t>
  </si>
  <si>
    <t>Revised and updated quotation sent along with updated boq received from Ms. Ayesha for total 3.1 Mn</t>
  </si>
  <si>
    <t>Quotation sent for AED 273,000 for repair works based on Atef's site survey and boq</t>
  </si>
  <si>
    <t>Revised revalidated quotations sent to Mr. abdul rehman</t>
  </si>
  <si>
    <t>Revised quotation sent to SummerTown for AED 323,000</t>
  </si>
  <si>
    <t>Revised offer sent to Khansaheb for AED 358,000 including design works</t>
  </si>
  <si>
    <t>Revised quotation sent to ISG for AED 323,000</t>
  </si>
  <si>
    <t>Khansaheb Souqalbahar</t>
  </si>
  <si>
    <t>All the drawings to be updated based on previous core numberings as used in Rev-X. Coordinates should be co-related with the existing coring numbers.</t>
  </si>
  <si>
    <t>Revised site visit along with Atef and sent revised quotation of AED 367,000</t>
  </si>
  <si>
    <t>Updated drawings received and still awaiting queries response</t>
  </si>
  <si>
    <t>Work on updated drawings to start</t>
  </si>
  <si>
    <t>Need to visit site tomorrow morning 8:30 to meet Amro from Arif Group</t>
  </si>
  <si>
    <t>Visited the site along with atef and met amro from arif group. Need to send our quotation as per report from Salama.</t>
  </si>
  <si>
    <t>Consultation with martin over voice messages and will send quotation after talking to him tomorrow.</t>
  </si>
  <si>
    <t>Still awaiting response to our queries</t>
  </si>
  <si>
    <t>Coring works in slab and wall</t>
  </si>
  <si>
    <t>Elite Business Bay</t>
  </si>
  <si>
    <t>Quotation sent for AED 2500</t>
  </si>
  <si>
    <t>Quotation sent to M/s Al-Arif for AED 125000</t>
  </si>
  <si>
    <t>Quotation sent for AED 13500</t>
  </si>
  <si>
    <t>Revised quotation for beam cutting and strengthening sent for AED 35000</t>
  </si>
  <si>
    <t>Revised quotation sent for AED 531000 to Mr. Qadora</t>
  </si>
  <si>
    <t>Revised quotation for only GPR scanning sent for AED 2500</t>
  </si>
  <si>
    <t>Started work with Level-01 of drawings - Only H2 reconciled</t>
  </si>
  <si>
    <t>Site survey to be done by atef before sending actual layout to client for crack injection works</t>
  </si>
  <si>
    <t>Coring works done at site. Photos from Nageh.</t>
  </si>
  <si>
    <t>Reminder to client and they will come back soon.</t>
  </si>
  <si>
    <t>Revised quotation sent for AED 115,000 to Mr. Amro</t>
  </si>
  <si>
    <t>Site visit for CRC project "khamas business bay" - Need to send quotation</t>
  </si>
  <si>
    <t>Site visit done along with Atef and met Engr. Ahmed Bakr</t>
  </si>
  <si>
    <t>Mama hotel CRC</t>
  </si>
  <si>
    <t>Gulf and Safa Dairies</t>
  </si>
  <si>
    <t>Site visit along with Sameh for the Gulf and Safe dairies (under NFPC company) for various repair related areas.</t>
  </si>
  <si>
    <t>Letter for some NOC</t>
  </si>
  <si>
    <t xml:space="preserve">Visit to factory along with Atef and one foreman to carry out chipping of some tiles in order to see the condition behind the tiles. </t>
  </si>
  <si>
    <t>VO for the equipment movement related design checks</t>
  </si>
  <si>
    <t>LPO received by Mena. Need to receive the original from their head office</t>
  </si>
  <si>
    <t>MS + Method Statement + Material quantity for our team</t>
  </si>
  <si>
    <t>Quotation sent for jacketing works along with two proposals related to ground floor column rebar issue</t>
  </si>
  <si>
    <t>Advance 20% invoice for AED 24,000 sent to Engr. Amro</t>
  </si>
  <si>
    <t>IAT Zayed University</t>
  </si>
  <si>
    <t>Received call and enquiry from IAT zayed university about some structural issues</t>
  </si>
  <si>
    <t>Sent back email requesting structural drawings and site visit</t>
  </si>
  <si>
    <t>Follow-up regarding our email for drawings and visit</t>
  </si>
  <si>
    <t>Site visit to be done tomorrow. Postponed from today due to weather</t>
  </si>
  <si>
    <t>Site visit along with Sameh and Bitar. Jacketing for all columns will be required if production can be stopped.</t>
  </si>
  <si>
    <t>American University Sharjah</t>
  </si>
  <si>
    <t>Received enquiry from BW company for CFRP strengthening required at American University in Sharjah</t>
  </si>
  <si>
    <t>Technical report for the Gulf and Safa dairies project</t>
  </si>
  <si>
    <t>Long conversation with Mr. Hani about king faisal hospital and about pricing issues.</t>
  </si>
  <si>
    <t>Need further inputs from BW company.</t>
  </si>
  <si>
    <t>Printed submittal as draft for tomorrow's meeting at Deira with Consultant</t>
  </si>
  <si>
    <t>Site visit done along with Atef for Zayed university female campus in Delma street.</t>
  </si>
  <si>
    <t>Site visit and meeting with client and Amro from Al-Arif for Royal hotel repair works</t>
  </si>
  <si>
    <t>Sent full details to bitar along with some photos. Fadi pushing him for the report. Mohammad to now prepare and send report to Fadi</t>
  </si>
  <si>
    <t>MS updated for submission to consultant</t>
  </si>
  <si>
    <t>Sent site visit and recommendations report to Mr. Fadi (prepared by bitar and sent by Sameh)</t>
  </si>
  <si>
    <t>Need to update pricing for King-Faisal boq</t>
  </si>
  <si>
    <t>Quotation sent for AED 75,000 (wall strengthening works)</t>
  </si>
  <si>
    <t>Full technical submittal sent to Amro (Al-arif group)</t>
  </si>
  <si>
    <t>Quotation sent for AED 8000 for 10 floors (10 cores per floor)</t>
  </si>
  <si>
    <t>Email sent to Sameh along with report from Ralph (designer)</t>
  </si>
  <si>
    <t xml:space="preserve">Some issues related to purchase of Sikadur-300. Material not available in Sika Bahrain and only 30Kg set (12 Kg required) available in Sika UAE. Need to purchase from Sika UAE and send to Sika Bahrain via courier. </t>
  </si>
  <si>
    <t>Long discussion with Mr. Hani regarding the king faisal project. Updated the BOQ based on latest Fosroc pricing and better than Sika. Total around 11 Mn SAR now</t>
  </si>
  <si>
    <t>Quotation prepared for report for AED 16000. Atif to submit tomorrow by hand.</t>
  </si>
  <si>
    <t>Sent details to Omar for checking</t>
  </si>
  <si>
    <t>Awaiting omar response</t>
  </si>
  <si>
    <t>Invoice # 21 prepared</t>
  </si>
  <si>
    <t>Revised LPO for AED 1550 / 30 kg material (Sikadur 300) sent to Sika</t>
  </si>
  <si>
    <t>Good discussion with Mr. Hani and Mr. Roland over phone and finalized some pricing of 9.85Mn for project.</t>
  </si>
  <si>
    <t>Sent HSE induction letter and documents to Mr. Amro. Prepared the schedule and sent to CCL's team for review.</t>
  </si>
  <si>
    <t>Quotation sent for AED 13,200 for 7 openings in ewan building</t>
  </si>
  <si>
    <t>Quotation sent for AED 65,000 for 46 openings</t>
  </si>
  <si>
    <t>Site visit along with Armia, Atef and Nageh to Royal Continental hotel project and met owner, manager and other personnel as well as meeting with amro from Al-arif.</t>
  </si>
  <si>
    <t>Sent email about extra 70 LM of crack repairs required at Elite-2 building</t>
  </si>
  <si>
    <t>Revised and updated BOQ for pricing of faisal hospital sent to Mr. Hani</t>
  </si>
  <si>
    <t>LPO made for Sika materials for Royal continental</t>
  </si>
  <si>
    <t>Letter for coring works and email for the project issues sent to Mr. Fouad</t>
  </si>
  <si>
    <t>Site works ongoing and CCL team started with various areas of work</t>
  </si>
  <si>
    <t>Site visit and took photos. Waited for Salama but they didn't arrive in morning 9:30 as promised by Amro (Al-arif)</t>
  </si>
  <si>
    <t>New enquiry received from ASGC</t>
  </si>
  <si>
    <t>Brass Monkey ISGPLC</t>
  </si>
  <si>
    <t>Email NOC sent to ATC for cores at Level-19, 21, 22 and 23</t>
  </si>
  <si>
    <t>Need to send quotation to ASGC</t>
  </si>
  <si>
    <t>Need to send report</t>
  </si>
  <si>
    <t>Dubai Silicon Park</t>
  </si>
  <si>
    <t>Site visit along with Sameh to silicon park in DSO and visited A5 building for some beam strengthening along with slab casting</t>
  </si>
  <si>
    <t>Need to send quotation for 4 openings</t>
  </si>
  <si>
    <t>Sent schedule of works to Mostafa shabaan. Need to order materials and start actual site works from Sunday.</t>
  </si>
  <si>
    <t>Murugesan also sent enquiry for same project. Sent queries to M/s ASGC</t>
  </si>
  <si>
    <t>Very long discussion with bitar and he designed the whole strengthening system within one hour</t>
  </si>
  <si>
    <t>Sent quotation for AED 19,500</t>
  </si>
  <si>
    <t>Awaiting response for the clarifications sent</t>
  </si>
  <si>
    <t>Pooja received call from M/s China Railway for sending our revised quotation. They got awarded as main contractor for "ME DO RE" JLT project. Called Mr. Haries and need to arrange meeting soon.</t>
  </si>
  <si>
    <t>Inspection Request # 1 prepared and sent to Amro - Hard copy sent by hand as well</t>
  </si>
  <si>
    <t>Quotation sent for AED 75,000</t>
  </si>
  <si>
    <t>Call for clarification. Need response</t>
  </si>
  <si>
    <t>Sent email to martin for material response for Ferrogard-903</t>
  </si>
  <si>
    <t>All emails saved on server.</t>
  </si>
  <si>
    <t>Muraqqabat Building</t>
  </si>
  <si>
    <t>Sent quotation for AED 22,000</t>
  </si>
  <si>
    <t>Al-Dhaih Bahrain</t>
  </si>
  <si>
    <t>GPR scanning report sent to Mini</t>
  </si>
  <si>
    <t>Email sent to Wasl team for level-24 coring design checks</t>
  </si>
  <si>
    <t>Letter to Mr. Christian for replacement with A252 mesh</t>
  </si>
  <si>
    <t>Revised quotation sent for AED 95,000</t>
  </si>
  <si>
    <t>Need to send quotation. Bitar need some more information to prepare proper proposal.</t>
  </si>
  <si>
    <t>Quotation sent for AED 460,000</t>
  </si>
  <si>
    <t>Revised quotation Sent for AED 20,500</t>
  </si>
  <si>
    <t>H1 Building</t>
  </si>
  <si>
    <t xml:space="preserve">Site visit done along with Atef and Consultant for H1 building located in JLT area of Dubai. </t>
  </si>
  <si>
    <t>Revised quotation with breakdown sent</t>
  </si>
  <si>
    <t>Revised forms sent to Atef</t>
  </si>
  <si>
    <t>Delivery notes and HSE documentation sent to Mostafa shabaan</t>
  </si>
  <si>
    <t>Email sent to client requesting relevant information</t>
  </si>
  <si>
    <t>Meeting request with China Railway company</t>
  </si>
  <si>
    <t>Emails and call exchange with Mostafa shabaan</t>
  </si>
  <si>
    <t>Meeting at China Railway's one project office in Mankhol and talked about ME DO RE project drawings and updates.</t>
  </si>
  <si>
    <t>IR # 2 sent by email to Amro and whole team including client, salama and DM</t>
  </si>
  <si>
    <t>Sent email to Mini regarding client's confirmation</t>
  </si>
  <si>
    <t>Email sent by Sameh to DAR</t>
  </si>
  <si>
    <t xml:space="preserve">Need to visit ASGC company for this quotation on coming Sunday. Talked with Martin. </t>
  </si>
  <si>
    <t>Awaiting response</t>
  </si>
  <si>
    <t>IR # 3 prepared and sent to Engr. Amro and Atef at 6pm</t>
  </si>
  <si>
    <t>Lengthey review of existing quotation and details after meeting day with client, consultant and main contractor i.e. china railway</t>
  </si>
  <si>
    <t>Long meeting at client's office in JLT and discussed various issues especially the Level-03 steel jacketing</t>
  </si>
  <si>
    <t>Long meeting with china state company at their site office in JLT. Discussed various issues importantly about schedule of works.</t>
  </si>
  <si>
    <t xml:space="preserve">Drawings for H1 and H3 building received along with report. </t>
  </si>
  <si>
    <t>Need to study the receieved data.</t>
  </si>
  <si>
    <t>Sent quotation to Khansaheb and also replied to their queries for jacketing and CFRP works.</t>
  </si>
  <si>
    <t>Sent technical submittal and now need to send 3 hard copies each for CCL prequalification document as well as submittal</t>
  </si>
  <si>
    <t>Need further updates from China Railway</t>
  </si>
  <si>
    <t>Today have meeting with client, consultant and main contractor</t>
  </si>
  <si>
    <t>IR # 4 submitted by email</t>
  </si>
  <si>
    <t>Long meeting at client's office with consultant and main contractor. Almost finalized the deal as LUMPSUM for 6.5 Million original price with Steel plate jacketing offer. (Meeeting me + bitar + sameh)</t>
  </si>
  <si>
    <t>Need to study the receieved data. Need to send email to sika guy to arrange subcontractors for us.</t>
  </si>
  <si>
    <t>Very detailed and comprehensive BOQ preparation started</t>
  </si>
  <si>
    <t>Final detailed quotation for PT and R &amp; S works sent to China Railway company. PT 34 / sqm and Repairs 6.515 Million.</t>
  </si>
  <si>
    <t>Sent mini 500 for new scanning. She approved and need to carry out coring works.</t>
  </si>
  <si>
    <t>Sent enquiry to Sika</t>
  </si>
  <si>
    <t>Detailed meeting with steel supplier USW and discussed various aspects of installation at site as well as the commercial issues.</t>
  </si>
  <si>
    <t xml:space="preserve">BOQ completed with all the most important details and overview. Need to work on BBS now as well as way to start with the technical submittal. Awaiting draft contract to review the same. </t>
  </si>
  <si>
    <t>Need sika response</t>
  </si>
  <si>
    <t>New enquiry about the C40 building in AUH (earlier visited by us months back). Need to carry out strengthening design and checks.</t>
  </si>
  <si>
    <t>Report sent to Mini</t>
  </si>
  <si>
    <t>Sent quotation by email for AED 2500</t>
  </si>
  <si>
    <t>Received the draft contract agreement for strengthening works. Sent back with various comments and clarifications.</t>
  </si>
  <si>
    <t>Sent request for clarifications.</t>
  </si>
  <si>
    <t>Awaiting revised contract</t>
  </si>
  <si>
    <t>Sent email to AMC for proposal</t>
  </si>
  <si>
    <t>Will have meeting tomorrow. Latest quotation (same like last) sent today.</t>
  </si>
  <si>
    <t>Coordination with AMC guy for site visit</t>
  </si>
  <si>
    <t>Meeting done with client along with Sameh. Need to now fill-up the required forms and then send back the details for contract.</t>
  </si>
  <si>
    <t>Received updated contract but with tough payment terms. Mr. Roland will have meeting with GM Gao along with Sameh on coming Saturday 9:30 in morning</t>
  </si>
  <si>
    <t xml:space="preserve">Meeting done by Mr. Roland and Sameh with China Railway and finalized the deal. Need to receive original copy. Sent request to Riyaz for meeting. </t>
  </si>
  <si>
    <t>MS + Material submittal under preparation</t>
  </si>
  <si>
    <t>Detailed final touches to BOQ and further details related to quantities to be updated.</t>
  </si>
  <si>
    <t>MS to be revised and updated as per consultant comments.</t>
  </si>
  <si>
    <t>Quotation to be sent as per the format and details received from M/s AMC</t>
  </si>
  <si>
    <t>DIFC Tenants</t>
  </si>
  <si>
    <t>Meeting with client and tenants arranged.</t>
  </si>
  <si>
    <t>Prudential Towers</t>
  </si>
  <si>
    <t xml:space="preserve">Need response from the al-tayer in order to proceed further. </t>
  </si>
  <si>
    <t>Received the final draft from client.</t>
  </si>
  <si>
    <t>Pooja preparing the BBS for full column jacketing works. Discussed initial details.</t>
  </si>
  <si>
    <t>Received enquiry for some beam strengthening works. Not interested</t>
  </si>
  <si>
    <t>Quotation sent to bitar for review and to be sent to client.</t>
  </si>
  <si>
    <t>Quotation sent for AED 12,500</t>
  </si>
  <si>
    <t xml:space="preserve">Quotation for some new area design checks at Level-19 roof related to steel structure (Louvres). </t>
  </si>
  <si>
    <t>Received some more forms to be filled and submitted</t>
  </si>
  <si>
    <t>Quotation prepared and sent for AED 50,000</t>
  </si>
  <si>
    <t>Pooja preparing the BBS for full column jacketing works. Discussed initial details. Main BBS completed.</t>
  </si>
  <si>
    <t>Documents as requested by ATS filled and sent back by email.</t>
  </si>
  <si>
    <t>Arrived in Bahrain 8:30 in morning. Started work for surface preparation using Sikadur-30 LP (With Faisal and Foreman).</t>
  </si>
  <si>
    <t>Did full application of CFRP wrapping system (530C) by myself along with Faisal, foreman and people from Main contractor. Consultant present during whole process.</t>
  </si>
  <si>
    <t>Quotation finalized and sent to client for AED 295,000</t>
  </si>
  <si>
    <t>Pooja continues work on detailed BBS</t>
  </si>
  <si>
    <t>Working on MS and submittal for various items</t>
  </si>
  <si>
    <t>Sent draft MS (client format) to Mr. Murthy</t>
  </si>
  <si>
    <t>Emails</t>
  </si>
  <si>
    <t>Need to send quotation as per the details from Omar and BOQ by pooja.</t>
  </si>
  <si>
    <t>Faisal sent the site update report regarding protection of installed CFRP wrapping system for Dilmunia mall.</t>
  </si>
  <si>
    <t>Documents as required by Al-Tayer sent. They need to do our camp audit. Mena nominated to handle the same.</t>
  </si>
  <si>
    <t>Pooja almost finalized the steel boq and need to be checked and reviewed.</t>
  </si>
  <si>
    <t>MS process continues and need to update various MS for official submission to client.</t>
  </si>
  <si>
    <t>Quotation prepared for AED 128,000</t>
  </si>
  <si>
    <t>Updated MSS as per murthy's comments via armia (on hard copy). And sent back to him for further review.</t>
  </si>
  <si>
    <t>Crack injection and raft thickening submittal completed and discussed</t>
  </si>
  <si>
    <t>Pooja BBS completed - Cutting works BOQ update from Armia</t>
  </si>
  <si>
    <t>Quotation sent to client</t>
  </si>
  <si>
    <t>Jumeirah Villa Gulf Engg</t>
  </si>
  <si>
    <t>Quotation sent to Engr. Rasha for AED 295,000</t>
  </si>
  <si>
    <t>Enquiry sent for cutting works to Diamond edge cutting company (recommended by Al-Tayer)</t>
  </si>
  <si>
    <t>Coring report for ATC sent by email</t>
  </si>
  <si>
    <t>Enquiry sent to RMD company for scaffolding and shuttering works</t>
  </si>
  <si>
    <t>Awaiting response from Diamond edge cutting company</t>
  </si>
  <si>
    <t>Report for Level-19 sent to William</t>
  </si>
  <si>
    <t>Quotation sent to Maurice for cutting in secant piles for AED 15000</t>
  </si>
  <si>
    <t>MS updated and sent to Kurt for printing and official submission</t>
  </si>
  <si>
    <t>MS to be submitted officially. Talked to armia and he clarified first Aconex upload should be done before printing actual MS. Kurt off today.</t>
  </si>
  <si>
    <t>MS printed and to be submitted by Kurt today.</t>
  </si>
  <si>
    <t>Need to sign and stamp the received subcontract agreement and send back by email to Mr. Rory</t>
  </si>
  <si>
    <t>Submittal finalized for cutting works as well as concrete column jacketing works</t>
  </si>
  <si>
    <t>Schedule to be studied as prepared by Atef.</t>
  </si>
  <si>
    <t>Email sent to steel suppliers for updated information (as per removal of steel from one side)</t>
  </si>
  <si>
    <t>BBS update ongoing - Couples to be used with straight bars</t>
  </si>
  <si>
    <t>Signed contract agreement sent to Rory</t>
  </si>
  <si>
    <t>Quotations (separate) for elite-2 and elite-6 sent</t>
  </si>
  <si>
    <t>Scanning report for level-21 sent</t>
  </si>
  <si>
    <t>Proposal raft casting plan sent to Bitar.</t>
  </si>
  <si>
    <t>Schedule to be updated in good format.</t>
  </si>
  <si>
    <t>Technical submittal all to be updated based on the latest comments received from Atef and site visit.</t>
  </si>
  <si>
    <t xml:space="preserve">Latest correspondence with ATS. Got call from Tarun also regarding pending payments. </t>
  </si>
  <si>
    <t>Schedule to be updated by Atef and then I need to prepare in presentable format</t>
  </si>
  <si>
    <t>Various discussions regarding response for comments on submittal</t>
  </si>
  <si>
    <t>Crack repairs and Raft casting submittal comments received - need to respond</t>
  </si>
  <si>
    <t>Email with some drawings received from ATS</t>
  </si>
  <si>
    <t>Schedule prepared and finalized by Atef for official submission to client.</t>
  </si>
  <si>
    <t>Emails sent for Level-20 and Level-27</t>
  </si>
  <si>
    <t>Working on the material submittal based on the input from Fosroc and Sika</t>
  </si>
  <si>
    <t>Marina Arcade Syndicate</t>
  </si>
  <si>
    <t>Full revised submittal incorporating all the comments from consultant updated and ready for printing. Tomorrow one copy to be submitted.</t>
  </si>
  <si>
    <t>Email sent by Sameh to Riyaz regarding update on the advance payment and advance bank guarantee.</t>
  </si>
  <si>
    <t>Submittal submitted today and awating any final response.</t>
  </si>
  <si>
    <t>Quotation sent for AED 51,000</t>
  </si>
  <si>
    <t>Meeting with M/s China Railway regarding CCL's submitted programme of works</t>
  </si>
  <si>
    <t>Emails to the diamond cutting company and calls. Need to get quotation.</t>
  </si>
  <si>
    <t>Calls to Dextra company.</t>
  </si>
  <si>
    <t>Detailed meeting done at office of Dextra coupler supplier in JAFZA view building # 19</t>
  </si>
  <si>
    <t>Detailed email along with photos and general details sent to Engr. Ahmed from APG (for Westburry Tower) in business bay.</t>
  </si>
  <si>
    <t>Westburry Tower APG</t>
  </si>
  <si>
    <t>Various emails with ATS And Ramboll. Received cutting quotation from M/s Diamond cutting for 6500 and from Manara for 16100</t>
  </si>
  <si>
    <t>Detailed crack survey layout preparation for all the slabs at MEDORE</t>
  </si>
  <si>
    <t>Final detailed drawings sent to Rory for confirmation and to Omar for preparation of final submittal for authority.</t>
  </si>
  <si>
    <t>Pricing sent for 2 cores required at basement-2 for 600</t>
  </si>
  <si>
    <t>Letter prepared for Riyaz regarding vertical elements and upper slabs.</t>
  </si>
  <si>
    <t>Revised Quotation sent for AED 45,000</t>
  </si>
  <si>
    <t>MS + Material submittal started for ATS</t>
  </si>
  <si>
    <t xml:space="preserve">Emails related to advance payment and submittal list sent. </t>
  </si>
  <si>
    <t>Letters prepared and sent to Bitar for review.</t>
  </si>
  <si>
    <t>Work ongoing on MS for google project. Got some input from Atef related to site works.</t>
  </si>
  <si>
    <t>Need to send the data to bitar for his input.</t>
  </si>
  <si>
    <t>Received comments on column jacketing material part. Sent letters as well as RAFT thickening drawings and calculations.</t>
  </si>
  <si>
    <t>Sent Level-23 coring scanning report</t>
  </si>
  <si>
    <t>Received cheque copy and confirmation on our quotation. Will start work from Level-39</t>
  </si>
  <si>
    <t>Revised quotation for AED 125,000</t>
  </si>
  <si>
    <t>Various emails back n forth and received final LPO.</t>
  </si>
  <si>
    <t>Some clarification email to Riyaz regarding the B3 wall layout</t>
  </si>
  <si>
    <t>Full technical submittal prepared and sent to Rory for DDA submission.</t>
  </si>
  <si>
    <t>Letter for crack calculation update</t>
  </si>
  <si>
    <t>Long useless meeting with Eversendai as they doesn't seem to be well-versed with steel plate jacketing and their payment terms are too strict. Drilling and chemical all also by CCL.</t>
  </si>
  <si>
    <t>Letter for undertaking of design - returned and need to re-submit</t>
  </si>
  <si>
    <t>Compliance statement for the crack repair works</t>
  </si>
  <si>
    <t>MS sent to Syndicate for approval.</t>
  </si>
  <si>
    <t>Revised undertaking letter sent to Bitar.</t>
  </si>
  <si>
    <t xml:space="preserve">Sent drawings again as well as CD by hand. </t>
  </si>
  <si>
    <t>Latest reports for Level-19 and Level-22 sent to ATC for Wasl</t>
  </si>
  <si>
    <t>Crack repair method compliance statement sent to Riyaz to be included in CCL's MS-Rev01.</t>
  </si>
  <si>
    <t>Site visit to Google project site along with Atef and Armia and met full ATS team and saw our areas for work. HSE documentation to be arranged as well before start of works at site.</t>
  </si>
  <si>
    <t>BW Emirates Villa</t>
  </si>
  <si>
    <t>BOQ for jacketing works as required at a villa received. Need to prepare proposal to be sent to them.</t>
  </si>
  <si>
    <t>Need to arrange meeting with main contractor to arrange response for all the comments on MS</t>
  </si>
  <si>
    <t>Visit to ATS office along with Atef and discussed the comments on RA from Ramboll.</t>
  </si>
  <si>
    <t>Sent site observations along with photos to Ahmed</t>
  </si>
  <si>
    <t>Sent revised full submittal (MS not updated) to Rory for DDA submission.</t>
  </si>
  <si>
    <t>Quotation sent to abdul qavi for Emirates hills villa</t>
  </si>
  <si>
    <t>MS comments updates</t>
  </si>
  <si>
    <t>Working on proposal for BW</t>
  </si>
  <si>
    <t>Site sketch plan from Level-02 up to Level-06</t>
  </si>
  <si>
    <t>As-built plans for remaining floors sent to Omar and Odai</t>
  </si>
  <si>
    <t>General lengthy call by Sherif from BASF about various projects and updates and need to cooperate more.</t>
  </si>
  <si>
    <t>Hard copy to be submitted today by Atef. Updated MS and RA for coring submitted again as well.</t>
  </si>
  <si>
    <t>Very long study of received documents as well as discussions with Sameh. Had discussion with Bitar as well and need to do final pricing for client.</t>
  </si>
  <si>
    <t>Report for Level-20 sent to ATC</t>
  </si>
  <si>
    <t>Scanning report sent for Level-39</t>
  </si>
  <si>
    <t>Final BOQ and quotation prepared for Orascom. 33 Million AED now.</t>
  </si>
  <si>
    <t>Detailed GPR scanning report to be arranged</t>
  </si>
  <si>
    <t>Email to Engr. Ahmed to arrange PT models and autocad drawings for west-burry tower building.</t>
  </si>
  <si>
    <t>After detailed revised discussion with Bitar, Qtn sent for AED 28 Million to Orascom company.</t>
  </si>
  <si>
    <t>New enquiry from company BATCO. Need to send same Qtn as Orascom.</t>
  </si>
  <si>
    <t>Quotation sent to BATCO as well</t>
  </si>
  <si>
    <t>Detailed GPR scanning report with NOC sent to Prince</t>
  </si>
  <si>
    <t>Response sent to some queries from Santosh for CCL's submittal</t>
  </si>
  <si>
    <t>Rev-01 response fully prepared for columns (mat + MS) and cutting (mat + MS)</t>
  </si>
  <si>
    <t>Email sent to Level-17, 18 and 20 (new cores) report to ATC</t>
  </si>
  <si>
    <t>Email response sent to Al-Fajer for H1 and H3 building queries. APG is copied.</t>
  </si>
  <si>
    <t>Quotation sent to Ahmed for AED 179,000 from APG</t>
  </si>
  <si>
    <t>Quotation sent for AED 5000 for 48 cores scanning works</t>
  </si>
  <si>
    <t>Sent mail to kurt to print one book for cutting MS (Rev-01)</t>
  </si>
  <si>
    <t>Letter arranged as response to close-out documentation request</t>
  </si>
  <si>
    <t>Coring scaning report sent to Santosh for Level-05</t>
  </si>
  <si>
    <t>Revised quotation with removal of VOID slab strengthening works. 24 Million Now.</t>
  </si>
  <si>
    <t>Quotation to be sent to Tornado company</t>
  </si>
  <si>
    <t>Marina Bay Building</t>
  </si>
  <si>
    <t>Detailed site visit and photos and videos for crack injection works (wet crack injection works)</t>
  </si>
  <si>
    <t>Email sent as response to enquiry and need information related to design liability. Some response received and BOQ to be arranged accordingly.</t>
  </si>
  <si>
    <t>Report sent for GPR scanning works. Emails sent related to works at night.</t>
  </si>
  <si>
    <t>Updated reports sent for Level-20 and Level-21</t>
  </si>
  <si>
    <t>Qtn to be sent to Tornado company</t>
  </si>
  <si>
    <t>Quotation sent to Bhatia for AED 10.2 Million</t>
  </si>
  <si>
    <t>Sent link to the complete submittal for DDA submission to ATS and Ramboll</t>
  </si>
  <si>
    <t>Received comments on crack repairs MS</t>
  </si>
  <si>
    <t>Sent email to Fosroc regarding questionnaire from Consultant APG</t>
  </si>
  <si>
    <t>Quotation sent to Tornado company for AED 24 Million (Same as for Orascom)</t>
  </si>
  <si>
    <t>Wisal Tower</t>
  </si>
  <si>
    <t>Received email from ABM company about Wisal tower strengthening works at G3 cluster in JLT. Similar to MEDORE in JLT.</t>
  </si>
  <si>
    <t>Started study of drawings and preparation of BOQ for R &amp; S works</t>
  </si>
  <si>
    <t>Call from Batco company regarding clarifications on CCL's quotation and will request CCL technical meeting.</t>
  </si>
  <si>
    <t>Sent email to Jamal regarding meeting with consultant on Monday</t>
  </si>
  <si>
    <t>Compliance statements sent to CR18 regarding comments on crack MS and comments on crack IR (mock-up)</t>
  </si>
  <si>
    <t>Received email response from Fosrco and Sika regarding questionnaire</t>
  </si>
  <si>
    <t>Sent confirmation to BATCO regarding meeting at their office for ARI bridge project technical discussion.</t>
  </si>
  <si>
    <t>Detailed supplier with Feroz from USW at our office and discussed various submittal issues and also the site mobilization and execution plan.</t>
  </si>
  <si>
    <t>Email response to Afsal from CR18 regarding MS related updates request</t>
  </si>
  <si>
    <t>VO # 1 for the additional 5 cores at Level-05; VO # 2 for changes at Roof level sent. (AED 2000 and AED 9850 respectively)</t>
  </si>
  <si>
    <t>Pooja continues with update on jacketing BOQ</t>
  </si>
  <si>
    <t>Today's meeting with BATCO cancelled by email</t>
  </si>
  <si>
    <t>Pooja continues with BOQ. Cutting works to be added today.</t>
  </si>
  <si>
    <t>MS + Mat submittal for steel cleaning and corrosion protection works.</t>
  </si>
  <si>
    <t>Break-down for VO # 2 sent to Santosh for approval</t>
  </si>
  <si>
    <t>sent revised DDA submittal to Santosh</t>
  </si>
  <si>
    <t>Raft Rev-02 finalized; steel protection MS + Material submittal also printed</t>
  </si>
  <si>
    <t>Subcontract agreement for USW (steel company).</t>
  </si>
  <si>
    <t>Updates to the cutting MS</t>
  </si>
  <si>
    <t>Hole closing MS as well as detailed response to all comments on crack repairs including attachments</t>
  </si>
  <si>
    <t>Pooja completed the work on BOQ and should be reviewed thoroughly before sending Qtn to ABM.</t>
  </si>
  <si>
    <t>Updates to the cutting MS and all sent for printing along with soft copies</t>
  </si>
  <si>
    <t>Draft subcontract agreement sent to Feroz from USW for review and comments.</t>
  </si>
  <si>
    <t>Need to make LPO for Sika materials</t>
  </si>
  <si>
    <t>Drawings sent to Sugin in CAD format. Need to update CCL's subcontract agreement for USW as per their comments.</t>
  </si>
  <si>
    <t>Level-40 drawing to armia for site scanning works. Payment received as advance for this floor.</t>
  </si>
  <si>
    <t>Material requirement boq to ccl team for checking.</t>
  </si>
  <si>
    <t>Material requirement boq to ccl team for checking. Working on the submittal response for comments on "column material submittal".</t>
  </si>
  <si>
    <t>Yas Media Zone</t>
  </si>
  <si>
    <t>Quotation sent to Danilo for AED 378,000</t>
  </si>
  <si>
    <t>Working on the submittal response for comments on "column material submittal".</t>
  </si>
  <si>
    <t>Submittal response for comments on "column material submittal" Rev-02.</t>
  </si>
  <si>
    <t>Letter response to CR18B regarding their letter for "delay in engineering documents submission".</t>
  </si>
  <si>
    <t>GPR scanning report sent</t>
  </si>
  <si>
    <t>Need detailed comprehensive study of all the data received and need to produce very detailed proposal for all the contractors requesting quotation. ABM, Ali &amp; Sons and CR18 already approached for prosposal.</t>
  </si>
  <si>
    <t>Steel plates material submittal to be submitted officially to CR18 from USW.</t>
  </si>
  <si>
    <t>Crack repairs existing BOQ prepared as a reference.</t>
  </si>
  <si>
    <t>NOC for level-40 coring sent</t>
  </si>
  <si>
    <t>Slab layout to Sugin (USW).</t>
  </si>
  <si>
    <t>Revised material submittal plates as per comments. Pull-out submittal officially to CR18.</t>
  </si>
  <si>
    <t>Updated crack layout to atef to attach with Irs</t>
  </si>
  <si>
    <t>VO for new scope to Amro for AED 18,000</t>
  </si>
  <si>
    <t>Prequalification document for USW + 3rd party prequalification document</t>
  </si>
  <si>
    <t>Received prequalification of USW + 3rd party. Will submit to CR18</t>
  </si>
  <si>
    <t>Digital meeting with BATCO company using EtisalatCloud software. Discussed various aspects of BOQ and pricing for ARI bridge.</t>
  </si>
  <si>
    <t>Updated schedule sent to Amro by Email</t>
  </si>
  <si>
    <t>IR for ferrogard-903 to be prepared</t>
  </si>
  <si>
    <t>Letter for wet crack injection works</t>
  </si>
  <si>
    <t>Hard and soft copies for prequalification document submitted.</t>
  </si>
  <si>
    <t>Letter for column chipping works</t>
  </si>
  <si>
    <t>Email regarding changed work schedule</t>
  </si>
  <si>
    <t>Response letter to CR18 for cracks</t>
  </si>
  <si>
    <t>Response letter to CR18 for delays in engg submittals</t>
  </si>
  <si>
    <t>Steel MS submission</t>
  </si>
  <si>
    <t>Meeting at JBC-1 building in Cluster-G - JLT</t>
  </si>
  <si>
    <t>Updated crack survey layout</t>
  </si>
  <si>
    <t>GPR scanning report Level-05 to Santosh</t>
  </si>
  <si>
    <t>Updated VO#2 with discount to Rashini. AED 7850</t>
  </si>
  <si>
    <t>Bulgari Marina Lofts</t>
  </si>
  <si>
    <t>IR # 6 submitted to amro and requested for inspection by Consultant.</t>
  </si>
  <si>
    <t>Letter for additional crack layout (leakage cracks 61LM)</t>
  </si>
  <si>
    <t>Email response to Rory for ITP and procurement list.</t>
  </si>
  <si>
    <t>Various emails regarding documents from Sika and Conmix. Clarification emails with CR18.</t>
  </si>
  <si>
    <t>Updated IR # 6 as well as IR # 3 and 4 sent to Atef. Original signed IR # 1 and 2 found by atef (earlier lost).</t>
  </si>
  <si>
    <t>Revised quotation requested by client. We requested for ETABS.</t>
  </si>
  <si>
    <t>Email to santosh regarding removal of some obstructions.</t>
  </si>
  <si>
    <t>IR and MIR sent to Santosh for review and comments</t>
  </si>
  <si>
    <t xml:space="preserve">Various emails to Sika and others for various confirmations. </t>
  </si>
  <si>
    <t>Quotation based on the available information</t>
  </si>
  <si>
    <t>Response to be sent based on the information available from people requested. Documents sent to Afsal for review.</t>
  </si>
  <si>
    <t>Quotaiton sent for AED 68,500 for two columns jacketing + Design</t>
  </si>
  <si>
    <t>Prepared IR # 7 and sent to atef for review.</t>
  </si>
  <si>
    <t>Wahda Mall AUH</t>
  </si>
  <si>
    <t>Prepared IR # 4 and sent to Santosh</t>
  </si>
  <si>
    <t>Email related to "permits and issues arising from 24 hours disinfection drive in dubai for two weeks" - COVID19</t>
  </si>
  <si>
    <t>Quotation sent for AED 368,000</t>
  </si>
  <si>
    <t>Email reply for USW payment request. Need to send CAD files for USW.</t>
  </si>
  <si>
    <t xml:space="preserve">Got call from main contractor. Received email about clarifications. </t>
  </si>
  <si>
    <t>IR # 5, 6 and 7 sent to Santosh; Level-04 and 05</t>
  </si>
  <si>
    <t>IR # 7 forwarded to Turk.</t>
  </si>
  <si>
    <t>Asked more questions from Umesh regarding the strengthening works required and to prepare our proposal accordingly.</t>
  </si>
  <si>
    <t>Tried to call the call for call back to Sameh for the quotation negotiation. Guy called sameh again later and asked for discounted offer to be sent tomorrow.</t>
  </si>
  <si>
    <t>Prepared two letters for CR18 and gave to atef for submission by hand.</t>
  </si>
  <si>
    <t>Updated quotation sent to Mr. Devasia for AED 331,000</t>
  </si>
  <si>
    <t>Cube test sent to Santosh</t>
  </si>
  <si>
    <t xml:space="preserve">Sent IR # 8 and 9 to </t>
  </si>
  <si>
    <t>EMPOWER CR18</t>
  </si>
  <si>
    <t>Email received from Martin regarding new project with CR18 at jaddaf area.</t>
  </si>
  <si>
    <t>Dubai Courts CR18</t>
  </si>
  <si>
    <t>All the information received from CR18 sent to Bitar for review</t>
  </si>
  <si>
    <t>Quotation sent to Mr. Cheng for AED 38,000</t>
  </si>
  <si>
    <t>Email to Mr. Remon with queries from Hilti</t>
  </si>
  <si>
    <t>MS and submittal for the CFRP works to be made</t>
  </si>
  <si>
    <t>Received call yesterday from Darline. Need to submit based on our assumptions.</t>
  </si>
  <si>
    <t>Email to Hilti regarding meeting with Consultant on coming Tuesday or Thursday at site.</t>
  </si>
  <si>
    <t>B3, B2 and LB slab strengthening drawings submitted</t>
  </si>
  <si>
    <t>Pull-out test results for T-10 and T-12 rebars</t>
  </si>
  <si>
    <t>MS and material submittal for slab strengthening works</t>
  </si>
  <si>
    <t>Stressing result and approval document for ATS with updated cube result</t>
  </si>
  <si>
    <t>Quotation sent for design check and strengthening design - AED 55,000</t>
  </si>
  <si>
    <t>Quotation sent to Umesh for design check and strengthening works for AED 1,350,000</t>
  </si>
  <si>
    <t>Detailed email to Vaisakh from ATS regarding mitigation for the water issues.</t>
  </si>
  <si>
    <t>Al-Kazem Tower</t>
  </si>
  <si>
    <t>Site visit along with Sameh to see the raft situation. Upheavel of raft foundation at various points due to water pressure below.</t>
  </si>
  <si>
    <t>Letter response to CR18 for their letter regarding variation approval.</t>
  </si>
  <si>
    <t>Detailed email to Santosh regarding cutting and shifting pieces of slab</t>
  </si>
  <si>
    <t>Email sent to Afsal regarding the documents to be requested from Steel subcontractor.</t>
  </si>
  <si>
    <t>Email to Santosh regarding delays related to cutting works at site.</t>
  </si>
  <si>
    <t>Email reply to Santosh regarding email for revised program.</t>
  </si>
  <si>
    <t>Email reply to client and apologized as CCL can't quote for basement repairs and waterproofing along with injection for the current case.</t>
  </si>
  <si>
    <t>Emails back and forth with Sigma regarding CFRP pull-off test machine service and repairs. 6500 for repairs from switzerland is too high and not acceptable.</t>
  </si>
  <si>
    <t>Letter responses as per Bitar for all the 3 latest letters received from CR18</t>
  </si>
  <si>
    <t>Review of BOQ by Pooja for old and new openings.</t>
  </si>
  <si>
    <t>Quotation sent to Ms. Reena AED 75,000 - Original Dec quotation</t>
  </si>
  <si>
    <t>Received confirmation on the AED 70,000 and need to send documents to get the LPO.</t>
  </si>
  <si>
    <t>Received LPO for AED 70,000 and forwarded to Mena. Details sent to Bitar for better updated design.</t>
  </si>
  <si>
    <t>New IRs for 3 areas submitted.</t>
  </si>
  <si>
    <t>Updated wet cracks layout made and sent to Atef</t>
  </si>
  <si>
    <t>IR for the level-05 and level-roof CFRP installation sent to Santosh</t>
  </si>
  <si>
    <t>Email to reena regarding removal of various obstructions at site and CCL's program of works.</t>
  </si>
  <si>
    <t>Wet crack layout survey sent to Afsal via email</t>
  </si>
  <si>
    <t>Timeline of submittals made.</t>
  </si>
  <si>
    <t>Drawing layout and size marking for the RAFT for various drilling zones.</t>
  </si>
  <si>
    <t>CFRP pull-off result</t>
  </si>
  <si>
    <t>Details for the UB to 7th floor PT slab study sent to Afsal. Need to submit the same officially as a CD with cover letter.</t>
  </si>
  <si>
    <t>Fahim Villa</t>
  </si>
  <si>
    <t>Basement-4 spacing drawing for on-site works</t>
  </si>
  <si>
    <t>IR # 8 made for the site works</t>
  </si>
  <si>
    <t>Detailed new email to Reena about extra works and options</t>
  </si>
  <si>
    <t>Quotation for an amount of AED 98,000 - Design + Cutting + strengthening</t>
  </si>
  <si>
    <t>Detailed invoicing BOQ prepared for all the floors</t>
  </si>
  <si>
    <t>Sent drawing to Atef</t>
  </si>
  <si>
    <t>Updated quotation sent for AED 30,000</t>
  </si>
  <si>
    <t>Updated boq for the column jacketing works by Pooja.</t>
  </si>
  <si>
    <t>3 Prequalification documents submitted to CR18 to Mr. Cheng</t>
  </si>
  <si>
    <t>Site obesrvation report as per the latest ring beam spalling incident</t>
  </si>
  <si>
    <t>Openings strengthening BOQ update and numbering</t>
  </si>
  <si>
    <t>BNS-U3 Tower JLT</t>
  </si>
  <si>
    <t>Detailed drawings along with mark-up ones sent to Bitar for review.</t>
  </si>
  <si>
    <t>VAT + Company license + Proforma invoice to Cheng for approval.</t>
  </si>
  <si>
    <t>Site visit along with Atef to receive the information required by Bitar.</t>
  </si>
  <si>
    <t>Report on the as-built site conditions, survey from CR18 and site photos to be sent to Bitar.</t>
  </si>
  <si>
    <t>Quotation sent for AED 85,000 to BNS Company</t>
  </si>
  <si>
    <t>Strengthening drawings along with calculations to be submitted officially. Along with invoice as well. Sent by Link to Reena</t>
  </si>
  <si>
    <t>Updated program of works sent to MEDORE.</t>
  </si>
  <si>
    <t>Prepared report as per discussion and comments from Sameh.</t>
  </si>
  <si>
    <t>Reference point drawings for updated site survey to be conducted.</t>
  </si>
  <si>
    <t>Report sent to Naji for beam jacketing collapse area.</t>
  </si>
  <si>
    <t>Updated breakdown BOQ for the strengthening works sent to CR18.</t>
  </si>
  <si>
    <t>Soteria Wasl Restaurant</t>
  </si>
  <si>
    <t>Report received from Bitar. Sent comments and final to be arranged by us.</t>
  </si>
  <si>
    <t>Updated quote to be sent</t>
  </si>
  <si>
    <t>Opening numbering and updated study by Pooja</t>
  </si>
  <si>
    <t>Quotation for coring, scanning and submittal sent for AED 3000</t>
  </si>
  <si>
    <t>B3, B2 and LB updated strengthening drawings sent to Afsal (stamped)</t>
  </si>
  <si>
    <t>Updated report to be sent</t>
  </si>
  <si>
    <t>3 hard copies and 1 soft copy for the final report to CR18</t>
  </si>
  <si>
    <t>Updated report sent to Naji</t>
  </si>
  <si>
    <t>Updated material submittal received from Sugin. To be submitted tomorrow to CR18.</t>
  </si>
  <si>
    <t>Updated quotation sent for AED 74000</t>
  </si>
  <si>
    <t>Steel material submittal submitted. B3, B2 and LB slabs rev-01 submittal also submitted.</t>
  </si>
  <si>
    <t>Study of the received drawings and update to jacketing BOQ by pooja.</t>
  </si>
  <si>
    <t>Various emails to CR18</t>
  </si>
  <si>
    <t>Report comments sent to Bitar and response should be arranged for CR18</t>
  </si>
  <si>
    <t>Received technical report from Dr. Ashraft regarding raft issues and their solution.</t>
  </si>
  <si>
    <t>Back-propping layout updated and sent officially to CR18 by email.</t>
  </si>
  <si>
    <t>Detailed quotation prepared along with Sameh and later detailed discussion with Bitar</t>
  </si>
  <si>
    <t>More queries sent to ATS as their BOQ and areas are not clear.</t>
  </si>
  <si>
    <t>Quotation prepared, finalized and then sent to Tamer - 18 Million AED</t>
  </si>
  <si>
    <t>O&amp;M manual as well as as-built drawings request from ATS</t>
  </si>
  <si>
    <t>Invoice # 1 prepared and sent to Mena for official submission</t>
  </si>
  <si>
    <t>Reply to queries from Sugin regarding material submittal approval status.</t>
  </si>
  <si>
    <t>New Conmix LPO for 10 sets of ReCon Zinc</t>
  </si>
  <si>
    <t>Email to kurt to complete the O&amp;M manual.</t>
  </si>
  <si>
    <t>VO # 1 for the design check based on latest ETABS</t>
  </si>
  <si>
    <t>VO # 2 regarding cutting of beams as well as letter related to UB to 7th floor</t>
  </si>
  <si>
    <t>Email to santosh regarding as-built drawings work. Need final roof drawings in AutoCAd format.</t>
  </si>
  <si>
    <t>RGSG Multiplex</t>
  </si>
  <si>
    <t xml:space="preserve">Site visit done by Atef only. </t>
  </si>
  <si>
    <t>Drawings sent to Firas to confirm latest.</t>
  </si>
  <si>
    <t>MS + material submittal under process.</t>
  </si>
  <si>
    <t>MS + material submittal along with compliance statement sent to Reena officially via email link.</t>
  </si>
  <si>
    <t>Some email responses sent to Multiplex regarding column area strengthening.</t>
  </si>
  <si>
    <t>Letter from USW received regarding steel plate DCL certificates.</t>
  </si>
  <si>
    <t>Central Park JVC</t>
  </si>
  <si>
    <t>Reply sent to Omar to start with official design works</t>
  </si>
  <si>
    <t>Quotation sent for AED 22,000</t>
  </si>
  <si>
    <t>Need response from Multiplex</t>
  </si>
  <si>
    <t>Email to Santosh regarding final drawings of roof to incorporate in our as-built</t>
  </si>
  <si>
    <t>Email sent to Bitar for final design. Need to make a small MS as well.</t>
  </si>
  <si>
    <t>Letter sent to Afsal regarding response for steel material submittal comments from APG. New letter relalted to PT response to be sent.</t>
  </si>
  <si>
    <t>Received documentation approval. Need to start works at site based on payment.</t>
  </si>
  <si>
    <t>Shared details of last invoice with Sameh and Mena to finalize the letter to client asking final settlement.</t>
  </si>
  <si>
    <t>Letter for SAFE model update</t>
  </si>
  <si>
    <t>Need updates</t>
  </si>
  <si>
    <t>Email to nawar for Thursday full submittal. Technical submittal done.</t>
  </si>
  <si>
    <t>Email to Remon with qtn. Need LPO. Talked to Waleed from Hilti regarding information file.</t>
  </si>
  <si>
    <t>Very detailed boq for slab strengthening based on details from bitar</t>
  </si>
  <si>
    <t>Submitted the whole technical submittal officially to Al-hazami</t>
  </si>
  <si>
    <t>Emails archive  - 15% done</t>
  </si>
  <si>
    <t>Related details provided</t>
  </si>
  <si>
    <t>UB to 7th floor report submittal - CD</t>
  </si>
  <si>
    <t>Advance payment done. Need to start works from coming Saturday.</t>
  </si>
  <si>
    <t>Proposed costing for the UB to 7th floor slabs - 5.5 Million AED</t>
  </si>
  <si>
    <t>Updated Quotation with options sent to ATS</t>
  </si>
  <si>
    <t>VO # 3 for the 3 floors (B3, B2, LB) for new openings cutting + strengthening sent to CR18</t>
  </si>
  <si>
    <t>Sent updated roof layout to omar for as-built</t>
  </si>
  <si>
    <t>Email sent to ahmed from CRC as comments on draft agreement.</t>
  </si>
  <si>
    <t>Quotation sent (same as sent to client) to Ali &amp; Sons company.</t>
  </si>
  <si>
    <t>More emails archived.</t>
  </si>
  <si>
    <t>Need to finalize the O&amp;M manual</t>
  </si>
  <si>
    <t>35% email archive done</t>
  </si>
  <si>
    <t>Email to ACES for pull-off test for bonding of concrete and grout</t>
  </si>
  <si>
    <t>BBS and material quantities prepared and sent to Atef and Armia</t>
  </si>
  <si>
    <t>Mail response for letter related to missing leakage areas or wet areas.</t>
  </si>
  <si>
    <t>O&amp;M manual sent as a draft to Santosh for review.</t>
  </si>
  <si>
    <t>Muraqqabat Repairs A&amp;B</t>
  </si>
  <si>
    <t>Sent letters: one for the clearance of Level-08 to 10 and other for VO # 3 response</t>
  </si>
  <si>
    <t>Quotation Sent for AED 38,000</t>
  </si>
  <si>
    <t>Response to contract agreement terms</t>
  </si>
  <si>
    <t>ReCon MC5mm 7-day cube tests less than required. Now need to wait till 28-day strength. If failed need to change the supplier.</t>
  </si>
  <si>
    <t>Burj Al Arab</t>
  </si>
  <si>
    <t>Quotation sent for AED 175,000</t>
  </si>
  <si>
    <t>Schedule sent to Ms. Reena</t>
  </si>
  <si>
    <t>Response to reena regarding various requirements related to getting passes to start works at site.</t>
  </si>
  <si>
    <t>Long conversation with Saqlain. Received request to provide our revised offer.</t>
  </si>
  <si>
    <t>Some new requirement regarding two openings from Naji.</t>
  </si>
  <si>
    <t>Scanning report for Level-12 submitted to Firas</t>
  </si>
  <si>
    <t>Revised MS and drawings sent to Nawar from Hazami</t>
  </si>
  <si>
    <t>100% emails archives (naming done)</t>
  </si>
  <si>
    <t>Email response sent to Nawar against comments from Consultant received.</t>
  </si>
  <si>
    <t>Letter response sent regarding letter received for L27 and L28 drawing delays.</t>
  </si>
  <si>
    <t>Updated and revised quotation for Engr. Saqlain from M/s Ali and Sons</t>
  </si>
  <si>
    <t>Ready-mix details received from CR18</t>
  </si>
  <si>
    <t>Shifting of cores in AutoCAD as per scanning report from Atef</t>
  </si>
  <si>
    <t>Comments sent to CRC on the received new draft agreement.</t>
  </si>
  <si>
    <t>Some details sent to Atef.</t>
  </si>
  <si>
    <t>2nd invoice for the MEDORE project send to Atef and need to be updated for current month invoice</t>
  </si>
  <si>
    <t>General review of the latest RAFT drawings (Rev-03: Dated 06 June 2020)</t>
  </si>
  <si>
    <t>Email reply sent to client.</t>
  </si>
  <si>
    <t>CCL's prequalification document - Kuwait data added and some UAE projects updated.</t>
  </si>
  <si>
    <t>Updated scanning report sent to Mostafa from SEG regarding Level-12</t>
  </si>
  <si>
    <t>CCL's prequalification document - Kuwait data added and some UAE projects updated. Final sent to Mr. Roland</t>
  </si>
  <si>
    <t>Response sent to mohammad regarding core shifting.</t>
  </si>
  <si>
    <t>Response to Sabeer for pull-off testing. Response to afsal for the steel plate testing and shop drawings.</t>
  </si>
  <si>
    <t>Undertaking letter for design sent</t>
  </si>
  <si>
    <t>Again sent the drawings in PDF format to Reena.</t>
  </si>
  <si>
    <t>Invoice sent and asked for payment against mobilization to site.</t>
  </si>
  <si>
    <t>Cheng replied to contact back next week.</t>
  </si>
  <si>
    <t>BBS request sent to Samuil for RAFT thickening works.</t>
  </si>
  <si>
    <t>MS + Technical submittal under process. Email to Omar regarding cut tendon to be sent.</t>
  </si>
  <si>
    <t>Letter as response to Arresting of water Leakage in Basement-4 letter from CR18 sent</t>
  </si>
  <si>
    <t>IR # 9 made</t>
  </si>
  <si>
    <t>Scanning report for Level-07 tendon layout</t>
  </si>
  <si>
    <t>Received original subcontract agreement from CRC for column jacketing works. Need to start working on technical submittal.</t>
  </si>
  <si>
    <t>Updates from USW regarding CCL technical queries. Slab strengthening meeting of CCL team with CR18 and client.</t>
  </si>
  <si>
    <t>Complete submittal (MS + mat) prepared and finalized for the prudential towers project.</t>
  </si>
  <si>
    <t>Updates to the mama hotel technical submittal</t>
  </si>
  <si>
    <t>Undertaking letter for strengthening works to DM</t>
  </si>
  <si>
    <t>BOQ breakdown for VO for slab strengthening works</t>
  </si>
  <si>
    <t>Full submittal with drawings and calculations official submission to Mama hotel site office by Atef.</t>
  </si>
  <si>
    <t>IR # 10 for the works completion at Royal hotel sent to Amro. Final invoice also sent.</t>
  </si>
  <si>
    <t>New report received to prepare CCL's offer</t>
  </si>
  <si>
    <t>Backpropping and column chipping letter.</t>
  </si>
  <si>
    <t>Drawings + Calculations received from Omar. Need to submit along with final technical submittal (MS + Mat)</t>
  </si>
  <si>
    <t>Awaiting reply from santosh</t>
  </si>
  <si>
    <t>Need to study in-depth</t>
  </si>
  <si>
    <t>Study of quantity requirements related to column jacketing. Conmix is out due to test failures and now Sika and Fosroc are only two options.</t>
  </si>
  <si>
    <t>Still awaiting santosh reply</t>
  </si>
  <si>
    <t>Need to prepare our proposal</t>
  </si>
  <si>
    <t>Prepared back-propping layout for the Prudential towers L-12.</t>
  </si>
  <si>
    <t>Final inspection request sent to Santosh and team.</t>
  </si>
  <si>
    <t>RCC slabs (B3, B2 and LB) new openings comparison study</t>
  </si>
  <si>
    <t>Updated drawings from Odai</t>
  </si>
  <si>
    <t>Letter for allowance to proceed with casting of Level-01 and 02 RCC slabs</t>
  </si>
  <si>
    <t>Got suvarna response and forwarded the same to Omar for updates to as-built drawings.</t>
  </si>
  <si>
    <t>Email to Ashraf from CRC regarding missing information and models.</t>
  </si>
  <si>
    <t>Official submittal of Letter # 72 along with attachments.</t>
  </si>
  <si>
    <t>Technical submittal to be made for the Fosroc material</t>
  </si>
  <si>
    <t>Need to do detailed site survey with A1 printed drawings for 6 basements.</t>
  </si>
  <si>
    <t>Quotation for the wall cutting at Mama hotel. Sent for AED 11,500</t>
  </si>
  <si>
    <t>Received updates from Suvarna and need to send the final numbering to her for final checking.</t>
  </si>
  <si>
    <t>Review of the costing for the strengthening works at Lilian. 130k costing done and reviewed as per our internal calculations. 186 CFRP + 40k for cutting + 18k for fire-protection and anti-rust protection.</t>
  </si>
  <si>
    <t>Undertaking letter for Level-12</t>
  </si>
  <si>
    <t>Need to print full O &amp; M with the as-built drawings</t>
  </si>
  <si>
    <t>Simple MS sent to Remon</t>
  </si>
  <si>
    <t>Prepared a project brief about the MEDORE project.</t>
  </si>
  <si>
    <t>Prepared a project brief about the Wisal Project</t>
  </si>
  <si>
    <t>Site visit and some survey along with Atef</t>
  </si>
  <si>
    <t>Burj Daman Gargash</t>
  </si>
  <si>
    <t>Material submittal for the Fosroc and Sika (revised udpated).</t>
  </si>
  <si>
    <t>Atef visited the site and need more info before we can quote.</t>
  </si>
  <si>
    <t>Detailed bays layout on the Basement-6 plan</t>
  </si>
  <si>
    <t>Quotation sent to Sujith for steel related drilling (16 no's of holes) for AED 2,000</t>
  </si>
  <si>
    <t>Layout plans under process for the West-burry tower. B6, B5 and B4 finished.</t>
  </si>
  <si>
    <t>Need to send quotation to ABM group as their email</t>
  </si>
  <si>
    <t>Completed the full layout boq for repair works. Detailed email sent to Bitar for review.</t>
  </si>
  <si>
    <t>Some email archiving as well as big attachment removals.</t>
  </si>
  <si>
    <t>Special BOQ for the comparison sheet</t>
  </si>
  <si>
    <t>Need to send quotation to CR18 as well</t>
  </si>
  <si>
    <t>Final IR sent to Santosh for the new CFRP and plaster at Level-05 of Google project site.</t>
  </si>
  <si>
    <t>Some correspondence with Ms. Mays regarding opening location.</t>
  </si>
  <si>
    <t>Some email archiving as well as big attachments removed.</t>
  </si>
  <si>
    <t>Quotation sent to Engr. Ahmed for 4 Million AED</t>
  </si>
  <si>
    <t>Couldn't carry out re-survey of site.</t>
  </si>
  <si>
    <t>New enquiry from Sika for the Delta Wadi company. Should quote as per eForce report. Previously quoted to Bhattia.</t>
  </si>
  <si>
    <t>BOQ completed by Pooja. Need to review and prepare our quotation. This same project was previoulys quoted to Bhatia (Santeville Tower) for 10 Million and ETABS was requested.</t>
  </si>
  <si>
    <t>Quotation for UB to 7th floor slab strengthening works</t>
  </si>
  <si>
    <t>Need to Send to CR18</t>
  </si>
  <si>
    <t>Quotation for UB to 7th floor slab strengthening works. Final now for 3.25 Million AED.</t>
  </si>
  <si>
    <t>Sent letter on letter head to Atef.</t>
  </si>
  <si>
    <t>Updated cutting location on architectural layout.</t>
  </si>
  <si>
    <t>Need to price as per the report from Dr. Ashraf</t>
  </si>
  <si>
    <t>Material submittal for Sika and Fosroc for microconcrete to be submitted.</t>
  </si>
  <si>
    <t>Fifty-One Tower</t>
  </si>
  <si>
    <t>Sent quotation to CR18 the one earlier sent to client.</t>
  </si>
  <si>
    <t>Received enquiry for wall strengthening using steel plates and jacketing as per Qualiconsult report.</t>
  </si>
  <si>
    <t>Invoice # 3 for the MEDORE</t>
  </si>
  <si>
    <t>Need to price as per the report from Dr. Ashraf. Material price enquiry sent to Hamza from Sika as well.</t>
  </si>
  <si>
    <t>B3 to LB new BOQ as per latest drawings from Suleiman and made a comparison sheet to the IFC.</t>
  </si>
  <si>
    <t>Comparison of opening sizes before (tender time) and latest MEP from CR18</t>
  </si>
  <si>
    <t>Response letter for minutes of meeting letter received from CR18</t>
  </si>
  <si>
    <t>Sent reply to Peter and apologized CCL can't quote at this time.</t>
  </si>
  <si>
    <t>Back-propping layout for the W4 column for jacketing works</t>
  </si>
  <si>
    <t>Fosroc and Sika material submittal to CR18 (one hard + CD)</t>
  </si>
  <si>
    <t>Reminder to sika for prices</t>
  </si>
  <si>
    <t>Awaiting sika response</t>
  </si>
  <si>
    <t xml:space="preserve">Email to client from Sameh's PC listing scope of works for main contractor. </t>
  </si>
  <si>
    <t>Need client's response</t>
  </si>
  <si>
    <t>Need client response</t>
  </si>
  <si>
    <t>Email response for new minutes of meeting from Riyaz regarding PT slabs strengthening</t>
  </si>
  <si>
    <t>Various emails to CR18 regarding various issues and updates.</t>
  </si>
  <si>
    <t>Need client's input</t>
  </si>
  <si>
    <t>Met Hamza from Sika and need his proposal before preparing Qtn for Bhattia and others. ECC and Delta Wadi to be quoted as well.</t>
  </si>
  <si>
    <t>Hilti quotation for the RE-500. Need to use similar for new order.</t>
  </si>
  <si>
    <t>Prepared various LPOs for the materials and sent Invoice to Remon.</t>
  </si>
  <si>
    <t>Made various LPOs for material requirements and also testing works.</t>
  </si>
  <si>
    <t>Final submittal, warranty letter and IRs (previous hard-copies with us)</t>
  </si>
  <si>
    <t>Quotation to Mr. Roland</t>
  </si>
  <si>
    <t>Final re-measurable quotation for AED 480,000</t>
  </si>
  <si>
    <t>Wall cutting and strengthening submittal under process. Received LPO for wall cutting.</t>
  </si>
  <si>
    <t>Hilti machinery LPO</t>
  </si>
  <si>
    <t>Sent LPO for shuttering system to Stengulf</t>
  </si>
  <si>
    <t>MS updated as per Atef's comments</t>
  </si>
  <si>
    <t>Final submittal (as-built) submitted by Atef.</t>
  </si>
  <si>
    <t>Need survey and quotation for the residential tower now similar to the office tower done earlier.</t>
  </si>
  <si>
    <t xml:space="preserve">Drawings for the steel jacketing to be ready for showing to USW team. </t>
  </si>
  <si>
    <t>Email to Odai regarding some adjustment to CFRP due to severe site constraints and multiple follow-ups by Reena.</t>
  </si>
  <si>
    <t>Carried out site survey for B3, B2 and B1 of residential tower</t>
  </si>
  <si>
    <t>Updated schedule sent to Riyaz</t>
  </si>
  <si>
    <t>BBS part-1 schedule to be checked and updated</t>
  </si>
  <si>
    <t>Detailed BBS schedule for 10 no's of columns prepared along with Atef and sent to Samuil to make BBS.</t>
  </si>
  <si>
    <t>Quotation sent to client directly (by sameh) for 4.175 Million AED</t>
  </si>
  <si>
    <t>BBS done for 10 columns and sent all to BRC</t>
  </si>
  <si>
    <t>BOQ for office + residential combined</t>
  </si>
  <si>
    <t>Various LPOs sent to Sika and Stengulf</t>
  </si>
  <si>
    <t>Material calculation and schedule sheets prepared for jacketing and thickening</t>
  </si>
  <si>
    <t>Detailed submittal for the slabs cutting and strengthening (PT + RC)</t>
  </si>
  <si>
    <t>Pull-off test results submitted officially to site.</t>
  </si>
  <si>
    <t>Revised submittal for sika's new material</t>
  </si>
  <si>
    <t>Emails for LPO as well as BBS</t>
  </si>
  <si>
    <t>LPO for Conmix as well as LPO for Sika S512</t>
  </si>
  <si>
    <t>Email response to Riyaz regarding Level-07 rebar</t>
  </si>
  <si>
    <t>USW steel drawings to be sent to Sugin for printing and make the final submittal.</t>
  </si>
  <si>
    <t>Slab strengthening MS + Material submittal completed. Need to submit along with full design of the slabs and calculations. (RC + PT slabs)</t>
  </si>
  <si>
    <t>LPO sent to Conmix and confirmation to BRC for steel</t>
  </si>
  <si>
    <t>Email follow-up with Afsal regarding drawings numbers and conveyed the same to Suleiman and CCL203.</t>
  </si>
  <si>
    <t>Final work done invoice sent to Reena</t>
  </si>
  <si>
    <t>Full submittal for 6th and 7th floor slabs, Steel jacketing from USW as well as MS + Material submittal for slabs.</t>
  </si>
  <si>
    <t>Full steel submittal received from USW</t>
  </si>
  <si>
    <t>Hattan tower barsha</t>
  </si>
  <si>
    <t>Site visit for a residential building in barsha where basement had severe deterioration for columns, walls and slab soffit.</t>
  </si>
  <si>
    <t>Work status update email sent to Reena for CFRP done at site</t>
  </si>
  <si>
    <t>BBS for 6 more columns with Atef</t>
  </si>
  <si>
    <t>Report to be sent to client after the site visit is done.</t>
  </si>
  <si>
    <t>Column jacketing tracking sheet</t>
  </si>
  <si>
    <t>Email to Afsal regarding Level-07 drilling</t>
  </si>
  <si>
    <t>5 columns submission</t>
  </si>
  <si>
    <t>Made delivery and order list for BRC to track steel order and suppliers.</t>
  </si>
  <si>
    <t>O&amp;M manual as well as as-built drawings officially submitted to ATS for Google project.</t>
  </si>
  <si>
    <t>All the balance columns to be submitted officially to client today (shop drawings as received from Suleiman - All received till date)</t>
  </si>
  <si>
    <t>BBS for the columns</t>
  </si>
  <si>
    <t>Revised site visit by me and Atef and did a quick simple survey.</t>
  </si>
  <si>
    <t>Marine Warehouse</t>
  </si>
  <si>
    <t>Site visit for marine warehouse related to Mr. Roland's friend</t>
  </si>
  <si>
    <t>Layout drawing done for the warehouse</t>
  </si>
  <si>
    <t>Need to send revised quotation to CR18</t>
  </si>
  <si>
    <t>Revised Quotation sent for AED 14.1 Million</t>
  </si>
  <si>
    <t>Updates to various tracking sheets</t>
  </si>
  <si>
    <t>To be submitted officially tomorrow morning</t>
  </si>
  <si>
    <t>To be submitted officially tomorrow</t>
  </si>
  <si>
    <t>Quotation submitted for AED 671,000</t>
  </si>
  <si>
    <t>Wall cutting drawing, calculation and ETABS model to main contractor.</t>
  </si>
  <si>
    <t>Site visit and meeting with site guy from CR18 regarding survey of slabs (where CCL earlier produced a report).</t>
  </si>
  <si>
    <t>Site visit and detailed survey for the various elements finished at site.</t>
  </si>
  <si>
    <t>Detailed layout for the columns status update</t>
  </si>
  <si>
    <t>Invoice # 4</t>
  </si>
  <si>
    <t>Review of the site survey drawings</t>
  </si>
  <si>
    <t>Warranty certificate for the works to be produced</t>
  </si>
  <si>
    <t>Jumeirah Villa Design Infinity</t>
  </si>
  <si>
    <t>Email to Jayan about payment readiness as well as our drawings printed.</t>
  </si>
  <si>
    <t>Received layout (survey) for the Level-04 and 05</t>
  </si>
  <si>
    <t>Not interested to quote as the slab required is DECK slab.</t>
  </si>
  <si>
    <t>Scanning report for Level-01 as well as RC slab basement-3</t>
  </si>
  <si>
    <t>Need to prepare BOQ for the slab strengthening works (Level-03,04,05,06,07)</t>
  </si>
  <si>
    <t>Quotation sent to Hamdan Group of Companies</t>
  </si>
  <si>
    <t>Need to submit final as-built along with warranty certificate.</t>
  </si>
  <si>
    <t>Updated warranty letter.</t>
  </si>
  <si>
    <t>To be submitted by Mena and cheque to be received.</t>
  </si>
  <si>
    <t>Slab strengthening BOQ under process.</t>
  </si>
  <si>
    <t>Boq under process as well as under review by Pooja as well.</t>
  </si>
  <si>
    <t>Qtn sent to Safa for AED 38000</t>
  </si>
  <si>
    <t>Invoice # 4 updated and sent to Mena</t>
  </si>
  <si>
    <t>Sent guarantee letter along with undertaking letter to ATS</t>
  </si>
  <si>
    <t>Slabs BOQ done totally and need to be reviewed only.</t>
  </si>
  <si>
    <t>Visited the MEDORE site and took various observations regarding anchoring and similar issues.</t>
  </si>
  <si>
    <t>Updates to the BRC steel tracking sheet, Anchoring material tracking sheet as well as the general column tracking sheet.</t>
  </si>
  <si>
    <t>Revision as per comments for the material submittal for slab strengthening works</t>
  </si>
  <si>
    <t>Survey for all 5 levels sent to Bitar for revised and updated study.</t>
  </si>
  <si>
    <t>Safety violations response letter.</t>
  </si>
  <si>
    <t>On-site meeting with CR18 along with steel plate supplier.</t>
  </si>
  <si>
    <t>Sharjah Mosque</t>
  </si>
  <si>
    <t>BBS for Raft Zone-3 sent to atef. (luckily had prepared earlier)</t>
  </si>
  <si>
    <t xml:space="preserve">Site visit and review of the preparations for Raft zone-2 casting. </t>
  </si>
  <si>
    <t>Updates on the technical submittal</t>
  </si>
  <si>
    <t>Letter regarding delay of works at Zone-2 Raft</t>
  </si>
  <si>
    <t>Letter sent to client regarding site visit assessment and next steps to be taken.</t>
  </si>
  <si>
    <t>Call from Aman. Need some confirmations.</t>
  </si>
  <si>
    <t>Need client response to CCL letter.</t>
  </si>
  <si>
    <t>Sent Level-39 and 40 drawings for superimposing exact drill locations and provide us with exact new loads.</t>
  </si>
  <si>
    <t>Site survey discussion with Odai and sameh (113mm deflection at some points)</t>
  </si>
  <si>
    <t>Same previously revised offer of AED 74,000 sent. Checked with Bitar.</t>
  </si>
  <si>
    <t>Need clear information. Currently provided is not enough at all.</t>
  </si>
  <si>
    <t>Quotation sent for AED 986,000 for 5 slabs of the building.</t>
  </si>
  <si>
    <t>Quotation sent to Syndicate for AED 4000</t>
  </si>
  <si>
    <t>Visited site for updates on the status of works at site.</t>
  </si>
  <si>
    <t>Updated invoice # 5 and sent to Atef for review and then to be sent to Mena</t>
  </si>
  <si>
    <t>Revised Qtn for 3,500</t>
  </si>
  <si>
    <t>Revised Qtn for 3000 and accepted by Syndicate. Work to start after collection of cheque.</t>
  </si>
  <si>
    <t>WOW Yas Mall</t>
  </si>
  <si>
    <t xml:space="preserve">Conversation with Rizwan regarding the new beam installation issues. </t>
  </si>
  <si>
    <t>Quotation sent for AED 725,000</t>
  </si>
  <si>
    <t>Quotation sent for AED 315,000</t>
  </si>
  <si>
    <t>New small column MS sent to Atef for review</t>
  </si>
  <si>
    <t>Updates on the BOQ for slabs continue as beam jacketing also in scope of CCL</t>
  </si>
  <si>
    <t xml:space="preserve">Report sent to Amandeep. He needs to mark on site and ask CCL for approval to proceed with drilling. </t>
  </si>
  <si>
    <t>New small column MS plus the main slab strengthening MS.</t>
  </si>
  <si>
    <t>Creek Rise Tower</t>
  </si>
  <si>
    <t>Undertaking letter for back-propping sent to CR18</t>
  </si>
  <si>
    <t>NOC letter for Level-39 and Level-40 balcony drilling sent</t>
  </si>
  <si>
    <t>SOR document sent to Afsal as a final document.</t>
  </si>
  <si>
    <t>Small columns MS along with layout plan for small columns submitted to CR18.</t>
  </si>
  <si>
    <t>NCRs 001, 002 and 003 submitted</t>
  </si>
  <si>
    <t>Slab strengthening MS</t>
  </si>
  <si>
    <t>Updated NCR and SORs to be submitted</t>
  </si>
  <si>
    <t>Updated scanning reports to be submitted</t>
  </si>
  <si>
    <t>NCR response as separate documents.</t>
  </si>
  <si>
    <t>Level-06 coring damage to tendons letter.</t>
  </si>
  <si>
    <t>Slab strengthening material submittal.</t>
  </si>
  <si>
    <t>Sent details to make gate passes for CCL</t>
  </si>
  <si>
    <t>Requested updated information to give value engineering solution</t>
  </si>
  <si>
    <t>SOR response to be sent.</t>
  </si>
  <si>
    <t>Detailed site visit along with mohammad for all the main floors of Tower-1</t>
  </si>
  <si>
    <t>Need to perpare BOQ based on the site areas observed</t>
  </si>
  <si>
    <t>Material LPO to be made with quantities required</t>
  </si>
  <si>
    <t>Revised review due to new enquiry from Mr. Seeman</t>
  </si>
  <si>
    <t>Quotation sent for AED 165,000</t>
  </si>
  <si>
    <t>Revised Quotation for AED 275,000</t>
  </si>
  <si>
    <t>Slab strengthening material submittal</t>
  </si>
  <si>
    <t>Need to prepare quotation</t>
  </si>
  <si>
    <t>Subcontract agreement received for the Level-04 and 05. Need to prepare technical submittal.</t>
  </si>
  <si>
    <t>Quotation sent for AED 3.275 Million AED</t>
  </si>
  <si>
    <t>SOR response to be submitted officially today.</t>
  </si>
  <si>
    <t>Slab strengthening material submittal to be sent today.</t>
  </si>
  <si>
    <t>LPO for material required</t>
  </si>
  <si>
    <t>Need to sort out the information received from ATS for the loading and as-built RC details for opening area</t>
  </si>
  <si>
    <t>Sent email to Odai to arrange the detailed strengthening design</t>
  </si>
  <si>
    <t>Break-down quotation sent to Shapoorji with floor wise break-down.</t>
  </si>
  <si>
    <t>Alternate proposal sent as an email response for AED 590,000</t>
  </si>
  <si>
    <t>Drawings with MS and material submittal to be submitted officially to CR18.</t>
  </si>
  <si>
    <t>Drawings A1 size to be submitted each 2 copies.</t>
  </si>
  <si>
    <t>Completed the material submittal rev-01 for the slab strengthening works</t>
  </si>
  <si>
    <t>MS revision-01 submitted as per consultant and 3rd party comments.</t>
  </si>
  <si>
    <t>MS + Mat submittal (combined) submitted for dubai courts project</t>
  </si>
  <si>
    <t>Received Ext. PT drawing approval from Atef</t>
  </si>
  <si>
    <t>Received updated requirements from Client</t>
  </si>
  <si>
    <t>Client decided to go with Steel option. (steel beams to support the opening).</t>
  </si>
  <si>
    <t>Request for new quotation for Level-02 and 03 as well as crack repair works.</t>
  </si>
  <si>
    <t xml:space="preserve">Received updated requirements from Client but as they requested daunting testing and similar and sent query to 5 others so we are not interested. </t>
  </si>
  <si>
    <t>Site visit for GPR scanning machine to see its condition and see the solution for the same.</t>
  </si>
  <si>
    <t>Detailed survey for the Level-04 and Level-05</t>
  </si>
  <si>
    <t>Quotation sent for Level-02 and 03 (same price as 4 and 5)</t>
  </si>
  <si>
    <t>Meeting with USW at 2pm today (Sugin)</t>
  </si>
  <si>
    <t>Updated Qtn for AED 61,000 sent to Alaa</t>
  </si>
  <si>
    <t>Meeting with client (Neelu + Haries), Consultant (Ahmed) as well as CCL team (Roland + Bitar) at DM building</t>
  </si>
  <si>
    <t>Need to submit updated C5 drawings for steel jacketing</t>
  </si>
  <si>
    <t>Site visit for updates on invoice for october as well as information to close the SOR and NCR (all penidng ones).</t>
  </si>
  <si>
    <t>New MS for column surface repairs and materials for the same.</t>
  </si>
  <si>
    <t>Invoice # 6 prepared and also updated the previous invoices as per actual PC received from CR18.</t>
  </si>
  <si>
    <t>Price for crack send as AED 48,500 (by email only). Also asked for official VO including the level-02 and 03.</t>
  </si>
  <si>
    <t xml:space="preserve">Full submittal for level-02 and 03 as well as </t>
  </si>
  <si>
    <t>Detailed meeting with USW team (sajid + sugin + niaz).</t>
  </si>
  <si>
    <t>New MS to be made for column repairs as well as 30mm chipping.</t>
  </si>
  <si>
    <t>MS + Material submittal submission for the steel jacketing works as the latest received from USW</t>
  </si>
  <si>
    <t>Site meeting at MEDORE along with USW and discussed various issues for steel cutout and finalized to not cut any at all.</t>
  </si>
  <si>
    <t>SOR and NCR response to be sent.</t>
  </si>
  <si>
    <t>Column repair MS and chipping MS to be submitted officially.</t>
  </si>
  <si>
    <t>Updated Qtn for AED 59,000 via email</t>
  </si>
  <si>
    <t>Santeville tower one more enquiry; Previously quoted to Bhattia and had enquiry from GMC (ref: John habib)</t>
  </si>
  <si>
    <t>Revised Qtn sent officially for AED 59,000</t>
  </si>
  <si>
    <t>Revised Qtn sent along with break-down BOQ</t>
  </si>
  <si>
    <t>SOR and NCR response for all 8 documents submitted.</t>
  </si>
  <si>
    <t>Detailed drawings (from earlier record from Sika) sent to Suleiman. BOQ under process with Pooja as per existing information from earlier</t>
  </si>
  <si>
    <t>Need to send quotation based on existing information. ETABS model doesn't open with CCL.</t>
  </si>
  <si>
    <t>SOR and NCR response as well as revised scanning MS</t>
  </si>
  <si>
    <t>Revised scanning report to be sent</t>
  </si>
  <si>
    <t>Sent the quotation for 2.67 Million to M/s PIC to Reshma.</t>
  </si>
  <si>
    <t>Awaiting C5 drawings from Sugin for the as-built site condition.</t>
  </si>
  <si>
    <t>Follow-up call to Engr. Reshma. Will come back soon.</t>
  </si>
  <si>
    <t>Steel plate jacketing C5 updated shop drawings</t>
  </si>
  <si>
    <t>MS for GPR scanning - Level 06 (2D and 3D)</t>
  </si>
  <si>
    <t>LPO for various materials</t>
  </si>
  <si>
    <t>Detailed documents for the Badia project to be sent to All-3</t>
  </si>
  <si>
    <t>Letter response prepared for SEG as a reply to letter received regarding deductions for fire incident.</t>
  </si>
  <si>
    <t>Need revised material and shop drawings for steel jacketing works</t>
  </si>
  <si>
    <t>Wafi Column Repairs</t>
  </si>
  <si>
    <t>Letter sent to the client requesting site visit.</t>
  </si>
  <si>
    <t>Revised C5 submittal of drawings</t>
  </si>
  <si>
    <t>Revised quotation sent for AED 2.652 Million AED</t>
  </si>
  <si>
    <t>Warranty certificate to be made</t>
  </si>
  <si>
    <t>Slabs BOQ for the strengthening works</t>
  </si>
  <si>
    <t>Site visit arranged for coming Saturday.</t>
  </si>
  <si>
    <t>Warranty certificate as well as shop-drawings to be submitted. Shop drawings received from Omar today.</t>
  </si>
  <si>
    <t>Slabs BOQ review and anchorfix quantity requirement. LPO arranged for RE-100HC.</t>
  </si>
  <si>
    <t>Revised MS for the chipping around columns as Rev-01</t>
  </si>
  <si>
    <t>Level-07 GPR scanning report</t>
  </si>
  <si>
    <t>Site visit as well as detailed site survey and photos for the columns having surface cracks. Most as finally surface plaster cracks.</t>
  </si>
  <si>
    <t>Qtn sent to Elton from client's appointed cost control company.</t>
  </si>
  <si>
    <t>Updated Qtn to be sent to Elton.</t>
  </si>
  <si>
    <t>Quotation sent to Engr. Kasem for Aed 18,000</t>
  </si>
  <si>
    <t>As-built Column C5 for Basement-4, 3 and 2 submitted with undertaking and calculations to CR18</t>
  </si>
  <si>
    <t>Quotation sent to Engr. Kasem for Aed 23,000 including some terms</t>
  </si>
  <si>
    <t>Awaiting updated BOQ from Elton to fill and send back the same.</t>
  </si>
  <si>
    <t>Awaiting elton response for the new BOQ</t>
  </si>
  <si>
    <t>Welding test report to be submitted.</t>
  </si>
  <si>
    <t>Site visit along with Atef to see the repair location for the expansion joints at Al-Tayer showroom.</t>
  </si>
  <si>
    <t>Quick site visit to see mobilization but still not done at site by PIC. Discussion with Seeman from GMC regarding proposal.</t>
  </si>
  <si>
    <t>Need follow-up with Elton</t>
  </si>
  <si>
    <t>GPR scanning report required for Level-04 and 05.</t>
  </si>
  <si>
    <t>Revised MS for the column jacketing repairs as well as column chipping (with updated HSE part).</t>
  </si>
  <si>
    <t>Steel welding related documents to be arranged. Emails sent to CCL Design as well as USW.</t>
  </si>
  <si>
    <t>Called elton and he needs updated boq from Dandu</t>
  </si>
  <si>
    <t>Sameh to meet Khamis tomorrow</t>
  </si>
  <si>
    <t>Day To Day Mall Transemirates</t>
  </si>
  <si>
    <t>Visit and meeting with Engr. Ahmed from Consultant regarding submittal comments for the slabs. Small presentation on the slab strengthening works.</t>
  </si>
  <si>
    <t>Visited the new market project in Karama area where 8 openings are required (2 at each of the 4 floors of basement).</t>
  </si>
  <si>
    <t>Quotation to be prepared based on the latest available information</t>
  </si>
  <si>
    <t>Level-04 and 05 GPR Scanning</t>
  </si>
  <si>
    <t>Column chipping with updated HSE and steel related documents.</t>
  </si>
  <si>
    <t>Details sent to Bitar for his review. No model available as of now.</t>
  </si>
  <si>
    <t>Sterling East</t>
  </si>
  <si>
    <t>BOQ under preparation by Pooja and combined study of drawings. Fireproofing for steel plate works enquiry sent to two companies.</t>
  </si>
  <si>
    <t>Need updates from client.</t>
  </si>
  <si>
    <t>Slabs strengthening compliance sheet regarding DCL certificates. Sika letter received.</t>
  </si>
  <si>
    <t>Quotation sent for AED 345,000 to Engr. Bahaa</t>
  </si>
  <si>
    <t>Study of the obstructions area at Level-04 where the client can't install our strengthening due to pipes and other MEP finishing issues.</t>
  </si>
  <si>
    <t>Steel calculation sheet (weld + nuts and bolts + section details) officially submitted to CR18 today.</t>
  </si>
  <si>
    <t>Car park building Level-07 and 08 enquiry received.</t>
  </si>
  <si>
    <t>BOQ under preparation only for strengthening works.</t>
  </si>
  <si>
    <t>As-built for 4 small columns requested with welding details for revised submittal.</t>
  </si>
  <si>
    <t>Comments received from Suleiman as discrepancies between the original and the model (ETABS)</t>
  </si>
  <si>
    <t>Small meeting with USW team (niaz and sugin) regarding Level-03 issues.</t>
  </si>
  <si>
    <t>Quotation submitted for AED 5.525 million AED</t>
  </si>
  <si>
    <t>C5 4 columns submitted officially with weld sections. Aries prequalification also submitted.</t>
  </si>
  <si>
    <t>Quotation for level-02 and 03 slabs sent as well as crack repair works. Total amount being AED 295,000</t>
  </si>
  <si>
    <t>Meeting arranged with the main contractor i.e. Shapoorji at their warehouse in Jaddaf area and discussed CCL's offer.</t>
  </si>
  <si>
    <t>GPR scanning report for level-02 and 03 arranged and need to be submitted by Saturday or Sunday.</t>
  </si>
  <si>
    <t>Level-03 Column C4a submitted today already.</t>
  </si>
  <si>
    <t>New MEP related BOQ to be arranged based on feedback from the client.</t>
  </si>
  <si>
    <t>Received updated BOQ from Dandu to price accordingly.</t>
  </si>
  <si>
    <t>Project close-out email sent to abdel-hadi with site photos.</t>
  </si>
  <si>
    <t>Slab strengthening program sent to Riyaz (as from atef)</t>
  </si>
  <si>
    <t>Updated steel program sent to atef for review.</t>
  </si>
  <si>
    <t>Site constraints email to CR18</t>
  </si>
  <si>
    <t>Level-02 and 03 contract to be collected.</t>
  </si>
  <si>
    <t>Level-07 and 08 for carpark Qtn sent for AED 65,000</t>
  </si>
  <si>
    <t>Complete technical submittal for the Level-02 and 03 as well as the crack submittal for Level-04 and 05.</t>
  </si>
  <si>
    <t xml:space="preserve">Full submittal for all the slabs and crack repairs today by me to the site. </t>
  </si>
  <si>
    <t xml:space="preserve">Meeting with client of dubai courts project as well as site team of CR18. Also visited the carpark areas where leveling is required. </t>
  </si>
  <si>
    <t>SOR and NCR response to be prepared and submitted</t>
  </si>
  <si>
    <t>Updated quotation sent for AED 640,000 to Shapoorji</t>
  </si>
  <si>
    <t>Level-03 (Column C3) submitted today.</t>
  </si>
  <si>
    <t>SOR 40 and 41 official submission</t>
  </si>
  <si>
    <t>SOR 40, 41, 42 and NCR-B3 official submission</t>
  </si>
  <si>
    <t>Meeting with CCL designer required on coming Sunday</t>
  </si>
  <si>
    <t>C4a submittal of drawings done.</t>
  </si>
  <si>
    <t>NCR-basement 4 submitted to CR18</t>
  </si>
  <si>
    <t>Drawings (CAD and PDF) for level-02 to level-05 sent to atef</t>
  </si>
  <si>
    <t>Updated report for the CCL projects in 2020</t>
  </si>
  <si>
    <t>Barsha Villa</t>
  </si>
  <si>
    <t>Meeting confirmed for tomorrow as well as wedesday zoom meeting.</t>
  </si>
  <si>
    <t>Had a passby to site but still there is no mobilization at all to site.</t>
  </si>
  <si>
    <t>Meeting with Consultant M/s AREX to discuss crack related submittal.</t>
  </si>
  <si>
    <t>Quotation sent for assessment and report to Bitar for AED 38000</t>
  </si>
  <si>
    <t>Officially requested for the RAM model after Zoom meeting today.</t>
  </si>
  <si>
    <t>Online ZOOM meeting with Consultant, CR18 and NPT</t>
  </si>
  <si>
    <t>Invoice updated as per the latest received information from Ariff.</t>
  </si>
  <si>
    <t>Need to update project list for 2020</t>
  </si>
  <si>
    <t>NCR and SOR to be responded to</t>
  </si>
  <si>
    <t>Letter for the NCR closure</t>
  </si>
  <si>
    <t>Invoice discussion with Ariff from CR18 and updated invoice sent to CCL accounts.</t>
  </si>
  <si>
    <t>New 10 cores required at the Gym floor</t>
  </si>
  <si>
    <t>Quotation sent again to Engr. Wael</t>
  </si>
  <si>
    <t>Updated request for datasheets from Shapoorji and all TDS sent.</t>
  </si>
  <si>
    <t>ASGC Pump Airport</t>
  </si>
  <si>
    <t>Oud Metha Project</t>
  </si>
  <si>
    <t>Email sent to Odai for various locations where strengthening works are required.</t>
  </si>
  <si>
    <t>Wall cutting BOQ required</t>
  </si>
  <si>
    <t>NCR and SOR to be response prepared</t>
  </si>
  <si>
    <t>Email sent to Odai for various locations where strengthening works are required. Quotation to be made.</t>
  </si>
  <si>
    <t>Quotation sent to Engr. Essam for AED 125,000</t>
  </si>
  <si>
    <t>Various back and forth emails with consultant and client</t>
  </si>
  <si>
    <t>Revised 3 no's of quotations to be sent to Essam (separate for each issue)</t>
  </si>
  <si>
    <t>GPR scanning report - Level 01 and GF - LPO for Sika and Fosroc sent</t>
  </si>
  <si>
    <t>Sent CCL's proposal for AED 1.8Mn</t>
  </si>
  <si>
    <t>Qtn to be sent for the 18 no's of cores</t>
  </si>
  <si>
    <t>MIR details to Arif (CR18) as well as scanning reports to Atef.</t>
  </si>
  <si>
    <t>Wall cutting details sent to Odai to make study and then propose a solution</t>
  </si>
  <si>
    <t>Updates to the 2020 projects</t>
  </si>
  <si>
    <t>ETABS model sent to client</t>
  </si>
  <si>
    <t>13-01-21</t>
  </si>
  <si>
    <t>31-12-20</t>
  </si>
  <si>
    <t>30-12-20</t>
  </si>
  <si>
    <t>29-12-20</t>
  </si>
  <si>
    <t>28-12-20</t>
  </si>
  <si>
    <t>27-12-20</t>
  </si>
  <si>
    <t>24-12-20</t>
  </si>
  <si>
    <t>23-12-20</t>
  </si>
  <si>
    <t>22-12-20</t>
  </si>
  <si>
    <t>21-12-20</t>
  </si>
  <si>
    <t>20-12-20</t>
  </si>
  <si>
    <t>17-12-20</t>
  </si>
  <si>
    <t>16-12-20</t>
  </si>
  <si>
    <t>15-12-20</t>
  </si>
  <si>
    <t>14-12-20</t>
  </si>
  <si>
    <t>13-12-20</t>
  </si>
  <si>
    <t>30-11-20</t>
  </si>
  <si>
    <t>29-11-20</t>
  </si>
  <si>
    <t>26-11-20</t>
  </si>
  <si>
    <t>25-11-20</t>
  </si>
  <si>
    <t>24-11-20</t>
  </si>
  <si>
    <t>23-11-20</t>
  </si>
  <si>
    <t>22-11-20</t>
  </si>
  <si>
    <t>21-11-20</t>
  </si>
  <si>
    <t>19-11-20</t>
  </si>
  <si>
    <t>18-11-20</t>
  </si>
  <si>
    <t>17-11-20</t>
  </si>
  <si>
    <t>16-11-20</t>
  </si>
  <si>
    <t>15-11-20</t>
  </si>
  <si>
    <t>31-10-20</t>
  </si>
  <si>
    <t>28-10-20</t>
  </si>
  <si>
    <t>27-10-20</t>
  </si>
  <si>
    <t>26-10-20</t>
  </si>
  <si>
    <t>25-10-20</t>
  </si>
  <si>
    <t>24-10-20</t>
  </si>
  <si>
    <t>22-10-20</t>
  </si>
  <si>
    <t>21-10-20</t>
  </si>
  <si>
    <t>20-10-20</t>
  </si>
  <si>
    <t>19-10-20</t>
  </si>
  <si>
    <t>18-10-20</t>
  </si>
  <si>
    <t>17-10-20</t>
  </si>
  <si>
    <t>15-10-20</t>
  </si>
  <si>
    <t>14-10-20</t>
  </si>
  <si>
    <t>13-10-20</t>
  </si>
  <si>
    <t>30-09-20</t>
  </si>
  <si>
    <t>29-09-20</t>
  </si>
  <si>
    <t>28-09-20</t>
  </si>
  <si>
    <t>27-09-20</t>
  </si>
  <si>
    <t>26-09-20</t>
  </si>
  <si>
    <t>24-09-20</t>
  </si>
  <si>
    <t>23-09-20</t>
  </si>
  <si>
    <t>22-09-20</t>
  </si>
  <si>
    <t>21-09-20</t>
  </si>
  <si>
    <t>20-09-20</t>
  </si>
  <si>
    <t>19-09-20</t>
  </si>
  <si>
    <t>17-09-20</t>
  </si>
  <si>
    <t>16-09-20</t>
  </si>
  <si>
    <t>15-09-20</t>
  </si>
  <si>
    <t>14-09-20</t>
  </si>
  <si>
    <t>13-09-20</t>
  </si>
  <si>
    <t>31-08-20</t>
  </si>
  <si>
    <t>29-08-20</t>
  </si>
  <si>
    <t>27-08-20</t>
  </si>
  <si>
    <t>26-08-20</t>
  </si>
  <si>
    <t>25-08-20</t>
  </si>
  <si>
    <t>24-08-20</t>
  </si>
  <si>
    <t>22-08-20</t>
  </si>
  <si>
    <t>20-08-20</t>
  </si>
  <si>
    <t>19-08-20</t>
  </si>
  <si>
    <t>18-08-20</t>
  </si>
  <si>
    <t>17-08-20</t>
  </si>
  <si>
    <t>16-08-20</t>
  </si>
  <si>
    <t>15-08-20</t>
  </si>
  <si>
    <t>13-08-20</t>
  </si>
  <si>
    <t>29-07-20</t>
  </si>
  <si>
    <t>28-07-20</t>
  </si>
  <si>
    <t>27-07-20</t>
  </si>
  <si>
    <t>26-07-20</t>
  </si>
  <si>
    <t>23-07-20</t>
  </si>
  <si>
    <t>22-07-20</t>
  </si>
  <si>
    <t>21-07-20</t>
  </si>
  <si>
    <t>20-07-20</t>
  </si>
  <si>
    <t>19-07-20</t>
  </si>
  <si>
    <t>18-07-20</t>
  </si>
  <si>
    <t>16-07-20</t>
  </si>
  <si>
    <t>15-07-20</t>
  </si>
  <si>
    <t>14-07-20</t>
  </si>
  <si>
    <t>13-07-20</t>
  </si>
  <si>
    <t>30-06-20</t>
  </si>
  <si>
    <t>29-06-20</t>
  </si>
  <si>
    <t>28-06-20</t>
  </si>
  <si>
    <t>25-06-20</t>
  </si>
  <si>
    <t>24-06-20</t>
  </si>
  <si>
    <t>23-06-20</t>
  </si>
  <si>
    <t>22-06-20</t>
  </si>
  <si>
    <t>21-06-20</t>
  </si>
  <si>
    <t>18-06-20</t>
  </si>
  <si>
    <t>17-06-20</t>
  </si>
  <si>
    <t>16-06-20</t>
  </si>
  <si>
    <t>15-06-20</t>
  </si>
  <si>
    <t>14-06-20</t>
  </si>
  <si>
    <t>31-05-20</t>
  </si>
  <si>
    <t>28-05-20</t>
  </si>
  <si>
    <t>27-05-20</t>
  </si>
  <si>
    <t>26-05-20</t>
  </si>
  <si>
    <t>21-05-20</t>
  </si>
  <si>
    <t>20-05-20</t>
  </si>
  <si>
    <t>19-05-20</t>
  </si>
  <si>
    <t>18-05-20</t>
  </si>
  <si>
    <t>17-05-20</t>
  </si>
  <si>
    <t>14-05-20</t>
  </si>
  <si>
    <t>13-05-20</t>
  </si>
  <si>
    <t>30-04-20</t>
  </si>
  <si>
    <t>29-04-20</t>
  </si>
  <si>
    <t>28-04-20</t>
  </si>
  <si>
    <t>27-04-20</t>
  </si>
  <si>
    <t>26-04-20</t>
  </si>
  <si>
    <t>23-04-20</t>
  </si>
  <si>
    <t>22-04-20</t>
  </si>
  <si>
    <t>21-04-20</t>
  </si>
  <si>
    <t>20-04-20</t>
  </si>
  <si>
    <t>19-04-20</t>
  </si>
  <si>
    <t>18-04-20</t>
  </si>
  <si>
    <t>16-04-20</t>
  </si>
  <si>
    <t>15-04-20</t>
  </si>
  <si>
    <t>14-04-20</t>
  </si>
  <si>
    <t>13-04-20</t>
  </si>
  <si>
    <t>31-03-20</t>
  </si>
  <si>
    <t>30-03-20</t>
  </si>
  <si>
    <t>29-03-20</t>
  </si>
  <si>
    <t>26-03-20</t>
  </si>
  <si>
    <t>25-03-20</t>
  </si>
  <si>
    <t>24-03-20</t>
  </si>
  <si>
    <t>23-03-20</t>
  </si>
  <si>
    <t>22-03-20</t>
  </si>
  <si>
    <t>19-03-20</t>
  </si>
  <si>
    <t>18-03-20</t>
  </si>
  <si>
    <t>17-03-20</t>
  </si>
  <si>
    <t>16-03-20</t>
  </si>
  <si>
    <t>15-03-20</t>
  </si>
  <si>
    <t>14-03-20</t>
  </si>
  <si>
    <t>27-02-20</t>
  </si>
  <si>
    <t>26-02-20</t>
  </si>
  <si>
    <t>25-02-20</t>
  </si>
  <si>
    <t>24-02-20</t>
  </si>
  <si>
    <t>23-02-20</t>
  </si>
  <si>
    <t>22-02-20</t>
  </si>
  <si>
    <t>20-02-20</t>
  </si>
  <si>
    <t>19-02-20</t>
  </si>
  <si>
    <t>18-02-20</t>
  </si>
  <si>
    <t>17-02-20</t>
  </si>
  <si>
    <t>16-02-20</t>
  </si>
  <si>
    <t>15-02-20</t>
  </si>
  <si>
    <t>13-02-20</t>
  </si>
  <si>
    <t>30-01-20</t>
  </si>
  <si>
    <t>29-01-20</t>
  </si>
  <si>
    <t>28-01-20</t>
  </si>
  <si>
    <t>27-01-20</t>
  </si>
  <si>
    <t>26-01-20</t>
  </si>
  <si>
    <t>23-01-20</t>
  </si>
  <si>
    <t>22-01-20</t>
  </si>
  <si>
    <t>21-01-20</t>
  </si>
  <si>
    <t>20-01-20</t>
  </si>
  <si>
    <t>19-01-20</t>
  </si>
  <si>
    <t>16-01-20</t>
  </si>
  <si>
    <t>15-01-20</t>
  </si>
  <si>
    <t>14-01-20</t>
  </si>
  <si>
    <t>13-01-20</t>
  </si>
  <si>
    <t>31-12-19</t>
  </si>
  <si>
    <t>30-12-19</t>
  </si>
  <si>
    <t>29-12-19</t>
  </si>
  <si>
    <t>28-12-19</t>
  </si>
  <si>
    <t>26-12-19</t>
  </si>
  <si>
    <t>25-12-19</t>
  </si>
  <si>
    <t>24-12-19</t>
  </si>
  <si>
    <t>23-12-19</t>
  </si>
  <si>
    <t>22-12-19</t>
  </si>
  <si>
    <t>19-12-19</t>
  </si>
  <si>
    <t>18-12-19</t>
  </si>
  <si>
    <t>17-12-19</t>
  </si>
  <si>
    <t>16-12-19</t>
  </si>
  <si>
    <t>15-12-19</t>
  </si>
  <si>
    <t>14-12-19</t>
  </si>
  <si>
    <t>30-11-19</t>
  </si>
  <si>
    <t>28-11-19</t>
  </si>
  <si>
    <t>27-11-19</t>
  </si>
  <si>
    <t>26-11-19</t>
  </si>
  <si>
    <t>25-11-19</t>
  </si>
  <si>
    <t>24-11-19</t>
  </si>
  <si>
    <t>23-11-19</t>
  </si>
  <si>
    <t>21-11-19</t>
  </si>
  <si>
    <t>20-11-19</t>
  </si>
  <si>
    <t>19-11-19</t>
  </si>
  <si>
    <t>18-11-19</t>
  </si>
  <si>
    <t>17-11-19</t>
  </si>
  <si>
    <t>16-11-19</t>
  </si>
  <si>
    <t>14-11-19</t>
  </si>
  <si>
    <t>13-11-19</t>
  </si>
  <si>
    <t>31-10-19</t>
  </si>
  <si>
    <t>30-10-19</t>
  </si>
  <si>
    <t>29-10-19</t>
  </si>
  <si>
    <t>28-10-19</t>
  </si>
  <si>
    <t>27-10-19</t>
  </si>
  <si>
    <t>24-10-19</t>
  </si>
  <si>
    <t>23-10-19</t>
  </si>
  <si>
    <t>22-10-19</t>
  </si>
  <si>
    <t>21-10-19</t>
  </si>
  <si>
    <t>20-10-19</t>
  </si>
  <si>
    <t>17-10-19</t>
  </si>
  <si>
    <t>16-10-19</t>
  </si>
  <si>
    <t>15-10-19</t>
  </si>
  <si>
    <t>14-10-19</t>
  </si>
  <si>
    <t>13-10-19</t>
  </si>
  <si>
    <t>30-09-19</t>
  </si>
  <si>
    <t>29-09-19</t>
  </si>
  <si>
    <t>26-09-19</t>
  </si>
  <si>
    <t>25-09-19</t>
  </si>
  <si>
    <t>24-09-19</t>
  </si>
  <si>
    <t>23-09-19</t>
  </si>
  <si>
    <t>22-09-19</t>
  </si>
  <si>
    <t>21-09-19</t>
  </si>
  <si>
    <t>19-09-19</t>
  </si>
  <si>
    <t>18-09-19</t>
  </si>
  <si>
    <t>17-09-19</t>
  </si>
  <si>
    <t>16-09-19</t>
  </si>
  <si>
    <t>15-09-19</t>
  </si>
  <si>
    <t>29-08-19</t>
  </si>
  <si>
    <t>28-08-19</t>
  </si>
  <si>
    <t>27-08-19</t>
  </si>
  <si>
    <t>26-08-19</t>
  </si>
  <si>
    <t>25-08-19</t>
  </si>
  <si>
    <t>24-08-19</t>
  </si>
  <si>
    <t>22-08-19</t>
  </si>
  <si>
    <t>21-08-19</t>
  </si>
  <si>
    <t>20-08-19</t>
  </si>
  <si>
    <t>19-08-19</t>
  </si>
  <si>
    <t>18-08-19</t>
  </si>
  <si>
    <t>15-08-19</t>
  </si>
  <si>
    <t>14-08-19</t>
  </si>
  <si>
    <t>31-07-19</t>
  </si>
  <si>
    <t>30-07-19</t>
  </si>
  <si>
    <t>29-07-19</t>
  </si>
  <si>
    <t>28-07-19</t>
  </si>
  <si>
    <t>25-07-19</t>
  </si>
  <si>
    <t>24-07-19</t>
  </si>
  <si>
    <t>23-07-19</t>
  </si>
  <si>
    <t>22-07-19</t>
  </si>
  <si>
    <t>21-07-19</t>
  </si>
  <si>
    <t>18-07-19</t>
  </si>
  <si>
    <t>17-07-19</t>
  </si>
  <si>
    <t>16-07-19</t>
  </si>
  <si>
    <t>15-07-19</t>
  </si>
  <si>
    <t>14-07-19</t>
  </si>
  <si>
    <t>13-07-19</t>
  </si>
  <si>
    <t>30-06-19</t>
  </si>
  <si>
    <t>27-06-19</t>
  </si>
  <si>
    <t>26-06-19</t>
  </si>
  <si>
    <t>25-06-19</t>
  </si>
  <si>
    <t>24-06-19</t>
  </si>
  <si>
    <t>23-06-19</t>
  </si>
  <si>
    <t>22-06-19</t>
  </si>
  <si>
    <t>20-06-19</t>
  </si>
  <si>
    <t>19-06-19</t>
  </si>
  <si>
    <t>18-06-19</t>
  </si>
  <si>
    <t>17-06-19</t>
  </si>
  <si>
    <t>16-06-19</t>
  </si>
  <si>
    <t>15-06-19</t>
  </si>
  <si>
    <t>13-06-19</t>
  </si>
  <si>
    <t>28-05-19</t>
  </si>
  <si>
    <t>26-05-19</t>
  </si>
  <si>
    <t>22-05-19</t>
  </si>
  <si>
    <t>21-05-19</t>
  </si>
  <si>
    <t>19-05-19</t>
  </si>
  <si>
    <t>16-05-19</t>
  </si>
  <si>
    <t>13-05-19</t>
  </si>
  <si>
    <t>29-04-19</t>
  </si>
  <si>
    <t>28-04-19</t>
  </si>
  <si>
    <t>27-04-19</t>
  </si>
  <si>
    <t>25-04-19</t>
  </si>
  <si>
    <t>24-04-19</t>
  </si>
  <si>
    <t>22-04-19</t>
  </si>
  <si>
    <t>18-04-19</t>
  </si>
  <si>
    <t>17-04-19</t>
  </si>
  <si>
    <t>16-04-19</t>
  </si>
  <si>
    <t>15-04-19</t>
  </si>
  <si>
    <t>14-04-19</t>
  </si>
  <si>
    <t>31-03-19</t>
  </si>
  <si>
    <t>28-03-19</t>
  </si>
  <si>
    <t>27-03-19</t>
  </si>
  <si>
    <t>26-03-19</t>
  </si>
  <si>
    <t>25-03-19</t>
  </si>
  <si>
    <t>24-03-19</t>
  </si>
  <si>
    <t>21-03-19</t>
  </si>
  <si>
    <t>20-03-19</t>
  </si>
  <si>
    <t>19-03-19</t>
  </si>
  <si>
    <t>18-03-19</t>
  </si>
  <si>
    <t>17-03-19</t>
  </si>
  <si>
    <t>16-03-19</t>
  </si>
  <si>
    <t>14-03-19</t>
  </si>
  <si>
    <t>13-03-19</t>
  </si>
  <si>
    <t>28-02-19</t>
  </si>
  <si>
    <t>27-02-19</t>
  </si>
  <si>
    <t>26-02-19</t>
  </si>
  <si>
    <t>25-02-19</t>
  </si>
  <si>
    <t>24-02-19</t>
  </si>
  <si>
    <t>23-02-19</t>
  </si>
  <si>
    <t>21-02-19</t>
  </si>
  <si>
    <t>20-02-19</t>
  </si>
  <si>
    <t>19-02-19</t>
  </si>
  <si>
    <t>18-02-19</t>
  </si>
  <si>
    <t>17-02-19</t>
  </si>
  <si>
    <t>16-02-19</t>
  </si>
  <si>
    <t>14-02-19</t>
  </si>
  <si>
    <t>13-02-19</t>
  </si>
  <si>
    <t>31-01-19</t>
  </si>
  <si>
    <t>30-01-19</t>
  </si>
  <si>
    <t>29-01-19</t>
  </si>
  <si>
    <t>28-01-19</t>
  </si>
  <si>
    <t>27-01-19</t>
  </si>
  <si>
    <t>24-01-19</t>
  </si>
  <si>
    <t>23-01-19</t>
  </si>
  <si>
    <t>22-01-19</t>
  </si>
  <si>
    <t>21-01-19</t>
  </si>
  <si>
    <t>20-01-19</t>
  </si>
  <si>
    <t>19-01-19</t>
  </si>
  <si>
    <t>17-01-19</t>
  </si>
  <si>
    <t>16-01-19</t>
  </si>
  <si>
    <t>15-01-19</t>
  </si>
  <si>
    <t>14-01-19</t>
  </si>
  <si>
    <t>13-01-19</t>
  </si>
  <si>
    <t>id</t>
  </si>
  <si>
    <t>project name</t>
  </si>
  <si>
    <t>loc</t>
  </si>
  <si>
    <t>hlink</t>
  </si>
  <si>
    <t>activity</t>
  </si>
  <si>
    <t>completed</t>
  </si>
  <si>
    <t>ongoing</t>
  </si>
  <si>
    <t>remarks</t>
  </si>
  <si>
    <t>created</t>
  </si>
  <si>
    <t>updated</t>
  </si>
  <si>
    <t>F:\OPERATIONS\7. REPORT FILES</t>
  </si>
  <si>
    <t>\\cclserver\DATA\P 2020\01 Dubai\06-17-BU-024 Hera Tower\Construction Phase\CR\Qtn</t>
  </si>
  <si>
    <t>\\cclserver\DATA\P 2020\03 CR Projects\06-20-CR-008 Dubai Courts\Construction Phase</t>
  </si>
  <si>
    <t>\\cclserver\DATA\Q 2020\CCL STRENGTHENING\Dubai\2020\A1.5110.20 Creek Rise\CCL Gulf PROPOSAL</t>
  </si>
  <si>
    <t>\\cclserver\DATA\Q 2020\CCL STRENGTHENING\Dubai\2020\A1.5133.20 Hypermarket 318-7262\CCL Gulf PROPOSAL</t>
  </si>
  <si>
    <t>\\cclserver\DATA\P 2020\01 Dubai\06-19-BU-012 2B+G+6F Bldg.Oud Metha Al Serh</t>
  </si>
  <si>
    <t>\\cclserver\DATA\P 2020\03 CR Projects\06-20-CR-002 MEDORE Tower\Construction Phase</t>
  </si>
  <si>
    <t>\\cclserver\DATA\P 2020\03 CR Projects\06-20-CR-011 Mama Shelter\Construction Phase\</t>
  </si>
  <si>
    <t>\\cclserver\DATA\Q 2020\CCL STRENGTHENING\Dubai\2021\A1.5142.21 Pumping Station\CCL Gulf PROPOSAL</t>
  </si>
  <si>
    <t>\\server\DATA\Q 2020\CCL STRENGTHENING\Dubai\2021\A1.5142.21 Pumping Station\CCL Gulf PROPOSAL</t>
  </si>
  <si>
    <t>\\server\DATA\P 2020\03 CR Projects\06-20-CR-008 Dubai Courts\Construction Phase</t>
  </si>
  <si>
    <t>\\server\DATA\P 2020\01 Dubai\06-19-BU-012 2B+G+6F Bldg.Oud Metha Al Serh</t>
  </si>
  <si>
    <t>\\server\DATA\P 2020\03 CR Projects\06-20-CR-002 MEDORE Tower\Construction Phase</t>
  </si>
  <si>
    <t>\\server\DATA\Q 2020\CCL STRENGTHENING\Dubai\2020\A1.5110.20 Creek Rise\CCL Gulf PROPOSAL</t>
  </si>
  <si>
    <t>\\serverone\2015\P 2015\01 Dubai\06-17-BU-024 Hera Tower\Construction Phase\CR</t>
  </si>
  <si>
    <t>\\server\DATA\Q 2020\CCL STRENGTHENING\Dubai\2020\A1.5133.20 Hypermarket 318-7262\CCL Gulf PROPOSAL</t>
  </si>
  <si>
    <t>\\server\DATA\Q 2020\CCL STRENGTHENING\Dubai\2020\A1.5040.20 Santeville Tower\CCL Gulf PROPOSAL</t>
  </si>
  <si>
    <t>\\server\DATA\Q 2020\CCL STRENGTHENING\Dubai\2020\A1.5138.20 Villa G+one\CCL Gulf PROPOSAL</t>
  </si>
  <si>
    <t>\\server\DATA\P 2020\03 CR Projects\06-19-CR-013 (2B+GR+11)Royal Continental-Al Arif</t>
  </si>
  <si>
    <t>\\server\DATA\Q 2020\CCL STRENGTHENING\Dubai\2020\A1.5134.20 Sterling East Garden\CCL Gulf PROPOSAL</t>
  </si>
  <si>
    <t>\\server\DATA\P 2020\03 CR Projects\06-20-CR-011 Mama Shelter\Construction Phase\</t>
  </si>
  <si>
    <t>\\server\DATA\Q 2020\CCL STRENGTHENING\Dubai\2019\A1.4852.19 Garhoud Atrium\CCL Gulf PROPOSAL</t>
  </si>
  <si>
    <t>\\server\DATA\Q 2020\CCL STRENGTHENING\Dubai\2020\A1.5126.20 Wafi Hotel Complex\CCL Gulf PROPOSAL</t>
  </si>
  <si>
    <t>\\server\DATA\P 2020\03 CR Projects\06-17-BU-009 Paragon Bay Mall\Construction Phase</t>
  </si>
  <si>
    <t>\\server\DATA\Q 2020\CCL STRENGTHENING\Dubai\2020\A1.5074.20 Al Arif Contraction\CCL Gulf PROPOSAL</t>
  </si>
  <si>
    <t>\\server\DATA\Q 2020\CCL STRENGTHENING\Sharjah\A3.5105.20 Sharjah Mosque\CCL Gulf PROPOSAL</t>
  </si>
  <si>
    <t>\\server\DATA\Q 2020\CCL STRENGTHENING\Abu Dhabi\2020\A2.5109.20 WOW Yas Mall\CCL Gulf PROPOSAL</t>
  </si>
  <si>
    <t>\\serverone\2015\P 2015\03 CR Projects\06-20-CR-005 Marina Arcade-Syndicate</t>
  </si>
  <si>
    <t>\\server\DATA\Q 2020\CCL STRENGTHENING\Dubai\2020\A1.5061.20 Tamweel Tower\CCL Gulf PROPOSAL</t>
  </si>
  <si>
    <t>\\server\DATA\Q 2020\CCL STRENGTHENING\Dubai\2020\A1.5074.20 Al Arif Contraction</t>
  </si>
  <si>
    <t>\\server\DATA\P 2020\03 CR Projects\06-20-CR-004 Google Innovation Hub (Execution)</t>
  </si>
  <si>
    <t>\\server\DATA\P 2020\03 CR Projects\06-20-CR-007 Silicon Park A5 Bdg\Construction Phase</t>
  </si>
  <si>
    <t>\\server\DATA\Q 2020\CCL STRENGTHENING\Dubai\2020\A1.5044.20 Wisal Tower</t>
  </si>
  <si>
    <t>\\server\DATA\Q 2020\CCL STRENGTHENING\Dubai\2020\A1.5102.20 New Clinic\CCL Gulf PROPOSAL</t>
  </si>
  <si>
    <t>\\server\DATA\Q 2020\CCL STRENGTHENING\Dubai\2020\A1.5100.20 Hattan Tower\CCL Gulf PROPOSAL</t>
  </si>
  <si>
    <t>\\server\DATA\Q 2020\CCL STRENGTHENING\FILING_PENDING\18. Marine Warehouse</t>
  </si>
  <si>
    <t>\\server\DATA\Q 2020\CCL STRENGTHENING\Dubai\2020\A1.5039.20 West-burry Tower\CCL Gulf PROPOSAL</t>
  </si>
  <si>
    <t>\\server\DATA\P 2020\03 CR Projects\06-20-CR-002 MEDORE Tower\Construction Phase\Dwg Rcvd\CCL Eng\140.020720-Full Detailed Design &amp; Calc</t>
  </si>
  <si>
    <t>\\server\DATA\Q 2020\CCL STRENGTHENING\Dubai\2019\A1.5015.19 4B+G+39+M -JLT (H1 Building)\CCL Gulf PROPOSAL</t>
  </si>
  <si>
    <t>\\Serverone\2015\P 2015\01 Dubai\06-19-BU-001 Khansaheb Villa-Amer Khansaheb\CR</t>
  </si>
  <si>
    <t>\\server\DATA\Q 2020\CCL STRENGTHENING\Dubai\2020\A1.5085.20 Burj Daman (Gargash)\CCL Gulf PROPOSAL</t>
  </si>
  <si>
    <t>\\server\DATA\Q 2020\CCL STRENGTHENING\Dubai\2020\A1.5087.20 Fifty One Tower\CCL Gulf PROPOSAL</t>
  </si>
  <si>
    <t>\\Serverone\2015\P 2015\01 Dubai\06-18-BU-007 2B+G+62+R 343-1193 Al Wasl\CR</t>
  </si>
  <si>
    <t>\\server\DATA\P 2020\03 CR Projects\06-19-CR-005 Lilian Tower</t>
  </si>
  <si>
    <t>\\server\DATA\P 2020\03 CR Projects\06-20-CR-009 Prudential Tower</t>
  </si>
  <si>
    <t>\\server\DATA\P 2020\03 CR Projects\06-20-CR-010 Car Park JVC</t>
  </si>
  <si>
    <t>\\server\DATA\P 2020\03 CR Projects\06-20-CR-011 Mama Shelter\Construction Phase\Technical Submittal\Print + CD</t>
  </si>
  <si>
    <t>\\Serverone\2015\Q 2015\CCL STRENGTHENING\Dubai\2019\A1.4985.19 3B+G+24+Roof Mama Hotel\CCL Gulf PROPOSAL</t>
  </si>
  <si>
    <t>F:\OPERATIONS\2. CCL Prequalification R &amp; S\5. CCL Prequalification 2020</t>
  </si>
  <si>
    <t>\\server\DATA\Q 2020\CCL STRENGTHENING\Dubai\2020\A1.5076.20 Burj Al Arab\CCL Gulf PROPOSAL</t>
  </si>
  <si>
    <t>\\server\DATA\P 2020\03 CR Projects\06-16-BU-007 Churchill Tower (CR)</t>
  </si>
  <si>
    <t>\\server\DATA\Q 2020\CCL STRENGTHENING\Dubai\2020\A1.5051.20 Bulgari Marina Lofts</t>
  </si>
  <si>
    <t>\\server\DATA\P 2020\01 Dubai\06-20-BU-001 MEDORE Tower\Construction Phase</t>
  </si>
  <si>
    <t>\\server\DATA\Q 2020\CCL STRENGTHENING\Dubai\2020\A1.5071.20 Central Park, JVC\CCL Gulf PROPOSAL</t>
  </si>
  <si>
    <t>\\server\DATA\Q 2020\CCL STRENGTHENING\Dubai\2020\A1.5070.20 Royal Grammar School\CCL Gulf PROPOSAL</t>
  </si>
  <si>
    <t>\\serverone\2015\P 2015\01 Dubai\06-17-BU-026 Prudential Tower\CR</t>
  </si>
  <si>
    <t>\\server\DATA\Q 2020\CCL STRENGTHENING\FILING_PENDING\16. Al-Kazem Tower</t>
  </si>
  <si>
    <t>\\server\DATA\Q 2020\CCL STRENGTHENING\Dubai\2020\A1.5060.20 Dubai Courts\CCL Gulf PROPOSAL</t>
  </si>
  <si>
    <t>\\server\DATA\Q 2020\CCL STRENGTHENING\Dubai\2020\A1.5064.20 Al Wasl Restaurant\CCL Gulf PROPOSAL</t>
  </si>
  <si>
    <t>\\server\DATA\Q 2020\CCL STRENGTHENING\Dubai\2020\A1.5060.20 Dubai Courts</t>
  </si>
  <si>
    <t>\\server\DATA\P 2020\03 CR Projects\06-20-CR-006 Silicon Park A5 Bdg\Construction Phase\Technical Submittal</t>
  </si>
  <si>
    <t>\\server\DATA\P 2020\03 CR Projects\06-20-CR-006 Silicon Park A5 Bdg\Construction Phase</t>
  </si>
  <si>
    <t>\\server\DATA\Q 2020\CCL STRENGTHENING\Dubai\2020\A1.5059.20 Fahim Villa\CCL Gulf PROPOSAL</t>
  </si>
  <si>
    <t>\\server\DATA\Q 2020\CCL STRENGTHENING\Dubai\2019\A1.5003.19 Multiuse Buiding (Silicon Park A5)\CCL Gulf PROPOSAL</t>
  </si>
  <si>
    <t>\\server\DATA\Q 2020\CCL STRENGTHENING\Dubai\2019\A1.5003.19 Multiuse Buiding (Silicon Park A5)</t>
  </si>
  <si>
    <t>\\server\DATA\Q 2020\CCL STRENGTHENING\Dubai\2020\A1.5056.20 Empower Project</t>
  </si>
  <si>
    <t>\\server\DATA\Q 2020\CCL STRENGTHENING\Abu Dhabi\2020\A2.5054.20 Al Wahda Mall\CCL Gulf PROPOSAL</t>
  </si>
  <si>
    <t>\\Serverone\2015\Q 2015\CCL STRENGTHENING\Abu Dhabi\2019\A2.4875.19 Reem Island_ORASCOM\CCL Gulf PROPOSAL</t>
  </si>
  <si>
    <t>\\server\DATA\Q 2020\CCL STRENGTHENING\Abu Dhabi\2020\A2.5047.20 Yas Media One\CCL Gulf PROPOSAL</t>
  </si>
  <si>
    <t>\\server\DATA\Q 2020\CCL STRENGTHENING\Abu Dhabi\2019\A2.4875.19 Reem Island_ORASCOM\CCL Gulf PROPOSAL</t>
  </si>
  <si>
    <t>\\serverone\2015\P 2015\03 CR Projects\06-20-CR-004 Google Innovation Hub (Execution)</t>
  </si>
  <si>
    <t>\\serverone\2015\P 2015\03 CR Projects\06-20-CR-002 MEDORE Tower\Construction Phase</t>
  </si>
  <si>
    <t>\\serverone\2015\P 2015\01 Dubai\06-18-BU-013 Elite Business Bay (global cont)\CR</t>
  </si>
  <si>
    <t>\\serverone\2015\P 2015\03 CR Projects\06-15-BU-001 Tiara Hotel (CR)</t>
  </si>
  <si>
    <t>\\serverone\2015\Q 2015\CCL STRENGTHENING\Dubai\2020\A1.5039.20 Westburry\CCL Gulf PROPOSAL</t>
  </si>
  <si>
    <t>\\serverone\2015\Q 2015\CCL STRENGTHENING\Dubai\2019\A1.5015.19 4B+G+39+M -JLT (H1 Building)\CCL Gulf PROPOSAL</t>
  </si>
  <si>
    <t>\\serverone\2015\Q 2015\CCL STRENGTHENING\Dubai\2020\A1.5034.20 Residence Villa (BW)\CCL Gulf PROPOSAL</t>
  </si>
  <si>
    <t>\\serverone\2015\Q 2015\CCL STRENGTHENING\FILING_PENDING\13. Westburry Tower APG</t>
  </si>
  <si>
    <t>\\serverone\2015\Q 2015\CCL STRENGTHENING\Dubai\2020\A1.5029.20 Marina Arcade\CCL Gulf PROPOSAL</t>
  </si>
  <si>
    <t>\\serverone\2015\Q 2015\CCL STRENGTHENING\Abu Dhabi\2019\A2.4942.19 C40 Comm &amp; Res Bldg\CCL Gulf PROPOSAL</t>
  </si>
  <si>
    <t>\\serverone\2015\P 2015\03 CR Projects\06-17-BU-009 Paragon Bay Mall\</t>
  </si>
  <si>
    <t>\\serverone\2015\P 2015\03 CR Projects\06-19-CR-007  Elite 2 &amp;6</t>
  </si>
  <si>
    <t>\\serverone\2015\Q 2015\CCL STRENGTHENING\Dubai\2019\A1.4903.19 Ramboll Building (ongoing)\CCL Gulf PROPOSAL</t>
  </si>
  <si>
    <t>\\serverone\2015\Q 2015\CCL STRENGTHENING\Dubai\2019\A1.4809.19 ME DO RE Res Tower\CCL Gulf PROPOSAL</t>
  </si>
  <si>
    <t>\\serverone\2015\Q 2015\CCL STRENGTHENING\FILING_PENDING\9. Jumeirah Villa Gulf Engg</t>
  </si>
  <si>
    <t>\\Serverone\2015\P 2015\03 CR Projects\06-19-CR-010 Dilmunia Mall Repair</t>
  </si>
  <si>
    <t>\\Serverone\2015\P 2015\03 CR Projects\06-17-BU-012 Waldorf Astoria DIFC Hotel\Constructon Phase\</t>
  </si>
  <si>
    <t>\\serverone\2015\Q 2015\CCL STRENGTHENING\FILING_PENDING\12. DIFC</t>
  </si>
  <si>
    <t>\\Serverone\2015\Q 2015\CCL STRENGTHENING\Dubai\2018\A1.4758.18 Deira Waterfroont Developmant-Plot No. 1</t>
  </si>
  <si>
    <t>\\serverone\2015\Q 2015\CCL STRENGTHENING\Dubai\2019\A1.5006.19 DIFC\CCL Gulf PROPOSAL</t>
  </si>
  <si>
    <t>\\serverone\2015\P 2015\01 Dubai\06-18-BU-016 Ewan Residences\Construction Phase\CR</t>
  </si>
  <si>
    <t>\\serverone\2015\P 2015\03 CR Projects\06-19-CR-013 (2B+GR+11)Royal Continental-Al Arif</t>
  </si>
  <si>
    <t>\\serverone\2015\Q 2015\CCL STRENGTHENING\Dubai\2019\A1.5005.19 Res Bldg Muraqqabat (Cracks)\CCL Gulf PROPOSAL</t>
  </si>
  <si>
    <t>\\serverone\2015\Q 2015\CCL STRENGTHENING\Dubai\2019\A1.5001.19 Time Out Market\CCL Gulf PROPOSAL</t>
  </si>
  <si>
    <t>\\serverone\2015\P 2015\03 CR Projects\06-18-CR-018 Mandarin Hotel</t>
  </si>
  <si>
    <t>\\serverone\2015\Q 2015\CCL STRENGTHENING\Dubai\2019\A1.4907.19 Capex Project MOE (ongoing)\CCL Gulf PROPOSAL</t>
  </si>
  <si>
    <t>\\serverone\2015\Q 2015\CCL STRENGTHENING\FILING_PENDING\7. Muraqqabat</t>
  </si>
  <si>
    <t>\\serverone\2015\P 2015\04 Bahrain\06-19-BU-003 Al Daih Gates</t>
  </si>
  <si>
    <t>\\serverone\2015\Q 2015\CCL STRENGTHENING\Dubai\2019\A1.5000.19 Bluewaters Wharf\CCL Gulf PROPOSAL</t>
  </si>
  <si>
    <t>\\serverone\2015\Q 2015\CCL STRENGTHENING\BAHRAIN\1. Dilmunia Mall</t>
  </si>
  <si>
    <t>\\serverone\2015\Q 2015\CCL STRENGTHENING\Dubai\2019\A1.4879.19 Royal Continental (Ongoing)</t>
  </si>
  <si>
    <t>\\serverone\2015\Q 2015\04 KSA\Strengthening\2019\2. King Faisal Hospital</t>
  </si>
  <si>
    <t>\\serverone\2015\Q 2015\CCL STRENGTHENING\Abu Dhabi\2019\A2.4994.19 Zayed University\CCL Gulf PROPOSAL</t>
  </si>
  <si>
    <t>\\serverone\2015\Q 2015\CCL STRENGTHENING\Sharjah\A3.4991.19 Chemistry Bldg Renovation\CCL Gulf PROPOSAL</t>
  </si>
  <si>
    <t>\\serverone\2015\Q 2015\CCL STRENGTHENING\Dubai\2019\A1.4992.19 Gulf &amp; Safa Diaries\CCL Gulf PROPOSAL</t>
  </si>
  <si>
    <t>\\serverone\2015\Q 2015\CCL STRENGTHENING\FILING_PENDING\7. Khansaheb Souq-al-bahar</t>
  </si>
  <si>
    <t>\\serverone\2015\Q 2015\CCL STRENGTHENING\Dubai\2019\A1.4964.19 G+2 Abu-Hail Bldg Plot No. 126-698\CCL Gulf PROPOSAL</t>
  </si>
  <si>
    <t>\\Serverone\2015\Q 2015\CCL STRENGTHENING\Dubai\2019\A1.4879.19 Royal Continental</t>
  </si>
  <si>
    <t>\\serverone\2015\Q 2015\CCL STRENGTHENING\FILING_PENDING\9. A1.4903.19 Google AlTayer</t>
  </si>
  <si>
    <t>\\serverone\2015\Q 2015\CCL STRENGTHENING\Dubai\2019\A1.4858.19 Dana-2 Building (Int'l City)\CCL Gulf PROPOSAL</t>
  </si>
  <si>
    <t>\\serverone\2015\Q 2015\CCL STRENGTHENING\Dubai\2019\A1.4966.19 G+2P+13 Barsha Res Bldg AR.D.035 (NEB)\CCL Gulf PROPOSAL</t>
  </si>
  <si>
    <t>\\Serverone\2015\P 2015\01 Dubai\06-19-BU-001 Khansaheb Villa-Amer Khansaheb</t>
  </si>
  <si>
    <t>\\serverone\2015\Q 2015\CCL STRENGTHENING\Dubai\2019\A1.4968.19 The Palm Island Villas\CCL Gulf PROPOSAL</t>
  </si>
  <si>
    <t>\\serverone\2015\Q 2015\CCL STRENGTHENING\Dubai\2019\A1.4964.19 G+2 Bldg Plot No. 126-698\CCL Gulf PROPOSAL</t>
  </si>
  <si>
    <t>\\serverone\2015\Q 2015\CCL STRENGTHENING\FILING_PENDING\10. Crown Prince Court</t>
  </si>
  <si>
    <t>\\Serverone\2015\P 2015\03 CR Projects\06-19-CR-005 Lilian Tower</t>
  </si>
  <si>
    <t>\\serverone\2015\Q 2015\CCL STRENGTHENING\FILING_PENDING\9. Google AlTayer</t>
  </si>
  <si>
    <t>\\serverone\2015\P 2015\03 CR Projects\06-18-CR-004 Marina Arcade (Quantum)</t>
  </si>
  <si>
    <t>\\serverone\2015\Q 2015\CCL STRENGTHENING\Sharjah\A3.4560.17 Dr. Ghanem Al Hajri Villa @ Sharjah\CCL Gulf PROPOSAL</t>
  </si>
  <si>
    <t>\\serverone\2015\Q 2015\CCL STRENGTHENING\FILING_PENDING\8. Adnann_Gunite</t>
  </si>
  <si>
    <t>\\serverone\2015\Q 2015\01 DUBAI\Buildings\2019\A1.4927.19 Town Square Plot No. 4-(G+5)\CCL Gulf PROPOSAL</t>
  </si>
  <si>
    <t>\\serverone\2015\Q 2015\CCL STRENGTHENING\Dubai\2019\A1.4869.19 THE CIRCLE MALL\CCL Gulf PROPOSAL</t>
  </si>
  <si>
    <t>\\serverone\2015\Q 2015\01 DUBAI\Buildings\2019\A1.4929.19 The Palace Hotel\CCL Gulf PROPOSAL</t>
  </si>
  <si>
    <t>\\serverone\2015\Q 2015\01 DUBAI\Buildings\2019\A1.4928.19 B+G+M+5 Mixed Use Dev 6740313\CCL Gulf PROPOSAL</t>
  </si>
  <si>
    <t>\\serverone\2015\Q 2015\CCL STRENGTHENING\Dubai\2019\A1.4906.19 Oberoi Building\CCL Gulf PROPOSAL</t>
  </si>
  <si>
    <t>\\serverone\2015\Q 2015\CCL STRENGTHENING\Dubai\2018\A1.4599.18 Al Manzel Bldg</t>
  </si>
  <si>
    <t>\\serverone\2015\Q 2015\CCL STRENGTHENING\FILING_PENDING\1. DIFC Gate Avenue</t>
  </si>
  <si>
    <t>\\serverone\2015\Q 2015\CCL STRENGTHENING\FILING_PENDING\2. Marina Arcade Dutco</t>
  </si>
  <si>
    <t>\\serverone\2015\Q 2015\CCL STRENGTHENING\Dubai\2019\A1.4917.19 Comm &amp; Res Bldg 21-020\CCL Gulf PROPOSAL</t>
  </si>
  <si>
    <t>\\serverone\2015\Q 2015\CCL STRENGTHENING\FILING_PENDING\6. Cake &amp; More</t>
  </si>
  <si>
    <t>\\serverone\2015\Q 2015\CCL STRENGTHENING\FILING_PENDING\6. Building in Silicon</t>
  </si>
  <si>
    <t>\\serverone\2015\P 2015\01 Dubai\06-17-BU-024 Hera Tower\Construction Phase\Strengthening</t>
  </si>
  <si>
    <t>\\serverone\2015\Q 2015\CCL STRENGTHENING\FILING_PENDING\3. INC Media City</t>
  </si>
  <si>
    <t>\\Serverone\2015\Q 2015\CCL STRENGTHENING\Dubai\2019\A1.4880.19 Floor Coring (PPI Contracting)</t>
  </si>
  <si>
    <t>\\serverone\2015\Q 2015\CCL STRENGTHENING\Dubai\2019\A1.4903.19 Ramboll Building\CCL Gulf PROPOSAL</t>
  </si>
  <si>
    <t>\\serverone\2015\Q 2015\CCL STRENGTHENING\Dubai\2019\A1.4905.19 Al Raffa Roof\CCL Gulf PROPOSAL</t>
  </si>
  <si>
    <t>\\serverone\2015\P 2015\03 CR Projects\06-17-BU-018 NFPC Mega Plant\Construction Phase</t>
  </si>
  <si>
    <t>\\serverone\2015\Q 2015\CCL STRENGTHENING\Dubai\2019\A1.4816.19 Wafi Hotel Complex -(ongoing)</t>
  </si>
  <si>
    <t>\\Serverone\2015\Q 2015\CCL STRENGTHENING\FILING_PENDING</t>
  </si>
  <si>
    <t>\\Serverone\2015\Q 2015\CCL STRENGTHENING\Dubai\2019\A1.4896.19 Richreit Towers\CCL Gulf PROPOSAL</t>
  </si>
  <si>
    <t>\\Serverone\2015\Q 2015\CCL STRENGTHENING\FILING_PENDING\2. Hydra New</t>
  </si>
  <si>
    <t>\\serverone\2015\Q 2015\CCL STRENGTHENING\Dubai\2019\A1.4816.19 Wafi Hotel Complex &amp; Mall Expansion\CCL Gulf PROPOSAL</t>
  </si>
  <si>
    <t>\\Serverone\2015\Q 2015\CCL STRENGTHENING\Dubai\2019\A1.4889.19 Crown Plaza Complex\CCL Gulf PROPOSAL</t>
  </si>
  <si>
    <t>\\Serverone\2015\Q 2015\CCL STRENGTHENING\Dubai\2019\A1.4847.19 GR.+4Podium+2 Towers-Bloom\CCL Gulf PROPOSAL</t>
  </si>
  <si>
    <t>\\Serverone\2015\Q 2015\CCL STRENGTHENING\Dubai\2019\A1.4882.19 Gas Line Support Structures at DEWA\CCL Gulf PROPOSAL</t>
  </si>
  <si>
    <t>\\serverone\2015\Q 2015\04 KSA\Strengthening\2019\3. Reem Plaza</t>
  </si>
  <si>
    <t>\\Serverone\2015\Q 2015\CCL STRENGTHENING\Dubai\2019\A1.4879.19 Royal Continentat</t>
  </si>
  <si>
    <t>\\serverone\2015\Q 2015\CCL STRENGTHENING\Dubai\2018\A1.4567.18 Addition Of Hotel Bldg Block C</t>
  </si>
  <si>
    <t>\\serverone\2015\P 2015\03 CR Projects\06-19-CR-005 Lilian Tower</t>
  </si>
  <si>
    <t>\\Serverone\2015\Q 2015\CCL STRENGTHENING\Dubai\2019\A1.4809.19 ME DO RE Res Tower\CCL Gulf PROPOSAL</t>
  </si>
  <si>
    <t>\\serverone\2015\P 2015\03 CR Projects\06-18-CR-XXX  Elite 2 &amp;6</t>
  </si>
  <si>
    <t>\\Serverone\2015\P 2015\03 CR Projects\06-18-CR-011 Aster Hospital</t>
  </si>
  <si>
    <t>\\serverone\2015\P 2015\01 Dubai\06-13-BU-003 Damac Heights\Construction Phase</t>
  </si>
  <si>
    <t>\\serverone\2015\Q 2015\CCL STRENGTHENING\Dubai\2018\A1.4751.18 Premier Inn Expansion</t>
  </si>
  <si>
    <t>\\serverone\2015\P 2015\01 Dubai\06-15-BU-001 Tiara Hotel (CR)</t>
  </si>
  <si>
    <t>\\Serverone\2015\Q 2015\CCL STRENGTHENING\Dubai\2018\A1.4728.18 G+Four Storey Hussain Haider</t>
  </si>
  <si>
    <t>E:\5. CCL Gulf\OPERATIONS\</t>
  </si>
  <si>
    <t>Date</t>
  </si>
  <si>
    <t>Val</t>
  </si>
  <si>
    <t>Check</t>
  </si>
  <si>
    <t/>
  </si>
  <si>
    <t>Date Start</t>
  </si>
  <si>
    <t>Date Done</t>
  </si>
  <si>
    <t>ref</t>
  </si>
  <si>
    <t>2021-01-13</t>
  </si>
  <si>
    <t>2021-01-12</t>
  </si>
  <si>
    <t>2021-01-11</t>
  </si>
  <si>
    <t>2021-01-10</t>
  </si>
  <si>
    <t>2021-01-07</t>
  </si>
  <si>
    <t>2021-01-06</t>
  </si>
  <si>
    <t>2021-01-05</t>
  </si>
  <si>
    <t>2021-01-04</t>
  </si>
  <si>
    <t>2021-01-03</t>
  </si>
  <si>
    <t>2020-12-31</t>
  </si>
  <si>
    <t>2020-12-30</t>
  </si>
  <si>
    <t>2020-12-29</t>
  </si>
  <si>
    <t>2020-12-28</t>
  </si>
  <si>
    <t>2020-12-27</t>
  </si>
  <si>
    <t>2020-12-24</t>
  </si>
  <si>
    <t>2020-12-23</t>
  </si>
  <si>
    <t>2020-12-22</t>
  </si>
  <si>
    <t>2020-12-21</t>
  </si>
  <si>
    <t>2020-12-20</t>
  </si>
  <si>
    <t>2020-12-17</t>
  </si>
  <si>
    <t>2020-12-16</t>
  </si>
  <si>
    <t>2020-12-15</t>
  </si>
  <si>
    <t>2020-12-14</t>
  </si>
  <si>
    <t>2020-12-13</t>
  </si>
  <si>
    <t>2020-12-10</t>
  </si>
  <si>
    <t>2020-12-09</t>
  </si>
  <si>
    <t>2020-12-08</t>
  </si>
  <si>
    <t>2020-12-07</t>
  </si>
  <si>
    <t>2020-12-06</t>
  </si>
  <si>
    <t>2020-11-30</t>
  </si>
  <si>
    <t>2020-11-29</t>
  </si>
  <si>
    <t>2020-11-26</t>
  </si>
  <si>
    <t>2020-11-25</t>
  </si>
  <si>
    <t>2020-11-24</t>
  </si>
  <si>
    <t>2020-11-23</t>
  </si>
  <si>
    <t>2020-11-22</t>
  </si>
  <si>
    <t>2020-11-21</t>
  </si>
  <si>
    <t>2020-11-19</t>
  </si>
  <si>
    <t>2020-11-18</t>
  </si>
  <si>
    <t>2020-11-17</t>
  </si>
  <si>
    <t>2020-11-16</t>
  </si>
  <si>
    <t>2020-11-15</t>
  </si>
  <si>
    <t>2020-11-12</t>
  </si>
  <si>
    <t>2020-11-11</t>
  </si>
  <si>
    <t>2020-11-10</t>
  </si>
  <si>
    <t>2020-11-09</t>
  </si>
  <si>
    <t>2020-11-08</t>
  </si>
  <si>
    <t>2020-11-05</t>
  </si>
  <si>
    <t>2020-11-04</t>
  </si>
  <si>
    <t>2020-11-03</t>
  </si>
  <si>
    <t>2020-11-02</t>
  </si>
  <si>
    <t>2020-11-01</t>
  </si>
  <si>
    <t>2020-10-31</t>
  </si>
  <si>
    <t>2020-10-28</t>
  </si>
  <si>
    <t>2020-10-27</t>
  </si>
  <si>
    <t>2020-10-26</t>
  </si>
  <si>
    <t>2020-10-25</t>
  </si>
  <si>
    <t>2020-10-24</t>
  </si>
  <si>
    <t>2020-10-22</t>
  </si>
  <si>
    <t>2020-10-21</t>
  </si>
  <si>
    <t>2020-10-20</t>
  </si>
  <si>
    <t>2020-10-19</t>
  </si>
  <si>
    <t>2020-10-18</t>
  </si>
  <si>
    <t>2020-10-17</t>
  </si>
  <si>
    <t>2020-10-15</t>
  </si>
  <si>
    <t>2020-10-14</t>
  </si>
  <si>
    <t>2020-10-13</t>
  </si>
  <si>
    <t>2020-10-12</t>
  </si>
  <si>
    <t>2020-10-11</t>
  </si>
  <si>
    <t>2020-10-10</t>
  </si>
  <si>
    <t>2020-10-08</t>
  </si>
  <si>
    <t>2020-10-07</t>
  </si>
  <si>
    <t>2020-10-06</t>
  </si>
  <si>
    <t>2020-10-05</t>
  </si>
  <si>
    <t>2020-10-04</t>
  </si>
  <si>
    <t>2020-09-30</t>
  </si>
  <si>
    <t>2020-09-29</t>
  </si>
  <si>
    <t>2020-09-28</t>
  </si>
  <si>
    <t>2020-09-27</t>
  </si>
  <si>
    <t>2020-09-26</t>
  </si>
  <si>
    <t>2020-09-24</t>
  </si>
  <si>
    <t>2020-09-23</t>
  </si>
  <si>
    <t>2020-09-22</t>
  </si>
  <si>
    <t>2020-09-21</t>
  </si>
  <si>
    <t>2020-09-20</t>
  </si>
  <si>
    <t>2020-09-19</t>
  </si>
  <si>
    <t>2020-09-17</t>
  </si>
  <si>
    <t>2020-09-16</t>
  </si>
  <si>
    <t>2020-09-15</t>
  </si>
  <si>
    <t>2020-09-14</t>
  </si>
  <si>
    <t>2020-09-13</t>
  </si>
  <si>
    <t>2020-09-12</t>
  </si>
  <si>
    <t>2020-09-10</t>
  </si>
  <si>
    <t>2020-09-09</t>
  </si>
  <si>
    <t>2020-09-08</t>
  </si>
  <si>
    <t>2020-09-07</t>
  </si>
  <si>
    <t>2020-09-06</t>
  </si>
  <si>
    <t>2020-09-05</t>
  </si>
  <si>
    <t>2020-09-03</t>
  </si>
  <si>
    <t>2020-09-02</t>
  </si>
  <si>
    <t>2020-09-01</t>
  </si>
  <si>
    <t>2020-08-31</t>
  </si>
  <si>
    <t>2020-08-29</t>
  </si>
  <si>
    <t>2020-08-27</t>
  </si>
  <si>
    <t>2020-08-26</t>
  </si>
  <si>
    <t>2020-08-25</t>
  </si>
  <si>
    <t>2020-08-24</t>
  </si>
  <si>
    <t>2020-08-22</t>
  </si>
  <si>
    <t>2020-08-20</t>
  </si>
  <si>
    <t>2020-08-19</t>
  </si>
  <si>
    <t>2020-08-18</t>
  </si>
  <si>
    <t>2020-08-17</t>
  </si>
  <si>
    <t>2020-08-16</t>
  </si>
  <si>
    <t>2020-08-15</t>
  </si>
  <si>
    <t>2020-08-13</t>
  </si>
  <si>
    <t>2020-08-12</t>
  </si>
  <si>
    <t>2020-08-11</t>
  </si>
  <si>
    <t>2020-08-10</t>
  </si>
  <si>
    <t>2020-08-09</t>
  </si>
  <si>
    <t>2020-08-06</t>
  </si>
  <si>
    <t>2020-08-05</t>
  </si>
  <si>
    <t>2020-08-04</t>
  </si>
  <si>
    <t>2020-08-03</t>
  </si>
  <si>
    <t>2020-07-29</t>
  </si>
  <si>
    <t>2020-07-28</t>
  </si>
  <si>
    <t>2020-07-27</t>
  </si>
  <si>
    <t>2020-07-26</t>
  </si>
  <si>
    <t>2020-07-23</t>
  </si>
  <si>
    <t>2020-07-22</t>
  </si>
  <si>
    <t>2020-07-21</t>
  </si>
  <si>
    <t>2020-07-20</t>
  </si>
  <si>
    <t>2020-07-19</t>
  </si>
  <si>
    <t>2020-07-18</t>
  </si>
  <si>
    <t>2020-07-16</t>
  </si>
  <si>
    <t>2020-07-15</t>
  </si>
  <si>
    <t>2020-07-14</t>
  </si>
  <si>
    <t>2020-07-13</t>
  </si>
  <si>
    <t>2020-07-12</t>
  </si>
  <si>
    <t>2020-07-09</t>
  </si>
  <si>
    <t>2020-07-08</t>
  </si>
  <si>
    <t>2020-07-07</t>
  </si>
  <si>
    <t>2020-07-06</t>
  </si>
  <si>
    <t>2020-07-05</t>
  </si>
  <si>
    <t>2020-07-02</t>
  </si>
  <si>
    <t>2020-07-01</t>
  </si>
  <si>
    <t>2020-06-30</t>
  </si>
  <si>
    <t>2020-06-29</t>
  </si>
  <si>
    <t>2020-06-28</t>
  </si>
  <si>
    <t>2020-06-25</t>
  </si>
  <si>
    <t>2020-06-24</t>
  </si>
  <si>
    <t>2020-06-23</t>
  </si>
  <si>
    <t>2020-06-22</t>
  </si>
  <si>
    <t>2020-06-21</t>
  </si>
  <si>
    <t>2020-06-18</t>
  </si>
  <si>
    <t>2020-06-17</t>
  </si>
  <si>
    <t>2020-06-16</t>
  </si>
  <si>
    <t>2020-06-15</t>
  </si>
  <si>
    <t>2020-06-14</t>
  </si>
  <si>
    <t>2020-06-11</t>
  </si>
  <si>
    <t>2020-06-10</t>
  </si>
  <si>
    <t>2020-06-09</t>
  </si>
  <si>
    <t>2020-06-08</t>
  </si>
  <si>
    <t>2020-06-07</t>
  </si>
  <si>
    <t>2020-06-04</t>
  </si>
  <si>
    <t>2020-06-03</t>
  </si>
  <si>
    <t>2020-06-02</t>
  </si>
  <si>
    <t>2020-06-01</t>
  </si>
  <si>
    <t>2020-05-31</t>
  </si>
  <si>
    <t>2020-05-28</t>
  </si>
  <si>
    <t>2020-05-27</t>
  </si>
  <si>
    <t>2020-05-26</t>
  </si>
  <si>
    <t>2020-05-21</t>
  </si>
  <si>
    <t>2020-05-20</t>
  </si>
  <si>
    <t>2020-05-19</t>
  </si>
  <si>
    <t>2020-05-18</t>
  </si>
  <si>
    <t>2020-05-17</t>
  </si>
  <si>
    <t>2020-05-14</t>
  </si>
  <si>
    <t>2020-05-13</t>
  </si>
  <si>
    <t>2020-05-12</t>
  </si>
  <si>
    <t>2020-05-11</t>
  </si>
  <si>
    <t>2020-05-10</t>
  </si>
  <si>
    <t>2020-05-07</t>
  </si>
  <si>
    <t>2020-05-06</t>
  </si>
  <si>
    <t>2020-05-05</t>
  </si>
  <si>
    <t>2020-05-04</t>
  </si>
  <si>
    <t>2020-05-03</t>
  </si>
  <si>
    <t>2020-04-30</t>
  </si>
  <si>
    <t>2020-04-29</t>
  </si>
  <si>
    <t>2020-04-28</t>
  </si>
  <si>
    <t>2020-04-27</t>
  </si>
  <si>
    <t>2020-04-26</t>
  </si>
  <si>
    <t>2020-04-23</t>
  </si>
  <si>
    <t>2020-04-22</t>
  </si>
  <si>
    <t>2020-04-21</t>
  </si>
  <si>
    <t>2020-04-20</t>
  </si>
  <si>
    <t>2020-04-19</t>
  </si>
  <si>
    <t>2020-04-18</t>
  </si>
  <si>
    <t>2020-04-16</t>
  </si>
  <si>
    <t>2020-04-15</t>
  </si>
  <si>
    <t>2020-04-14</t>
  </si>
  <si>
    <t>2020-04-13</t>
  </si>
  <si>
    <t>2020-04-12</t>
  </si>
  <si>
    <t>2020-04-09</t>
  </si>
  <si>
    <t>2020-04-08</t>
  </si>
  <si>
    <t>2020-04-07</t>
  </si>
  <si>
    <t>2020-04-06</t>
  </si>
  <si>
    <t>2020-04-05</t>
  </si>
  <si>
    <t>2020-04-04</t>
  </si>
  <si>
    <t>2020-04-02</t>
  </si>
  <si>
    <t>2020-04-01</t>
  </si>
  <si>
    <t>2020-03-31</t>
  </si>
  <si>
    <t>2020-03-30</t>
  </si>
  <si>
    <t>2020-03-29</t>
  </si>
  <si>
    <t>2020-03-26</t>
  </si>
  <si>
    <t>2020-03-25</t>
  </si>
  <si>
    <t>2020-03-24</t>
  </si>
  <si>
    <t>2020-03-23</t>
  </si>
  <si>
    <t>2020-03-22</t>
  </si>
  <si>
    <t>2020-03-19</t>
  </si>
  <si>
    <t>2020-03-18</t>
  </si>
  <si>
    <t>2020-03-17</t>
  </si>
  <si>
    <t>2020-03-16</t>
  </si>
  <si>
    <t>2020-03-15</t>
  </si>
  <si>
    <t>2020-03-14</t>
  </si>
  <si>
    <t>2020-03-12</t>
  </si>
  <si>
    <t>2020-03-11</t>
  </si>
  <si>
    <t>2020-03-10</t>
  </si>
  <si>
    <t>2020-03-09</t>
  </si>
  <si>
    <t>2020-03-08</t>
  </si>
  <si>
    <t>2020-03-05</t>
  </si>
  <si>
    <t>2020-03-04</t>
  </si>
  <si>
    <t>2020-03-03</t>
  </si>
  <si>
    <t>2020-03-02</t>
  </si>
  <si>
    <t>2020-03-01</t>
  </si>
  <si>
    <t>2020-02-27</t>
  </si>
  <si>
    <t>2020-02-26</t>
  </si>
  <si>
    <t>2020-02-25</t>
  </si>
  <si>
    <t>2020-02-24</t>
  </si>
  <si>
    <t>2020-02-23</t>
  </si>
  <si>
    <t>2020-02-22</t>
  </si>
  <si>
    <t>2020-02-20</t>
  </si>
  <si>
    <t>2020-02-19</t>
  </si>
  <si>
    <t>2020-02-18</t>
  </si>
  <si>
    <t>2020-02-17</t>
  </si>
  <si>
    <t>2020-02-16</t>
  </si>
  <si>
    <t>2020-02-15</t>
  </si>
  <si>
    <t>2020-02-13</t>
  </si>
  <si>
    <t>2020-02-12</t>
  </si>
  <si>
    <t>2020-02-11</t>
  </si>
  <si>
    <t>2020-02-10</t>
  </si>
  <si>
    <t>2020-02-09</t>
  </si>
  <si>
    <t>2020-02-08</t>
  </si>
  <si>
    <t>2020-02-06</t>
  </si>
  <si>
    <t>2020-02-05</t>
  </si>
  <si>
    <t>2020-02-04</t>
  </si>
  <si>
    <t>2020-02-03</t>
  </si>
  <si>
    <t>2020-02-02</t>
  </si>
  <si>
    <t>2020-02-01</t>
  </si>
  <si>
    <t>2020-01-30</t>
  </si>
  <si>
    <t>2020-01-29</t>
  </si>
  <si>
    <t>2020-01-28</t>
  </si>
  <si>
    <t>2020-01-27</t>
  </si>
  <si>
    <t>2020-01-26</t>
  </si>
  <si>
    <t>2020-01-23</t>
  </si>
  <si>
    <t>2020-01-22</t>
  </si>
  <si>
    <t>2020-01-21</t>
  </si>
  <si>
    <t>2020-01-20</t>
  </si>
  <si>
    <t>2020-01-19</t>
  </si>
  <si>
    <t>2020-01-16</t>
  </si>
  <si>
    <t>2020-01-15</t>
  </si>
  <si>
    <t>2020-01-14</t>
  </si>
  <si>
    <t>2020-01-13</t>
  </si>
  <si>
    <t>2020-01-12</t>
  </si>
  <si>
    <t>2020-01-11</t>
  </si>
  <si>
    <t>2020-01-09</t>
  </si>
  <si>
    <t>2020-01-08</t>
  </si>
  <si>
    <t>2020-01-07</t>
  </si>
  <si>
    <t>2020-01-06</t>
  </si>
  <si>
    <t>2020-01-05</t>
  </si>
  <si>
    <t>2020-01-04</t>
  </si>
  <si>
    <t>2020-01-02</t>
  </si>
  <si>
    <t>2019-12-31</t>
  </si>
  <si>
    <t>2019-12-30</t>
  </si>
  <si>
    <t>2019-12-29</t>
  </si>
  <si>
    <t>2019-12-28</t>
  </si>
  <si>
    <t>2019-12-26</t>
  </si>
  <si>
    <t>2019-12-25</t>
  </si>
  <si>
    <t>2019-12-24</t>
  </si>
  <si>
    <t>2019-12-23</t>
  </si>
  <si>
    <t>2019-12-22</t>
  </si>
  <si>
    <t>2019-12-19</t>
  </si>
  <si>
    <t>2019-12-18</t>
  </si>
  <si>
    <t>2019-12-17</t>
  </si>
  <si>
    <t>2019-12-16</t>
  </si>
  <si>
    <t>2019-12-15</t>
  </si>
  <si>
    <t>2019-12-14</t>
  </si>
  <si>
    <t>2019-12-12</t>
  </si>
  <si>
    <t>2019-12-11</t>
  </si>
  <si>
    <t>2019-12-10</t>
  </si>
  <si>
    <t>2019-12-09</t>
  </si>
  <si>
    <t>2019-12-08</t>
  </si>
  <si>
    <t>2019-12-05</t>
  </si>
  <si>
    <t>2019-12-04</t>
  </si>
  <si>
    <t>2019-11-30</t>
  </si>
  <si>
    <t>2019-11-28</t>
  </si>
  <si>
    <t>2019-11-27</t>
  </si>
  <si>
    <t>2019-11-26</t>
  </si>
  <si>
    <t>2019-11-25</t>
  </si>
  <si>
    <t>2019-11-24</t>
  </si>
  <si>
    <t>2019-11-23</t>
  </si>
  <si>
    <t>2019-11-21</t>
  </si>
  <si>
    <t>2019-11-20</t>
  </si>
  <si>
    <t>2019-11-19</t>
  </si>
  <si>
    <t>2019-11-18</t>
  </si>
  <si>
    <t>2019-11-17</t>
  </si>
  <si>
    <t>2019-11-16</t>
  </si>
  <si>
    <t>2019-11-14</t>
  </si>
  <si>
    <t>2019-11-13</t>
  </si>
  <si>
    <t>2019-11-12</t>
  </si>
  <si>
    <t>2019-11-11</t>
  </si>
  <si>
    <t>2019-11-10</t>
  </si>
  <si>
    <t>2019-11-07</t>
  </si>
  <si>
    <t>2019-11-06</t>
  </si>
  <si>
    <t>2019-11-05</t>
  </si>
  <si>
    <t>2019-11-04</t>
  </si>
  <si>
    <t>2019-11-03</t>
  </si>
  <si>
    <t>2019-10-31</t>
  </si>
  <si>
    <t>2019-10-30</t>
  </si>
  <si>
    <t>2019-10-29</t>
  </si>
  <si>
    <t>2019-10-28</t>
  </si>
  <si>
    <t>2019-10-27</t>
  </si>
  <si>
    <t>2019-10-24</t>
  </si>
  <si>
    <t>2019-10-23</t>
  </si>
  <si>
    <t>2019-10-22</t>
  </si>
  <si>
    <t>2019-10-21</t>
  </si>
  <si>
    <t>2019-10-20</t>
  </si>
  <si>
    <t>2019-10-17</t>
  </si>
  <si>
    <t>2019-10-16</t>
  </si>
  <si>
    <t>2019-10-15</t>
  </si>
  <si>
    <t>2019-10-14</t>
  </si>
  <si>
    <t>2019-10-13</t>
  </si>
  <si>
    <t>2019-10-10</t>
  </si>
  <si>
    <t>2019-10-09</t>
  </si>
  <si>
    <t>2019-10-08</t>
  </si>
  <si>
    <t>2019-10-07</t>
  </si>
  <si>
    <t>2019-10-06</t>
  </si>
  <si>
    <t>2019-10-03</t>
  </si>
  <si>
    <t>2019-10-02</t>
  </si>
  <si>
    <t>2019-10-01</t>
  </si>
  <si>
    <t>2019-09-30</t>
  </si>
  <si>
    <t>2019-09-29</t>
  </si>
  <si>
    <t>2019-09-26</t>
  </si>
  <si>
    <t>2019-09-25</t>
  </si>
  <si>
    <t>2019-09-24</t>
  </si>
  <si>
    <t>2019-09-23</t>
  </si>
  <si>
    <t>2019-09-22</t>
  </si>
  <si>
    <t>2019-09-21</t>
  </si>
  <si>
    <t>2019-09-19</t>
  </si>
  <si>
    <t>2019-09-18</t>
  </si>
  <si>
    <t>2019-09-17</t>
  </si>
  <si>
    <t>2019-09-16</t>
  </si>
  <si>
    <t>2019-09-15</t>
  </si>
  <si>
    <t>2019-09-12</t>
  </si>
  <si>
    <t>2019-09-11</t>
  </si>
  <si>
    <t>2019-09-09</t>
  </si>
  <si>
    <t>2019-09-08</t>
  </si>
  <si>
    <t>2019-09-05</t>
  </si>
  <si>
    <t>2019-09-04</t>
  </si>
  <si>
    <t>2019-09-03</t>
  </si>
  <si>
    <t>2019-09-02</t>
  </si>
  <si>
    <t>2019-09-01</t>
  </si>
  <si>
    <t>2019-08-29</t>
  </si>
  <si>
    <t>2019-08-28</t>
  </si>
  <si>
    <t>2019-08-27</t>
  </si>
  <si>
    <t>2019-08-26</t>
  </si>
  <si>
    <t>2019-08-25</t>
  </si>
  <si>
    <t>2019-08-24</t>
  </si>
  <si>
    <t>2019-08-22</t>
  </si>
  <si>
    <t>2019-08-21</t>
  </si>
  <si>
    <t>2019-08-20</t>
  </si>
  <si>
    <t>2019-08-19</t>
  </si>
  <si>
    <t>2019-08-18</t>
  </si>
  <si>
    <t>2019-08-15</t>
  </si>
  <si>
    <t>2019-08-14</t>
  </si>
  <si>
    <t>2019-08-08</t>
  </si>
  <si>
    <t>2019-08-07</t>
  </si>
  <si>
    <t>2019-08-06</t>
  </si>
  <si>
    <t>2019-08-05</t>
  </si>
  <si>
    <t>2019-08-04</t>
  </si>
  <si>
    <t>2019-08-03</t>
  </si>
  <si>
    <t>2019-08-01</t>
  </si>
  <si>
    <t>2019-07-31</t>
  </si>
  <si>
    <t>2019-07-30</t>
  </si>
  <si>
    <t>2019-07-29</t>
  </si>
  <si>
    <t>2019-07-28</t>
  </si>
  <si>
    <t>2019-07-25</t>
  </si>
  <si>
    <t>2019-07-24</t>
  </si>
  <si>
    <t>2019-07-23</t>
  </si>
  <si>
    <t>2019-07-22</t>
  </si>
  <si>
    <t>2019-07-21</t>
  </si>
  <si>
    <t>2019-07-18</t>
  </si>
  <si>
    <t>2019-07-17</t>
  </si>
  <si>
    <t>2019-07-16</t>
  </si>
  <si>
    <t>2019-07-15</t>
  </si>
  <si>
    <t>2019-07-14</t>
  </si>
  <si>
    <t>2019-07-13</t>
  </si>
  <si>
    <t>2019-07-11</t>
  </si>
  <si>
    <t>2019-07-10</t>
  </si>
  <si>
    <t>2019-07-09</t>
  </si>
  <si>
    <t>2019-07-08</t>
  </si>
  <si>
    <t>2019-07-07</t>
  </si>
  <si>
    <t>2019-07-06</t>
  </si>
  <si>
    <t>2019-07-04</t>
  </si>
  <si>
    <t>2019-07-03</t>
  </si>
  <si>
    <t>2019-07-02</t>
  </si>
  <si>
    <t>2019-07-01</t>
  </si>
  <si>
    <t>2019-06-30</t>
  </si>
  <si>
    <t>2019-06-27</t>
  </si>
  <si>
    <t>2019-06-26</t>
  </si>
  <si>
    <t>2019-06-25</t>
  </si>
  <si>
    <t>2019-06-24</t>
  </si>
  <si>
    <t>2019-06-23</t>
  </si>
  <si>
    <t>2019-06-22</t>
  </si>
  <si>
    <t>2019-06-20</t>
  </si>
  <si>
    <t>2019-06-19</t>
  </si>
  <si>
    <t>2019-06-18</t>
  </si>
  <si>
    <t>2019-06-17</t>
  </si>
  <si>
    <t>2019-06-16</t>
  </si>
  <si>
    <t>2019-06-15</t>
  </si>
  <si>
    <t>2019-06-13</t>
  </si>
  <si>
    <t>2019-06-12</t>
  </si>
  <si>
    <t>2019-06-11</t>
  </si>
  <si>
    <t>2019-06-10</t>
  </si>
  <si>
    <t>2019-06-02</t>
  </si>
  <si>
    <t>2019-06-01</t>
  </si>
  <si>
    <t>2019-05-28</t>
  </si>
  <si>
    <t>2019-05-26</t>
  </si>
  <si>
    <t>2019-05-22</t>
  </si>
  <si>
    <t>2019-05-21</t>
  </si>
  <si>
    <t>2019-05-19</t>
  </si>
  <si>
    <t>2019-05-16</t>
  </si>
  <si>
    <t>2019-05-13</t>
  </si>
  <si>
    <t>2019-05-12</t>
  </si>
  <si>
    <t>2019-05-11</t>
  </si>
  <si>
    <t>2019-05-09</t>
  </si>
  <si>
    <t>2019-05-08</t>
  </si>
  <si>
    <t>2019-05-07</t>
  </si>
  <si>
    <t>2019-05-05</t>
  </si>
  <si>
    <t>2019-05-04</t>
  </si>
  <si>
    <t>2019-05-02</t>
  </si>
  <si>
    <t>2019-05-01</t>
  </si>
  <si>
    <t>2019-04-29</t>
  </si>
  <si>
    <t>2019-04-28</t>
  </si>
  <si>
    <t>2019-04-27</t>
  </si>
  <si>
    <t>2019-04-25</t>
  </si>
  <si>
    <t>2019-04-24</t>
  </si>
  <si>
    <t>2019-04-22</t>
  </si>
  <si>
    <t>2019-04-18</t>
  </si>
  <si>
    <t>2019-04-17</t>
  </si>
  <si>
    <t>2019-04-16</t>
  </si>
  <si>
    <t>2019-04-15</t>
  </si>
  <si>
    <t>2019-04-14</t>
  </si>
  <si>
    <t>2019-04-07</t>
  </si>
  <si>
    <t>2019-04-02</t>
  </si>
  <si>
    <t>2019-03-31</t>
  </si>
  <si>
    <t>2019-03-28</t>
  </si>
  <si>
    <t>2019-03-27</t>
  </si>
  <si>
    <t>2019-03-26</t>
  </si>
  <si>
    <t>2019-03-25</t>
  </si>
  <si>
    <t>2019-03-24</t>
  </si>
  <si>
    <t>2019-03-21</t>
  </si>
  <si>
    <t>2019-03-20</t>
  </si>
  <si>
    <t>2019-03-19</t>
  </si>
  <si>
    <t>2019-03-18</t>
  </si>
  <si>
    <t>2019-03-17</t>
  </si>
  <si>
    <t>2019-03-16</t>
  </si>
  <si>
    <t>2019-03-14</t>
  </si>
  <si>
    <t>2019-03-13</t>
  </si>
  <si>
    <t>2019-03-12</t>
  </si>
  <si>
    <t>2019-03-11</t>
  </si>
  <si>
    <t>2019-03-10</t>
  </si>
  <si>
    <t>2019-03-09</t>
  </si>
  <si>
    <t>2019-03-07</t>
  </si>
  <si>
    <t>2019-03-06</t>
  </si>
  <si>
    <t>2019-03-05</t>
  </si>
  <si>
    <t>2019-03-04</t>
  </si>
  <si>
    <t>2019-03-03</t>
  </si>
  <si>
    <t>2019-02-28</t>
  </si>
  <si>
    <t>2019-02-27</t>
  </si>
  <si>
    <t>2019-02-26</t>
  </si>
  <si>
    <t>2019-02-25</t>
  </si>
  <si>
    <t>2019-02-24</t>
  </si>
  <si>
    <t>2019-02-23</t>
  </si>
  <si>
    <t>2019-02-21</t>
  </si>
  <si>
    <t>2019-02-20</t>
  </si>
  <si>
    <t>2019-02-19</t>
  </si>
  <si>
    <t>2019-02-18</t>
  </si>
  <si>
    <t>2019-02-17</t>
  </si>
  <si>
    <t>2019-02-16</t>
  </si>
  <si>
    <t>2019-02-14</t>
  </si>
  <si>
    <t>2019-02-13</t>
  </si>
  <si>
    <t>2019-02-12</t>
  </si>
  <si>
    <t>2019-02-11</t>
  </si>
  <si>
    <t>2019-02-10</t>
  </si>
  <si>
    <t>2019-02-07</t>
  </si>
  <si>
    <t>2019-02-06</t>
  </si>
  <si>
    <t>2019-02-05</t>
  </si>
  <si>
    <t>2019-02-04</t>
  </si>
  <si>
    <t>2019-02-03</t>
  </si>
  <si>
    <t>2019-02-02</t>
  </si>
  <si>
    <t>2019-01-31</t>
  </si>
  <si>
    <t>2019-01-30</t>
  </si>
  <si>
    <t>2019-01-29</t>
  </si>
  <si>
    <t>2019-01-28</t>
  </si>
  <si>
    <t>2019-01-27</t>
  </si>
  <si>
    <t>2019-01-24</t>
  </si>
  <si>
    <t>2019-01-23</t>
  </si>
  <si>
    <t>2019-01-22</t>
  </si>
  <si>
    <t>2019-01-21</t>
  </si>
  <si>
    <t>2019-01-20</t>
  </si>
  <si>
    <t>2019-01-19</t>
  </si>
  <si>
    <t>2019-01-17</t>
  </si>
  <si>
    <t>2019-01-16</t>
  </si>
  <si>
    <t>2019-01-15</t>
  </si>
  <si>
    <t>2019-01-14</t>
  </si>
  <si>
    <t>2019-01-13</t>
  </si>
  <si>
    <t>2019-01-10</t>
  </si>
  <si>
    <t>2019-01-09</t>
  </si>
  <si>
    <t>2019-01-08</t>
  </si>
  <si>
    <t>2019-01-07</t>
  </si>
  <si>
    <t>2019-01-06</t>
  </si>
  <si>
    <t>2019-01-05</t>
  </si>
  <si>
    <t>2019-01-03</t>
  </si>
  <si>
    <t>2019-01-02</t>
  </si>
  <si>
    <t>2021-01-14</t>
  </si>
  <si>
    <t>2021-01-08</t>
  </si>
  <si>
    <t>2021-01-01</t>
  </si>
  <si>
    <t>2020-12-25</t>
  </si>
  <si>
    <t>2020-12-18</t>
  </si>
  <si>
    <t>2020-12-11</t>
  </si>
  <si>
    <t>2020-12-01</t>
  </si>
  <si>
    <t>2020-11-27</t>
  </si>
  <si>
    <t>2020-11-20</t>
  </si>
  <si>
    <t>2020-11-13</t>
  </si>
  <si>
    <t>2020-11-06</t>
  </si>
  <si>
    <t>2020-10-29</t>
  </si>
  <si>
    <t>2020-10-23</t>
  </si>
  <si>
    <t>2020-10-16</t>
  </si>
  <si>
    <t>2020-10-09</t>
  </si>
  <si>
    <t>2020-10-01</t>
  </si>
  <si>
    <t>2020-09-25</t>
  </si>
  <si>
    <t>2020-09-18</t>
  </si>
  <si>
    <t>2020-09-11</t>
  </si>
  <si>
    <t>2020-09-04</t>
  </si>
  <si>
    <t>2020-08-30</t>
  </si>
  <si>
    <t>2020-08-28</t>
  </si>
  <si>
    <t>2020-08-23</t>
  </si>
  <si>
    <t>2020-08-21</t>
  </si>
  <si>
    <t>2020-08-14</t>
  </si>
  <si>
    <t>2020-08-07</t>
  </si>
  <si>
    <t>2020-07-30</t>
  </si>
  <si>
    <t>2020-07-24</t>
  </si>
  <si>
    <t>2020-07-17</t>
  </si>
  <si>
    <t>2020-07-10</t>
  </si>
  <si>
    <t>2020-07-03</t>
  </si>
  <si>
    <t>2020-06-26</t>
  </si>
  <si>
    <t>2020-06-19</t>
  </si>
  <si>
    <t>2020-06-12</t>
  </si>
  <si>
    <t>2020-06-05</t>
  </si>
  <si>
    <t>2020-05-29</t>
  </si>
  <si>
    <t>2020-05-22</t>
  </si>
  <si>
    <t>2020-05-15</t>
  </si>
  <si>
    <t>2020-05-08</t>
  </si>
  <si>
    <t>2020-05-01</t>
  </si>
  <si>
    <t>2020-04-24</t>
  </si>
  <si>
    <t>2020-04-17</t>
  </si>
  <si>
    <t>2020-04-10</t>
  </si>
  <si>
    <t>2020-04-03</t>
  </si>
  <si>
    <t>2020-03-27</t>
  </si>
  <si>
    <t>2020-03-20</t>
  </si>
  <si>
    <t>2020-03-13</t>
  </si>
  <si>
    <t>2020-03-06</t>
  </si>
  <si>
    <t>2020-02-28</t>
  </si>
  <si>
    <t>2020-02-21</t>
  </si>
  <si>
    <t>2020-02-14</t>
  </si>
  <si>
    <t>2020-02-07</t>
  </si>
  <si>
    <t>2020-01-31</t>
  </si>
  <si>
    <t>2020-01-24</t>
  </si>
  <si>
    <t>2020-01-17</t>
  </si>
  <si>
    <t>2020-01-10</t>
  </si>
  <si>
    <t>2020-01-03</t>
  </si>
  <si>
    <t>2020-01-01</t>
  </si>
  <si>
    <t>2019-12-27</t>
  </si>
  <si>
    <t>2019-12-20</t>
  </si>
  <si>
    <t>2019-12-13</t>
  </si>
  <si>
    <t>2019-12-06</t>
  </si>
  <si>
    <t>2019-12-01</t>
  </si>
  <si>
    <t>2019-11-29</t>
  </si>
  <si>
    <t>2019-11-22</t>
  </si>
  <si>
    <t>2019-11-15</t>
  </si>
  <si>
    <t>2019-11-08</t>
  </si>
  <si>
    <t>2019-10-18</t>
  </si>
  <si>
    <t>2019-10-11</t>
  </si>
  <si>
    <t>2019-10-04</t>
  </si>
  <si>
    <t>2019-09-20</t>
  </si>
  <si>
    <t>2019-09-13</t>
  </si>
  <si>
    <t>2019-09-10</t>
  </si>
  <si>
    <t>2019-09-06</t>
  </si>
  <si>
    <t>2019-08-30</t>
  </si>
  <si>
    <t>2019-08-23</t>
  </si>
  <si>
    <t>2019-08-16</t>
  </si>
  <si>
    <t>2019-08-09</t>
  </si>
  <si>
    <t>2019-08-02</t>
  </si>
  <si>
    <t>2019-07-26</t>
  </si>
  <si>
    <t>2019-07-19</t>
  </si>
  <si>
    <t>2019-07-12</t>
  </si>
  <si>
    <t>2019-07-05</t>
  </si>
  <si>
    <t>2019-06-28</t>
  </si>
  <si>
    <t>2019-06-21</t>
  </si>
  <si>
    <t>2019-06-14</t>
  </si>
  <si>
    <t>2019-06-03</t>
  </si>
  <si>
    <t>2019-05-29</t>
  </si>
  <si>
    <t>2019-05-27</t>
  </si>
  <si>
    <t>2019-05-10</t>
  </si>
  <si>
    <t>2019-05-06</t>
  </si>
  <si>
    <t>2019-05-03</t>
  </si>
  <si>
    <t>2019-04-30</t>
  </si>
  <si>
    <t>2019-04-26</t>
  </si>
  <si>
    <t>2019-04-23</t>
  </si>
  <si>
    <t>2019-04-19</t>
  </si>
  <si>
    <t>2019-04-08</t>
  </si>
  <si>
    <t>2019-03-29</t>
  </si>
  <si>
    <t>2019-03-22</t>
  </si>
  <si>
    <t>2019-03-15</t>
  </si>
  <si>
    <t>2019-03-08</t>
  </si>
  <si>
    <t>2019-03-01</t>
  </si>
  <si>
    <t>2019-02-22</t>
  </si>
  <si>
    <t>2019-02-08</t>
  </si>
  <si>
    <t>2019-01-18</t>
  </si>
  <si>
    <t>2019-01-11</t>
  </si>
  <si>
    <t>2019-01-04</t>
  </si>
  <si>
    <t>\\cclserver\DATA\</t>
  </si>
  <si>
    <t>Yas Mall Wall Strengthening</t>
  </si>
  <si>
    <t>JVC Khamas Building</t>
  </si>
  <si>
    <t>Sharjah Villa 49</t>
  </si>
  <si>
    <t>Jumeirah Villa APG</t>
  </si>
  <si>
    <t>Pullman ArchGroup</t>
  </si>
  <si>
    <t>Opal ENI AUH</t>
  </si>
  <si>
    <t>Binshama Barsha APG</t>
  </si>
  <si>
    <t>Wild Wadi Buggy Ramp AFO</t>
  </si>
  <si>
    <t>Opera Bldg Target</t>
  </si>
  <si>
    <t>Arjaan Dutco</t>
  </si>
  <si>
    <t>Hamriya Building</t>
  </si>
  <si>
    <t>PIC Rigga Wasl Bldg</t>
  </si>
  <si>
    <t>Central Bank APG</t>
  </si>
  <si>
    <t>QTC Slab on Grade Kizad</t>
  </si>
  <si>
    <t>Studio10_Dubai Mall</t>
  </si>
  <si>
    <t>Tiger JLT</t>
  </si>
  <si>
    <t>Opus Tower</t>
  </si>
  <si>
    <t>Corporate Tower</t>
  </si>
  <si>
    <t>PKR</t>
  </si>
  <si>
    <t>Yearly</t>
  </si>
  <si>
    <t>1 crore people</t>
  </si>
  <si>
    <t>USD</t>
  </si>
  <si>
    <t>Profile Tower</t>
  </si>
  <si>
    <t>Marsa Hotel ASGC</t>
  </si>
  <si>
    <t>Warsan STP Kharafi</t>
  </si>
  <si>
    <t>Mirdif Villa DMA</t>
  </si>
  <si>
    <t>Najmat Tower CRC AUH</t>
  </si>
  <si>
    <t>EDGE Villa</t>
  </si>
  <si>
    <t>Qtn sent for AED 24,000</t>
  </si>
  <si>
    <t>Ramboll Villa</t>
  </si>
  <si>
    <t>Elite Downtown</t>
  </si>
  <si>
    <t>Mediclinic</t>
  </si>
  <si>
    <t>Ajman City Center</t>
  </si>
  <si>
    <t>W50 Villa Gulf Engg</t>
  </si>
  <si>
    <t>AbuHail Villa</t>
  </si>
  <si>
    <t>Zabeel Aceptech</t>
  </si>
  <si>
    <t>Future Museum ATS</t>
  </si>
  <si>
    <t>Sr. #</t>
  </si>
  <si>
    <t>Project Name</t>
  </si>
  <si>
    <t>Contractor</t>
  </si>
  <si>
    <t>Contact</t>
  </si>
  <si>
    <t>Status</t>
  </si>
  <si>
    <t>Pullman Hotel</t>
  </si>
  <si>
    <t>ArchGroup</t>
  </si>
  <si>
    <t>Engr. Hussain</t>
  </si>
  <si>
    <t>Client call</t>
  </si>
  <si>
    <t>Shaporji</t>
  </si>
  <si>
    <t>Engr. Shyju</t>
  </si>
  <si>
    <t>Consultant meeting</t>
  </si>
  <si>
    <t>Museum of Future</t>
  </si>
  <si>
    <t>ATS</t>
  </si>
  <si>
    <t>Engr. Minhaj</t>
  </si>
  <si>
    <t>MOE Grouting</t>
  </si>
  <si>
    <t>Khansaheb</t>
  </si>
  <si>
    <t>W35 Villa</t>
  </si>
  <si>
    <t>Gulf Engineering</t>
  </si>
  <si>
    <t>Engr. Ahad / Rasha</t>
  </si>
  <si>
    <t>Abuhail Villa</t>
  </si>
  <si>
    <t>Client Direct</t>
  </si>
  <si>
    <t>Engr. Mamdouh</t>
  </si>
  <si>
    <t>Engr. Mithun</t>
  </si>
  <si>
    <t>Other subcontractor at 60% of CCL price</t>
  </si>
  <si>
    <t>Elite-1 &amp; 8</t>
  </si>
  <si>
    <t>Folder</t>
  </si>
  <si>
    <t>Now (GB)</t>
  </si>
  <si>
    <t>$Archive (Bvckup 2)</t>
  </si>
  <si>
    <t>Remarks</t>
  </si>
  <si>
    <t>2015 - CCL Str. Tenders</t>
  </si>
  <si>
    <t>2016 - CCL Str. Tenders</t>
  </si>
  <si>
    <t>2017 - CCL Str. Tenders</t>
  </si>
  <si>
    <t>2018 - CCL Str. Tenders</t>
  </si>
  <si>
    <t>2019 - CCL Str. Tenders</t>
  </si>
  <si>
    <t>2020 - CCL Str. Tenders</t>
  </si>
  <si>
    <t>2021 - CCL Str. Tenders</t>
  </si>
  <si>
    <t>Saved</t>
  </si>
  <si>
    <t>STP 12GB copied locally</t>
  </si>
  <si>
    <t>Server Space Usage - CCL Strengthening</t>
  </si>
  <si>
    <t xml:space="preserve">Updated On: </t>
  </si>
  <si>
    <t>2021 - 09 - 23</t>
  </si>
  <si>
    <t>No response</t>
  </si>
  <si>
    <t>No chances</t>
  </si>
  <si>
    <t>Earlier (GB)</t>
  </si>
  <si>
    <t>Villa AUH</t>
  </si>
  <si>
    <t>Tiara</t>
  </si>
  <si>
    <t>ECCE</t>
  </si>
  <si>
    <t>Zabeel</t>
  </si>
  <si>
    <t>Aceptech</t>
  </si>
  <si>
    <t>MEP Openings</t>
  </si>
  <si>
    <t>Global</t>
  </si>
  <si>
    <t>Need CCL reply</t>
  </si>
  <si>
    <t>Elite-8</t>
  </si>
  <si>
    <t>City of Lights</t>
  </si>
  <si>
    <t>Palace Nad Al Sheba</t>
  </si>
  <si>
    <t>Rajhi Residential KSA</t>
  </si>
  <si>
    <t>D60 Villa</t>
  </si>
  <si>
    <t>H-Residence</t>
  </si>
  <si>
    <t>2021 - 11 - 23</t>
  </si>
  <si>
    <t>Ubora Tower</t>
  </si>
  <si>
    <t>Vertmont Tower JVC</t>
  </si>
  <si>
    <t>My List</t>
  </si>
  <si>
    <t>Skill</t>
  </si>
  <si>
    <t>Can I ?</t>
  </si>
  <si>
    <t>Whistle</t>
  </si>
  <si>
    <t>No</t>
  </si>
  <si>
    <t>Burger making</t>
  </si>
  <si>
    <t>Rubik's cube</t>
  </si>
  <si>
    <t>HTML</t>
  </si>
  <si>
    <t>Yes</t>
  </si>
  <si>
    <t>Tyre change</t>
  </si>
  <si>
    <t>First Aid</t>
  </si>
  <si>
    <t>Omellete</t>
  </si>
  <si>
    <t>Fire extinguisher</t>
  </si>
  <si>
    <t>Tie knot</t>
  </si>
  <si>
    <t>Folding clothes</t>
  </si>
  <si>
    <t>Drawing</t>
  </si>
  <si>
    <t>Juggling</t>
  </si>
  <si>
    <t>NATO alphabets</t>
  </si>
  <si>
    <t>Egg breaking</t>
  </si>
  <si>
    <t>Tea</t>
  </si>
  <si>
    <t>YouTube Channel</t>
  </si>
  <si>
    <t>Chopsticks</t>
  </si>
  <si>
    <t>Start fire</t>
  </si>
  <si>
    <t>Break lock</t>
  </si>
  <si>
    <t>Change lock</t>
  </si>
  <si>
    <t>Change electric board</t>
  </si>
  <si>
    <t>Punch</t>
  </si>
  <si>
    <t>Sewing machine</t>
  </si>
  <si>
    <t>Wall painting</t>
  </si>
  <si>
    <t>Carpet Installation</t>
  </si>
  <si>
    <t>Video editing phone</t>
  </si>
  <si>
    <t>Graphic editing phone</t>
  </si>
  <si>
    <t>Copywriting</t>
  </si>
  <si>
    <t>Title generation</t>
  </si>
  <si>
    <t>Wordpress management</t>
  </si>
  <si>
    <t>Social media mgmnt</t>
  </si>
  <si>
    <t>Gardening</t>
  </si>
  <si>
    <t>LL RT</t>
  </si>
  <si>
    <t>Yes :)</t>
  </si>
  <si>
    <t>MS</t>
  </si>
  <si>
    <t>Report</t>
  </si>
  <si>
    <t>316.22.RPT-001</t>
  </si>
  <si>
    <t>Addax</t>
  </si>
  <si>
    <t>316.22.RPT-002</t>
  </si>
  <si>
    <t>Dune Building</t>
  </si>
  <si>
    <t>Sheikh Saqer Bldg Ajman</t>
  </si>
  <si>
    <t>ASGC Pkg 4</t>
  </si>
  <si>
    <t>316.22.REP-01</t>
  </si>
  <si>
    <t>Dubai Wharf North25</t>
  </si>
  <si>
    <t>ONE Palm Mercury</t>
  </si>
  <si>
    <t>Abidos Hotel ASGC</t>
  </si>
  <si>
    <t>Skill to learn</t>
  </si>
  <si>
    <t>Must Skills</t>
  </si>
  <si>
    <t>Communications</t>
  </si>
  <si>
    <t>Confidence</t>
  </si>
  <si>
    <t>Listening</t>
  </si>
  <si>
    <t>Live in present</t>
  </si>
  <si>
    <t>Learn to move-on</t>
  </si>
  <si>
    <t>Consistency</t>
  </si>
  <si>
    <t>Be decisive</t>
  </si>
  <si>
    <t>Revise decisions if wrong</t>
  </si>
  <si>
    <t>Discipline</t>
  </si>
  <si>
    <t>Skill to break into chunks</t>
  </si>
  <si>
    <t xml:space="preserve">Me ? </t>
  </si>
  <si>
    <t>Ability to convince</t>
  </si>
  <si>
    <t>Team worker</t>
  </si>
  <si>
    <t>316.22.RPT-003</t>
  </si>
  <si>
    <t>316.22.RPT-004</t>
  </si>
  <si>
    <t>316.22.REP-02</t>
  </si>
  <si>
    <t>H-residence</t>
  </si>
  <si>
    <t>Bay Square ASGC</t>
  </si>
  <si>
    <t>Link Bridge DIFC Ali Sons</t>
  </si>
  <si>
    <t>316.22.REP-03</t>
  </si>
  <si>
    <t>ASGC Pkg 5</t>
  </si>
  <si>
    <t>DIC Becosan Flooring</t>
  </si>
  <si>
    <t>316.22.REP-04</t>
  </si>
  <si>
    <t>Marriot</t>
  </si>
  <si>
    <t>Mama</t>
  </si>
  <si>
    <t>316.22.REP-05</t>
  </si>
  <si>
    <t>Canal Front Safa</t>
  </si>
  <si>
    <t>Oasis 2 Sports City</t>
  </si>
  <si>
    <t>Oasis-2</t>
  </si>
  <si>
    <t>316.22.REP-06</t>
  </si>
  <si>
    <t>ASGC</t>
  </si>
  <si>
    <t>316.22.REP-07</t>
  </si>
  <si>
    <t>West-5 Building</t>
  </si>
  <si>
    <t>Mosque Ghayathi</t>
  </si>
  <si>
    <t>Safa-B</t>
  </si>
  <si>
    <t>Bobyan Tower JLT CRC</t>
  </si>
  <si>
    <t>Winner - AUH Tower</t>
  </si>
  <si>
    <t>HH Shk Mohd Villa</t>
  </si>
  <si>
    <t>IMS_Wasl</t>
  </si>
  <si>
    <t>316.22.REP-08</t>
  </si>
  <si>
    <t>Villa W35</t>
  </si>
  <si>
    <t>316.22.REP-09</t>
  </si>
  <si>
    <t>Dutco</t>
  </si>
  <si>
    <t>316.22.REP-10</t>
  </si>
  <si>
    <t>Private villa</t>
  </si>
  <si>
    <t>Park Avenue 3 Azizi</t>
  </si>
  <si>
    <t>ALEC</t>
  </si>
  <si>
    <t>Al-Habtoor</t>
  </si>
  <si>
    <t>Al-Sahel Contracting</t>
  </si>
  <si>
    <t>Khamas Group</t>
  </si>
  <si>
    <t>AIC Group</t>
  </si>
  <si>
    <t>Al-Abbar Group</t>
  </si>
  <si>
    <t>ACC</t>
  </si>
  <si>
    <t>Archirodon Construction</t>
  </si>
  <si>
    <t>China State Construction Engineering Corporation</t>
  </si>
  <si>
    <t>Wade Adams</t>
  </si>
  <si>
    <t>Saleh construction</t>
  </si>
  <si>
    <t>AECOM</t>
  </si>
  <si>
    <t>Parsons</t>
  </si>
  <si>
    <t>Siemens</t>
  </si>
  <si>
    <t>Jacobs</t>
  </si>
  <si>
    <t>China Railway</t>
  </si>
  <si>
    <t>Al Dar University</t>
  </si>
  <si>
    <t>Sunset Mall MRI</t>
  </si>
  <si>
    <t>316.22.REP-11</t>
  </si>
  <si>
    <t>Egypt Embassy AUH</t>
  </si>
  <si>
    <t>Hai Building</t>
  </si>
  <si>
    <t>Al-Tawon Sharjah</t>
  </si>
  <si>
    <t>316.22.REP-12</t>
  </si>
  <si>
    <t>Sunset</t>
  </si>
  <si>
    <t>316.22.REP-13</t>
  </si>
  <si>
    <t>Mosque Al-quoz</t>
  </si>
  <si>
    <t>316.22.REP-14</t>
  </si>
  <si>
    <t>Wasl</t>
  </si>
  <si>
    <t>Nad El Shebaa Mall</t>
  </si>
  <si>
    <t>Nakheel Mall Al-Khail</t>
  </si>
  <si>
    <t>Dubai Creek Dutco</t>
  </si>
  <si>
    <t>National History Museum</t>
  </si>
  <si>
    <t>NOBU Atlantis Restaurant</t>
  </si>
  <si>
    <t>Month</t>
  </si>
  <si>
    <t>Price</t>
  </si>
  <si>
    <t>April</t>
  </si>
  <si>
    <t>May</t>
  </si>
  <si>
    <t>June</t>
  </si>
  <si>
    <t>July</t>
  </si>
  <si>
    <t>Steel Rebar 2022</t>
  </si>
  <si>
    <t>Villa Nad Elshiba Ali Khalfan</t>
  </si>
  <si>
    <t>Villa W27 Emirates Hills</t>
  </si>
  <si>
    <t>316.22.REP-15</t>
  </si>
  <si>
    <t>Hussain</t>
  </si>
  <si>
    <t>Private Villa Zabeel</t>
  </si>
  <si>
    <t>Marina Rise Tower AUH</t>
  </si>
  <si>
    <t>Porto Island KLING</t>
  </si>
  <si>
    <t>Riviera Phase 3 Meydan</t>
  </si>
  <si>
    <t>Villa Hussain Darwish</t>
  </si>
  <si>
    <t>Pearl Bay Tower City of Lights</t>
  </si>
  <si>
    <t>Doora Tower</t>
  </si>
  <si>
    <t>Azizi</t>
  </si>
  <si>
    <t>316.22.REP-16</t>
  </si>
  <si>
    <t>316.22.REP-17</t>
  </si>
  <si>
    <t>Elite-6</t>
  </si>
  <si>
    <t>QI Tower</t>
  </si>
  <si>
    <t>BS16 Studio City</t>
  </si>
  <si>
    <t>316.22.REP-18</t>
  </si>
  <si>
    <t>CP03 Azizi</t>
  </si>
  <si>
    <t>Nirvana Palm</t>
  </si>
  <si>
    <t>Saudi German Mirdiff</t>
  </si>
  <si>
    <t>W-Residence Dar Al Arkan</t>
  </si>
  <si>
    <t>Namar Hospital</t>
  </si>
  <si>
    <t>316.22.REP-19</t>
  </si>
  <si>
    <t>Profile</t>
  </si>
  <si>
    <t>316.22.REP-20</t>
  </si>
  <si>
    <t>Sabah Specialty Hospital</t>
  </si>
  <si>
    <t>Crown Plaza Hotel</t>
  </si>
  <si>
    <t>Bishoy Azmy Villa</t>
  </si>
  <si>
    <t>316.22.REP-21</t>
  </si>
  <si>
    <t>SG</t>
  </si>
  <si>
    <t>Latifa Tower L-16</t>
  </si>
  <si>
    <t>Al-Nahda Building Waleed</t>
  </si>
  <si>
    <t>316.22.REP-22</t>
  </si>
  <si>
    <t>Private villa VO</t>
  </si>
  <si>
    <t>DM Document</t>
  </si>
  <si>
    <t>316.22.REP-23</t>
  </si>
  <si>
    <t>USW Medore</t>
  </si>
  <si>
    <t>Need client updates</t>
  </si>
  <si>
    <t>Roof Restaurant</t>
  </si>
  <si>
    <t>DIB Dubai</t>
  </si>
  <si>
    <t>Water Reservoir Hatta</t>
  </si>
  <si>
    <t>316.22.RPT-005</t>
  </si>
  <si>
    <t>Mrs Maryam Villa</t>
  </si>
  <si>
    <t>Articles</t>
  </si>
  <si>
    <t>Villa J11 Palm</t>
  </si>
  <si>
    <t>Villa HT-28</t>
  </si>
  <si>
    <t>UHPC System Oman</t>
  </si>
  <si>
    <t>OMAN</t>
  </si>
  <si>
    <t>Maples 2 Lootah</t>
  </si>
  <si>
    <t>316.22.RPT-006</t>
  </si>
  <si>
    <t>Palm</t>
  </si>
  <si>
    <t>MIR stamped</t>
  </si>
  <si>
    <t>Invoice done for areas where work completed</t>
  </si>
  <si>
    <t>Omar near completion of design drawings</t>
  </si>
  <si>
    <t>Log 2022</t>
  </si>
  <si>
    <t>Log 2023</t>
  </si>
  <si>
    <t>316.23.REP-01</t>
  </si>
  <si>
    <t>Addax-2</t>
  </si>
  <si>
    <t>Shop Drawing for Steel + response for afsal regarding schedule</t>
  </si>
  <si>
    <t>BOQ made and checked with Atef</t>
  </si>
  <si>
    <t>Carbodur drawings to Atef</t>
  </si>
  <si>
    <t>Letter response sent for delay letter received.</t>
  </si>
  <si>
    <t>Invoicing ongoing</t>
  </si>
  <si>
    <t>Atef's BOQ received for all works required at site</t>
  </si>
  <si>
    <t>Steel column details to Omar - received from krishna; Test reports also given to Mena as original.</t>
  </si>
  <si>
    <t>Two separate responses sent to Giuseppe based on Ralph replies</t>
  </si>
  <si>
    <t>Approved WIR</t>
  </si>
  <si>
    <t>Submittal of cube test sent with Mena with cover letter</t>
  </si>
  <si>
    <t>Shop Drawing for Steel to APG by email and sent hard copy.</t>
  </si>
  <si>
    <t>Cemex order and updates</t>
  </si>
  <si>
    <t>Clarifications related to submittal - MS received from Sabeer and need to submit back as full submittal.</t>
  </si>
  <si>
    <t>Enquiry again received for strengthening works - DUTCO</t>
  </si>
  <si>
    <t>Meeting done with Ismail online and requested for tendon lock-off drawings</t>
  </si>
  <si>
    <t>BOQ review done. Clarifications sent to Ismail.</t>
  </si>
  <si>
    <t>Made a call to Ismail and need to get updates on BOQ and drawings.</t>
  </si>
  <si>
    <t>New undertaking request received</t>
  </si>
  <si>
    <t>Response letter to fines letter sent for M/s Modern</t>
  </si>
  <si>
    <t>Requested CAD format</t>
  </si>
  <si>
    <t>CAD drawing Level-12</t>
  </si>
  <si>
    <t>Simple letter to be sent for Ground floor</t>
  </si>
  <si>
    <t>Need general final relevant updates</t>
  </si>
  <si>
    <t>Updated drawings sent to Ammar as received from Omar</t>
  </si>
  <si>
    <t>Site works issues related to steel plate installation with Adonis</t>
  </si>
  <si>
    <t>Need to get full details from Vishal - QS of Dutco</t>
  </si>
  <si>
    <t>Private Villa Fence</t>
  </si>
  <si>
    <t>Mark-up drawing made and sent back to Engr. Mohamed</t>
  </si>
  <si>
    <t>Go-ahead received. Need money and do scanning at site.</t>
  </si>
  <si>
    <t>No updates so far from Vishal or Ismail</t>
  </si>
  <si>
    <t>Updated as-built from Adonis - Updated WIR by Atef.</t>
  </si>
  <si>
    <t>Undertaking letter sent to Mena and cupolex with me.</t>
  </si>
  <si>
    <t>Details sent to Omar for review</t>
  </si>
  <si>
    <t>Plenum # 5 drawings arranged for Atef. Works to be started soon at site. LPO for materials also arranged and sent.</t>
  </si>
  <si>
    <t>Scan of received documents to be done. Request sent to Wafik to remove all the obstacles at site.</t>
  </si>
  <si>
    <t>Full submittal again sent as 4 emails to Ammar</t>
  </si>
  <si>
    <t>Adonis drawings reviewed - still missing stuff</t>
  </si>
  <si>
    <t>Need any updates from client</t>
  </si>
  <si>
    <t>No need of quotation anymore as client will go for another option</t>
  </si>
  <si>
    <t>Burjuman Mall Refurbishment</t>
  </si>
  <si>
    <t>Need SCAN and COPY of all approved drawings</t>
  </si>
  <si>
    <t>Qtn sent for AED 95,000</t>
  </si>
  <si>
    <t>Cupolex system letter sent</t>
  </si>
  <si>
    <t>Need BBS for two new foundations ready</t>
  </si>
  <si>
    <t>Hilti new LPO for RE-500</t>
  </si>
  <si>
    <t>Review of BOQ, BBS and drawings for footings</t>
  </si>
  <si>
    <t>Undertaking letter for material sent to client via email</t>
  </si>
  <si>
    <t>BBS review as already received with us.</t>
  </si>
  <si>
    <t>New openings GF markup review by Atef</t>
  </si>
  <si>
    <t>BBS in-depth review under process</t>
  </si>
  <si>
    <t>Email for the Fisher materials</t>
  </si>
  <si>
    <t>Wynn Tower</t>
  </si>
  <si>
    <t>Qtn sent to client for AED 10,000</t>
  </si>
  <si>
    <t>DRAFT Warranty for CP09 and CP13 sent to Arun</t>
  </si>
  <si>
    <t>Previous pull-off test reports to atef</t>
  </si>
  <si>
    <t>Letter to SAS for delay of works sent. Various queries for bolts and nuts to Fisher and other supplier.</t>
  </si>
  <si>
    <t>Need BBS response from atef.</t>
  </si>
  <si>
    <t>Invoice to client</t>
  </si>
  <si>
    <t>Received subcontract agreement - signed and sent back with our invoice</t>
  </si>
  <si>
    <t>Letter response sent to client for unacceptable delay letter</t>
  </si>
  <si>
    <t>Consultant approval on Scope # 8</t>
  </si>
  <si>
    <t>Report sent to client regarding compressive test</t>
  </si>
  <si>
    <t>TL drawings printed for Atef</t>
  </si>
  <si>
    <t>Meeting done with SAS team for site works status</t>
  </si>
  <si>
    <t>Need BOQ approval and finalization to proceed with steel order</t>
  </si>
  <si>
    <t>Need payment follow-up with Prasanna</t>
  </si>
  <si>
    <t>Need warranty follow-up for our half payment stuck with Arun and others</t>
  </si>
  <si>
    <t>Payment schedule update sent to SAS - Need his invoice update</t>
  </si>
  <si>
    <t>Follow-up done for new Fischer materials from AL-RAWAE by atef</t>
  </si>
  <si>
    <t>Delay response letter</t>
  </si>
  <si>
    <t>Further BBS to be arranged / checked as per site</t>
  </si>
  <si>
    <t>Sreekumar to give cash to supplier and get materials.</t>
  </si>
  <si>
    <t>Follow-up call to Arun</t>
  </si>
  <si>
    <t>New undertaking and warranty</t>
  </si>
  <si>
    <t>Site works - PHOTOS received new footings</t>
  </si>
  <si>
    <t>GPR scanning report</t>
  </si>
  <si>
    <t>316.23.RPT-001</t>
  </si>
  <si>
    <t>Latifa</t>
  </si>
  <si>
    <t>Follow-up for PT subcontract agreement with Joshy</t>
  </si>
  <si>
    <t>Reminder sent to Ammar for updates</t>
  </si>
  <si>
    <t>Awaiting Ammar reply</t>
  </si>
  <si>
    <t>New LPO for Fischer chemical - FIS EM Plus 390 S</t>
  </si>
  <si>
    <t>Need prasanna or zakir response</t>
  </si>
  <si>
    <t>NCR response document for L58, 59 and Pool deck + L60 report</t>
  </si>
  <si>
    <t>Need final approvals from DDA to proceed with Scope # 8 - Updated submittal sent to ahmed.</t>
  </si>
  <si>
    <t>DDA submittal sent to Mr. Nagarajan</t>
  </si>
  <si>
    <t>Need final updates from Prasanna</t>
  </si>
  <si>
    <t>New fischer required - on hold till now</t>
  </si>
  <si>
    <t>Invoice updates to account - Invoice by them</t>
  </si>
  <si>
    <t>Invoice details created and arranged including VO</t>
  </si>
  <si>
    <t>Pull-out test report to Park Avenue 3</t>
  </si>
  <si>
    <t>Separate warranty documents for CP03-09 and CP03-13 - To Sameh</t>
  </si>
  <si>
    <t>PT_Beachfront Azizi</t>
  </si>
  <si>
    <t>Provided CCL comments to client for the contract and document.</t>
  </si>
  <si>
    <t>Invoice submitted to Unnikrishnan</t>
  </si>
  <si>
    <t>Invoice Aconex sent to Accounts</t>
  </si>
  <si>
    <t>Wisal Scanning</t>
  </si>
  <si>
    <t>Swimming pool casting clearance</t>
  </si>
  <si>
    <t>Qtn for the Capital bay tower</t>
  </si>
  <si>
    <t>Scanning Qtn sent for AED 99,000</t>
  </si>
  <si>
    <t>Details to Nageh</t>
  </si>
  <si>
    <t>New layout for CFRP works</t>
  </si>
  <si>
    <t>Enquiry to Petra for cutting</t>
  </si>
  <si>
    <t>Qtn sent for AED 960,000 for the Capital bay tower</t>
  </si>
  <si>
    <t>DAMAC Capital Bay</t>
  </si>
  <si>
    <t>DAMAC Cour Jardin</t>
  </si>
  <si>
    <t>DAMAC Waters Edge</t>
  </si>
  <si>
    <t>Full detailed BOQ prepared for the building</t>
  </si>
  <si>
    <t>BOQ under preparation</t>
  </si>
  <si>
    <t>Cutting works LPO to Manara</t>
  </si>
  <si>
    <t>Details sent to accounts</t>
  </si>
  <si>
    <t>Qtn sent for AED 1,052,000 for the Cour Jardin</t>
  </si>
  <si>
    <t>Qtn sent for AED 1,567,000 for the Waters Edge</t>
  </si>
  <si>
    <t>Meeting with client team and PD at site office</t>
  </si>
  <si>
    <t>Follow-up for the final invoice</t>
  </si>
  <si>
    <t>Still no updates for the main works</t>
  </si>
  <si>
    <t>Warning letter to SAS company</t>
  </si>
  <si>
    <t>CCL Qtn for L12 cutting str sent for AED 17,600</t>
  </si>
  <si>
    <t>Proposed layout to omar - Close out requested for main works.</t>
  </si>
  <si>
    <t>Reminder to Wafiq to remove obstructions for 12mm BC rods</t>
  </si>
  <si>
    <t>CFRP requirement letter sent</t>
  </si>
  <si>
    <t>Warning # 2 sent to SAS</t>
  </si>
  <si>
    <t>Reminder to Ammar</t>
  </si>
  <si>
    <t>Qtn sent to Parthiban and later to Ismail for AED 7,750,000</t>
  </si>
  <si>
    <t>Need full techical submittal</t>
  </si>
  <si>
    <t>316.23.REP-02</t>
  </si>
  <si>
    <t>Full submittal sent to Roshdy as soft copy</t>
  </si>
  <si>
    <t>LPO sent for Fischer materials to Al Rawae</t>
  </si>
  <si>
    <t>New Enquiry received</t>
  </si>
  <si>
    <t>Separate Qtns sent for PT and concrete str works</t>
  </si>
  <si>
    <t>Awaiting ammar response</t>
  </si>
  <si>
    <t>Got client call and need LPO or updates</t>
  </si>
  <si>
    <t>316.23.RPT-002</t>
  </si>
  <si>
    <t>Mosque</t>
  </si>
  <si>
    <t>Cube test report to Park Avenue 3</t>
  </si>
  <si>
    <t>Emails related to crack issue and respones to Dia emails</t>
  </si>
  <si>
    <t>Enquiry to client for loading details for two columns for wrapping</t>
  </si>
  <si>
    <t>Report on installation of new chandelier anchors sent with invoice</t>
  </si>
  <si>
    <t>Need updated as-built for GF</t>
  </si>
  <si>
    <t>Omar meeting with consultant today</t>
  </si>
  <si>
    <t>WIR rejected - response prepared and sent to APG</t>
  </si>
  <si>
    <t>Need updated GF details for as-built</t>
  </si>
  <si>
    <t>Sari Villa</t>
  </si>
  <si>
    <t>BOQ for the new column jacketing</t>
  </si>
  <si>
    <t>Updated as-built submittal to Negm</t>
  </si>
  <si>
    <t>Need client follow-up</t>
  </si>
  <si>
    <t>VO for L03, 04 and 05 design checks</t>
  </si>
  <si>
    <t>Ismail may request a technical site meeting tomorrow</t>
  </si>
  <si>
    <t>Need site updates and details to prepare close-out documentation</t>
  </si>
  <si>
    <t>Updated submittal for L03, 04 and 05</t>
  </si>
  <si>
    <t>Updated submittal for as-built</t>
  </si>
  <si>
    <t>Full submittal for GF CFRP</t>
  </si>
  <si>
    <t>Reminder sent to Ammar</t>
  </si>
  <si>
    <t>Villa L46</t>
  </si>
  <si>
    <t>New enquiry for Level-11 sent to Omar</t>
  </si>
  <si>
    <t>Labor Accomodation Global</t>
  </si>
  <si>
    <t>Online meeting done. Need beam jacketing markup drawing.</t>
  </si>
  <si>
    <t>316.23.REP-03</t>
  </si>
  <si>
    <t>Qtn sent for AED 20,000</t>
  </si>
  <si>
    <t>Updated Qtn sent for AED 25,000</t>
  </si>
  <si>
    <t>Site works updates - L04 casting done</t>
  </si>
  <si>
    <t>Coring works MS</t>
  </si>
  <si>
    <t>GF Submittal</t>
  </si>
  <si>
    <t>As-built submittal</t>
  </si>
  <si>
    <t>Full mark-up for the cutting works with new beam framing</t>
  </si>
  <si>
    <t>Need updates after yesterday meeting</t>
  </si>
  <si>
    <t>New enquiry for ROOF floor</t>
  </si>
  <si>
    <t>Full as-built drawings for GF, L02 to UR for building</t>
  </si>
  <si>
    <t>Need LPO for GF openings</t>
  </si>
  <si>
    <t>New L11 beam cutting scope - need Qtn</t>
  </si>
  <si>
    <t>Full submittal as per Prasanna email</t>
  </si>
  <si>
    <t>Full submittal to Mena for submission</t>
  </si>
  <si>
    <t>CCL Qtn sent for AED 43,500</t>
  </si>
  <si>
    <t>Need CCL Qtn</t>
  </si>
  <si>
    <t>DAMAC Center Park Tower</t>
  </si>
  <si>
    <t>Need to submit all as hard copy - reply sent to Zakir</t>
  </si>
  <si>
    <t>Astoria Habtoor City CR18</t>
  </si>
  <si>
    <t>Need leakage Qtn</t>
  </si>
  <si>
    <t>GF holding tank opening enquiry to Omar</t>
  </si>
  <si>
    <t>Need full requirements from client</t>
  </si>
  <si>
    <t>Response sent to client as no suitable solution</t>
  </si>
  <si>
    <t>Arranged Qtn for AED 245,000</t>
  </si>
  <si>
    <t>Further information request sent to Negm</t>
  </si>
  <si>
    <t>Leakage Qtn to be sent</t>
  </si>
  <si>
    <t>Send Qtn already prepared AED 275,000</t>
  </si>
  <si>
    <t>Need proposal for client</t>
  </si>
  <si>
    <t>Mina Building Raffa Al-Baha</t>
  </si>
  <si>
    <t>GF opening Qtn for AED 18,000 - VO # 13</t>
  </si>
  <si>
    <t xml:space="preserve">Negm response received </t>
  </si>
  <si>
    <t>Need to send marked-up drawings again</t>
  </si>
  <si>
    <t>Detailed response and stamped documents sent to Ismail</t>
  </si>
  <si>
    <t>Need canopy area Qtn now</t>
  </si>
  <si>
    <t>Awaiting response to proceed with hard copies</t>
  </si>
  <si>
    <t>Close-out submittal receiving copy</t>
  </si>
  <si>
    <t>Need GF LPO</t>
  </si>
  <si>
    <t>Requested additional info</t>
  </si>
  <si>
    <t>CCL Qtn sent for AED 14,400,000</t>
  </si>
  <si>
    <t>Need site visit tomorrow morning</t>
  </si>
  <si>
    <t>Awaiting prasanna response</t>
  </si>
  <si>
    <t>Qtn sent for AED 645,000 to client</t>
  </si>
  <si>
    <t>CCL Qtn sent for AED 32,000</t>
  </si>
  <si>
    <t>Qtn as per the details and relevant info</t>
  </si>
  <si>
    <t>request received for part-2</t>
  </si>
  <si>
    <t>Undertaking letter for GF to L07 cutting</t>
  </si>
  <si>
    <t>CCL reply sent - Need further study</t>
  </si>
  <si>
    <t>Omniyat 17A Palm WME</t>
  </si>
  <si>
    <t>Undertaking letter sent to Ahmed - L03 04 05</t>
  </si>
  <si>
    <t>Qtn sent for AED 7,500</t>
  </si>
  <si>
    <t>Need prasanna updates</t>
  </si>
  <si>
    <t>Updated invoice # 2 for the VO sent to Mena and Atef</t>
  </si>
  <si>
    <t>CP03-002 &amp; 003</t>
  </si>
  <si>
    <t>Detailed study of updated scope of works at site</t>
  </si>
  <si>
    <t>AGRE - Al Ghurair real-estate direct enquiry</t>
  </si>
  <si>
    <t>CCL Qtn sent for AED 25,000</t>
  </si>
  <si>
    <t>CCL Qtn sent for jacketing AED 234,000</t>
  </si>
  <si>
    <t>Updated and discounted Qtns made</t>
  </si>
  <si>
    <t>Updated qtn sent for AED 338,000</t>
  </si>
  <si>
    <t>Updated Qtns sent to Shuhaib</t>
  </si>
  <si>
    <t>CCL Qtn and technical sketch sent for AED 18,000</t>
  </si>
  <si>
    <t>300 MAA-ASGC-GEN-WPR-00023</t>
  </si>
  <si>
    <t>300 MAA-ASGC-GEN-WPR-00024</t>
  </si>
  <si>
    <t>CCL Qtn sent for AED 970,000</t>
  </si>
  <si>
    <t>Updated guarantee letter to Prasanna to release our cheques</t>
  </si>
  <si>
    <t>Qtn sent with detailed breakdown to client</t>
  </si>
  <si>
    <t>CCL Qtn sent for AED 95,000</t>
  </si>
  <si>
    <t>CCL Qtn sent for AED 456,700</t>
  </si>
  <si>
    <t>BG &amp; E reference Qtn seen</t>
  </si>
  <si>
    <t>New request from ismail for the PT Qtn updates</t>
  </si>
  <si>
    <t>First floor swimming pool details to atef</t>
  </si>
  <si>
    <t>CCL profile to client</t>
  </si>
  <si>
    <t>New LPO for Al-Rawae building</t>
  </si>
  <si>
    <t>Steel strengthening details to SAS for their steel works Qtn</t>
  </si>
  <si>
    <t>Need prasanna response</t>
  </si>
  <si>
    <t>Need updates from SAS for our proposal</t>
  </si>
  <si>
    <t>Need updates from Prasanna</t>
  </si>
  <si>
    <t>Need to reply to client</t>
  </si>
  <si>
    <t>Client requested LS for various items - Won't reply</t>
  </si>
  <si>
    <t>Email sent to Nithin regarding new steel rebar cost deduction</t>
  </si>
  <si>
    <t>Updated pricing sent to Ismail</t>
  </si>
  <si>
    <t>Updated Qtn sent to client for AED 357,000</t>
  </si>
  <si>
    <t>Reminder to Adonis</t>
  </si>
  <si>
    <t>LPO and emails sent for rebar and concrete. Need submittal for Mapei.</t>
  </si>
  <si>
    <t>Updated program sent to client</t>
  </si>
  <si>
    <t>Annex Building</t>
  </si>
  <si>
    <t>Need LPO for CCL Qtn</t>
  </si>
  <si>
    <t>Updated and discounted Qtns sent</t>
  </si>
  <si>
    <t>Need Qtn from SAS</t>
  </si>
  <si>
    <t>CCL's full submittal as tender submitted by hand for AED 950,000</t>
  </si>
  <si>
    <t>Meeting at site done by Sameh</t>
  </si>
  <si>
    <t>As-built all sent for printing. Need to print updated guarantee letters.</t>
  </si>
  <si>
    <t>Follow-up with client. Only basement casted &amp; need to revise offer.</t>
  </si>
  <si>
    <t>Reply sent to client regarding lumpsum items</t>
  </si>
  <si>
    <t>Villa P69</t>
  </si>
  <si>
    <t>Need Qtn for the jacketing works</t>
  </si>
  <si>
    <t>Need Qtn for the strengthening works</t>
  </si>
  <si>
    <t>Invoice reminder by Sameh to CR18 team</t>
  </si>
  <si>
    <t>Tender response clarifications</t>
  </si>
  <si>
    <t>No further updates till date</t>
  </si>
  <si>
    <t>Need information about swimming pool rebar</t>
  </si>
  <si>
    <t>Updated invoice sent for 3 footings</t>
  </si>
  <si>
    <t>Site visit done by CCL team</t>
  </si>
  <si>
    <t>Need to send typical MS for CFRP with datasheets.</t>
  </si>
  <si>
    <t>CCL Qtn sent for AED 442,000</t>
  </si>
  <si>
    <t>Need basic CFRP MS as reference</t>
  </si>
  <si>
    <t>316.23.REP-04</t>
  </si>
  <si>
    <t>Marsa</t>
  </si>
  <si>
    <t>Full submittal for Level-11 for ASGC</t>
  </si>
  <si>
    <t>Client online meeting for commercial</t>
  </si>
  <si>
    <t>WIR and other updates</t>
  </si>
  <si>
    <t>Need updates for L06 proposal</t>
  </si>
  <si>
    <t>Full updated tender submittal arranged</t>
  </si>
  <si>
    <t>Full updated submittal sent to client via salam</t>
  </si>
  <si>
    <t>Qaffay Island DBB</t>
  </si>
  <si>
    <t>Island near the Qatar border</t>
  </si>
  <si>
    <t>Full steel works as-built + holding tank submittal to client - Atef</t>
  </si>
  <si>
    <t>Enquiry details to omar and farah</t>
  </si>
  <si>
    <t>Mail to Giena as well</t>
  </si>
  <si>
    <t>Small new drilling works at site - Qtn</t>
  </si>
  <si>
    <t>Its purely island work and scope is very small as well. Island near qatar.</t>
  </si>
  <si>
    <t>Updated final discounted offer to Shuhaib for AED 244,000</t>
  </si>
  <si>
    <t>316.23.REP-05</t>
  </si>
  <si>
    <t>Park</t>
  </si>
  <si>
    <t>Need Qtn for Scope # 11 - beam coring</t>
  </si>
  <si>
    <t>Need Qtn for Scope # 10 - steel staircase</t>
  </si>
  <si>
    <t xml:space="preserve">WIRs sent to King for steel works - </t>
  </si>
  <si>
    <t>Openings layout to atef for sign from site - new scope details to omar and farah</t>
  </si>
  <si>
    <t>CP01-13</t>
  </si>
  <si>
    <t>Qtn sent to Shuhaib for AED 25,500</t>
  </si>
  <si>
    <t>Client requested updates</t>
  </si>
  <si>
    <t>Level-04 drawings to mena for invoice</t>
  </si>
  <si>
    <t>Approved WIR all sent to Anwar</t>
  </si>
  <si>
    <t>Updated drawing as sample for the L02 sent to Zakir</t>
  </si>
  <si>
    <t>Park Towers</t>
  </si>
  <si>
    <t>316.23.RPT-003</t>
  </si>
  <si>
    <t>Presentation for client</t>
  </si>
  <si>
    <t>Scope 10 - need updates for GF beams</t>
  </si>
  <si>
    <t>Scope 11 - need updates for beam having coring</t>
  </si>
  <si>
    <t>Submittal for new scope - still needs official LPO</t>
  </si>
  <si>
    <t>New sketch for the beam to be added to boundary wall</t>
  </si>
  <si>
    <t>Spoke with Engr. Ali and need his comments</t>
  </si>
  <si>
    <t>Reminder sent to client for status update</t>
  </si>
  <si>
    <t>Qtn sent for AED 9,750</t>
  </si>
  <si>
    <t>Updated sketch sent to sameh via whatsapp for client.</t>
  </si>
  <si>
    <t>Ground floor canopy details to omar</t>
  </si>
  <si>
    <t>Presentation almost finalized for tomorrow meeting.</t>
  </si>
  <si>
    <t>New Level-01 enquiry and steel calc for existing one.</t>
  </si>
  <si>
    <t>Scope 12 - Queries to ASGC - L10 beam chipping</t>
  </si>
  <si>
    <t>L03, 04 and 05 design checks report for official submission</t>
  </si>
  <si>
    <t>Meeting and presentation at client office - with Mr. Roland + Sameh</t>
  </si>
  <si>
    <t>Qtn sent for canopy checks - AED 16,000</t>
  </si>
  <si>
    <t>Scope 12 - some updates from ASGC</t>
  </si>
  <si>
    <t>Updated drawings prepared all the for the main scope with blue color.</t>
  </si>
  <si>
    <t>Qtn sent for L06 beam - AED 9,500</t>
  </si>
  <si>
    <t>Qtn under process - inspiration from dunes proposal</t>
  </si>
  <si>
    <t>Updated proposal as two separate proposals sent to Wafik</t>
  </si>
  <si>
    <t>BC rods sample submission letter to atef</t>
  </si>
  <si>
    <t>Qtn for stage-1 of works at DAMAC building - AED 92,000</t>
  </si>
  <si>
    <t>CP03-005</t>
  </si>
  <si>
    <t>Requested client for site visit and drawings</t>
  </si>
  <si>
    <t>Need updates for site visit request</t>
  </si>
  <si>
    <t>Price per LM of external PT to Haitham - by sameh</t>
  </si>
  <si>
    <t>Need color print of 27 drawings and full submittal</t>
  </si>
  <si>
    <t>A1 prints as per updated DM</t>
  </si>
  <si>
    <t>Final site report for the project with invoice</t>
  </si>
  <si>
    <t>Need quotation for fire-incident at site</t>
  </si>
  <si>
    <t>Updated info from client to Omar</t>
  </si>
  <si>
    <t>Need drawing updates</t>
  </si>
  <si>
    <t>BBS sent to Atef</t>
  </si>
  <si>
    <t>Updated invoice report for two openings. Need more for new invoice.</t>
  </si>
  <si>
    <t>LPO sent for rebar to BRC</t>
  </si>
  <si>
    <t>Qtn sent to Joshy for AED 36,000</t>
  </si>
  <si>
    <t>Updated Qtn sent for AED 28,500</t>
  </si>
  <si>
    <t>Received material testing Qtn from Wimpey and GTL labs - GTL higher</t>
  </si>
  <si>
    <t>BBS review done with Atef in-depth</t>
  </si>
  <si>
    <t>316.23.REP-06</t>
  </si>
  <si>
    <t>Full technical submittal prepared for Azizi _ CP01-13 building</t>
  </si>
  <si>
    <t>Sameh to visit client tomorrow with drawings &amp; documents.</t>
  </si>
  <si>
    <t>Palm Gate Towers Shapoorji</t>
  </si>
  <si>
    <t>New enquiry - Long time back in 2017 we quoted to Shapoorji also.</t>
  </si>
  <si>
    <t>Fire damaged zones report for Azizi</t>
  </si>
  <si>
    <t>Full MS + Mat. Submittal</t>
  </si>
  <si>
    <t>Updated Qtn to client for AED 29,000</t>
  </si>
  <si>
    <t>Fire report can't be done by CCL as its only Consultant domain</t>
  </si>
  <si>
    <t>Updated BOQ with Qtn prepared - references taken</t>
  </si>
  <si>
    <t>Need our final design updates</t>
  </si>
  <si>
    <t>L03, 04, 05 design submittal approved</t>
  </si>
  <si>
    <t>Full submittal for repair works sent to client.</t>
  </si>
  <si>
    <t>Updated BOQ and Qtn - Need review and submission.</t>
  </si>
  <si>
    <t>Full submittal for L06 and Roof from Omar</t>
  </si>
  <si>
    <t>Need to submit our submittal to client</t>
  </si>
  <si>
    <t>Hard copy also submitted by atef to site.</t>
  </si>
  <si>
    <t>Submittal proposal sent to client as CAD SKETCH (PDF sent)</t>
  </si>
  <si>
    <t>Latest invoice to be sent to Unnikrishnan</t>
  </si>
  <si>
    <t>For staircase consultant replied - can't check at the moment</t>
  </si>
  <si>
    <t>Submittal will be finalized once go-ahead from client on proposal.</t>
  </si>
  <si>
    <t xml:space="preserve">Can send proposal by Sunday or Monday </t>
  </si>
  <si>
    <t>Need client input to finalize our str. Proposal.</t>
  </si>
  <si>
    <t>Follow-up with client regarding past payment and also payment for new scope</t>
  </si>
  <si>
    <t xml:space="preserve">Proceed with the detailed design </t>
  </si>
  <si>
    <t>BBS for last 4 footings sent to Atef</t>
  </si>
  <si>
    <t>CCL Qtn will be sent as two options; 2.5M design or 99M lumpsum</t>
  </si>
  <si>
    <t>Level-05 IR got approved</t>
  </si>
  <si>
    <t>No solution for the staircase area</t>
  </si>
  <si>
    <t>Request for solution again by Moheb</t>
  </si>
  <si>
    <t>Updated site survey received from atef for the CFRP works.</t>
  </si>
  <si>
    <t>Updated info including all design models (vertical received).</t>
  </si>
  <si>
    <t>LPO for MAPEI (new price) + LPO for BRC</t>
  </si>
  <si>
    <t>Full submittal (Calc + Dwgs) sent to Amro for DDA submission</t>
  </si>
  <si>
    <t>Letter with all CFRP layouts sent to Negm + Client + CR18</t>
  </si>
  <si>
    <t>Need start of works at site. A3 print for atef.</t>
  </si>
  <si>
    <t>Need final updates from client.</t>
  </si>
  <si>
    <t>Awaiting client approval on L06 and Roof</t>
  </si>
  <si>
    <t>CCL Qtn to client as 2.5M and 99M</t>
  </si>
  <si>
    <t>Technical report from Omar sent to Client.</t>
  </si>
  <si>
    <t>Updated letter to be sent.</t>
  </si>
  <si>
    <t>Forms submitted (signed and stamped) from client.</t>
  </si>
  <si>
    <t>Client go-ahead for Level-06 beam coring - Need submittal from Omar</t>
  </si>
  <si>
    <t>Client comments received</t>
  </si>
  <si>
    <t>Gold Souk Dxb-Mall Khansaheb</t>
  </si>
  <si>
    <t>New Enquiry for Gold Souk at Dubai Mall</t>
  </si>
  <si>
    <t>Client comments on CCL's proposal for L04 and L05 strengthening</t>
  </si>
  <si>
    <t>Need submittal for L06 (Scope # 11)</t>
  </si>
  <si>
    <t>Ground floor beam - ASGC requested help from SSE</t>
  </si>
  <si>
    <t>Go-ahead from Negm - site CFRP as per constraints</t>
  </si>
  <si>
    <t>All works completed at mosque. Need final invoice.</t>
  </si>
  <si>
    <t>BOQ made for openings at L01 and L02</t>
  </si>
  <si>
    <t>Received VO online for beam cut works - AED 9,500</t>
  </si>
  <si>
    <t>Updated layout for final submission to client sent to Desco.</t>
  </si>
  <si>
    <t>Final invoice along with Report # 10 sent to Unnikrishnan</t>
  </si>
  <si>
    <t>Final submittal - Updated CFRP R01 - to client (Hard + soft)</t>
  </si>
  <si>
    <t>Full submittal received from Omar and sent to Client as link - Scope 11</t>
  </si>
  <si>
    <t>Full updated submittal with undertaking letter + compliance sheet.</t>
  </si>
  <si>
    <t>Updated contract from Shuhaib with comments considered. Printing done.</t>
  </si>
  <si>
    <t>Call with client and meeting confirmed at site 10:30am tomorrow morning.</t>
  </si>
  <si>
    <t>Updated submittal as per client comments - Sent to client by Pooja.</t>
  </si>
  <si>
    <t>Qtn for GF strengthening due to canopy loads</t>
  </si>
  <si>
    <t>LPO for materials</t>
  </si>
  <si>
    <t>Email archive updated - Query to omar for GF</t>
  </si>
  <si>
    <t>Client internal meetings and discussions</t>
  </si>
  <si>
    <t>Need updated proposal</t>
  </si>
  <si>
    <t>updated submittal to Amro</t>
  </si>
  <si>
    <t>Updated proposal from omar</t>
  </si>
  <si>
    <t>Qtn for Ground floor with breakdown</t>
  </si>
  <si>
    <t>Qtn for Second floor with breakdown</t>
  </si>
  <si>
    <t>DM test failed 3rd time.</t>
  </si>
  <si>
    <t>Need Steel LPO. Drawing print + site works report done.</t>
  </si>
  <si>
    <t>Further comments from Amro - Reply sent with updated drawings.</t>
  </si>
  <si>
    <t>L04 and L05 Qtn</t>
  </si>
  <si>
    <t>LPO sent for Mapei. Need to collect all delivery notes as well.</t>
  </si>
  <si>
    <t>316.23.RPT-004</t>
  </si>
  <si>
    <t>3D scanning report sent. Need hard copy.</t>
  </si>
  <si>
    <t>Qtn made for AED 220,000</t>
  </si>
  <si>
    <t>Updated LKP for GF to Nithin</t>
  </si>
  <si>
    <t>Full WIR + MIR + 3D scanning report all hard copies to nageh for submission</t>
  </si>
  <si>
    <t>Transmittal for 3D scanning + WIR for works (rebar installation)</t>
  </si>
  <si>
    <t>LPO for ACE</t>
  </si>
  <si>
    <t>Need to send our final offer as prepared.</t>
  </si>
  <si>
    <t>Full new updated information as received from Dutco for STR works</t>
  </si>
  <si>
    <t>Detailed breakdown for the main strengthening works at GF</t>
  </si>
  <si>
    <t>L06 original and new submission comparison due to openings.</t>
  </si>
  <si>
    <t>Sent full Qtn for AED 180,000 to Ahmed with layouts + comments.</t>
  </si>
  <si>
    <t>LPO for pull-out test sent. ACE arrangements done.</t>
  </si>
  <si>
    <t>Total floor area 40,000 for one floor and 280,000 for 7 floors.</t>
  </si>
  <si>
    <t>Need final Qtn with breakdown for GF</t>
  </si>
  <si>
    <t>Roger reply sent. Other enquiry already with Ralph.</t>
  </si>
  <si>
    <t>Updated L-12 quotation sent as two options to Ahmed</t>
  </si>
  <si>
    <t>Updated GF qtn as AED 95,000</t>
  </si>
  <si>
    <t>316.23.REP-07</t>
  </si>
  <si>
    <t>Medore</t>
  </si>
  <si>
    <t>Full GF technical submittal for canopy sent to Nithin. Hard copy tomorrow.</t>
  </si>
  <si>
    <t>Invoice upload to Aconex.</t>
  </si>
  <si>
    <t>Full hard copy of submittal sent to Medore to atef</t>
  </si>
  <si>
    <t>Pricing to be done as per the received BOQ</t>
  </si>
  <si>
    <t>Loads received from Roger.</t>
  </si>
  <si>
    <t>Casting DONE at site. Final photos and approved WIR received.</t>
  </si>
  <si>
    <t>Qtn sent for design checks for USD 525</t>
  </si>
  <si>
    <t>Updated 2nd floor Qtn sent to Nithin</t>
  </si>
  <si>
    <t>CCL Qtn sent to client for AED 1.7M</t>
  </si>
  <si>
    <t>Attic slab details received</t>
  </si>
  <si>
    <t>Need ready-mix information for casting</t>
  </si>
  <si>
    <t>Received new data from client for the tender.</t>
  </si>
  <si>
    <t>Updated request from client to proceed with the works at site. Full submittal to omar.</t>
  </si>
  <si>
    <t>BBS for the GF thickening to Nageh</t>
  </si>
  <si>
    <t>Qtn for the attic slab casting to Amro - AED 49,000</t>
  </si>
  <si>
    <t>Need CLOSE-OUT properly and final invoicing.</t>
  </si>
  <si>
    <t xml:space="preserve">Need BBS for the Roof as per the format for L06. Material list from Nageh to be reviewed to send our LPO accordingly. </t>
  </si>
  <si>
    <t>Risk assessment - word document - ahmed salama - sent to CCL KSA</t>
  </si>
  <si>
    <t>Drawings sent for printing as A1. Need BBS work.</t>
  </si>
  <si>
    <t>BBS updated for the GF canopy area.</t>
  </si>
  <si>
    <t>Meeting done with DBB team at their office in Jebel ali</t>
  </si>
  <si>
    <t>Need new ETABS study and solution from omar</t>
  </si>
  <si>
    <t>March - 2023</t>
  </si>
  <si>
    <t>Feb - 2023</t>
  </si>
  <si>
    <t>2023-03-31</t>
  </si>
  <si>
    <t>2023-03-30</t>
  </si>
  <si>
    <t>2023-03-29</t>
  </si>
  <si>
    <t>2023-03-28</t>
  </si>
  <si>
    <t>2023-03-27</t>
  </si>
  <si>
    <t>2023-03-26</t>
  </si>
  <si>
    <t>2023-03-24</t>
  </si>
  <si>
    <t>2023-03-23</t>
  </si>
  <si>
    <t>2023-03-22</t>
  </si>
  <si>
    <t>2023-03-21</t>
  </si>
  <si>
    <t>2023-03-20</t>
  </si>
  <si>
    <t>2023-03-19</t>
  </si>
  <si>
    <t>2023-03-17</t>
  </si>
  <si>
    <t>2023-03-16</t>
  </si>
  <si>
    <t>2023-03-15</t>
  </si>
  <si>
    <t>2023-03-14</t>
  </si>
  <si>
    <t>2023-03-13</t>
  </si>
  <si>
    <t>2023-03-12</t>
  </si>
  <si>
    <t>2023-03-10</t>
  </si>
  <si>
    <t>2023-03-09</t>
  </si>
  <si>
    <t>2023-03-07</t>
  </si>
  <si>
    <t>2023-03-06</t>
  </si>
  <si>
    <t>2023-03-05</t>
  </si>
  <si>
    <t>2023-03-03</t>
  </si>
  <si>
    <t>2023-03-02</t>
  </si>
  <si>
    <t>2023-03-01</t>
  </si>
  <si>
    <t>Jan - 2023</t>
  </si>
  <si>
    <t>2023-02-28</t>
  </si>
  <si>
    <t>2023-02-27</t>
  </si>
  <si>
    <t>2023-02-26</t>
  </si>
  <si>
    <t>2023-02-24</t>
  </si>
  <si>
    <t>2023-02-23</t>
  </si>
  <si>
    <t>2023-02-22</t>
  </si>
  <si>
    <t>2023-02-21</t>
  </si>
  <si>
    <t>2023-02-20</t>
  </si>
  <si>
    <t>2023-02-19</t>
  </si>
  <si>
    <t>2023-02-17</t>
  </si>
  <si>
    <t>2023-02-16</t>
  </si>
  <si>
    <t>2023-02-15</t>
  </si>
  <si>
    <t>2023-02-14</t>
  </si>
  <si>
    <t>2023-02-13</t>
  </si>
  <si>
    <t>2023-02-12</t>
  </si>
  <si>
    <t>2023-02-10</t>
  </si>
  <si>
    <t>2023-02-09</t>
  </si>
  <si>
    <t>2023-02-08</t>
  </si>
  <si>
    <t>2023-02-07</t>
  </si>
  <si>
    <t>2023-02-06</t>
  </si>
  <si>
    <t>2023-02-05</t>
  </si>
  <si>
    <t>2023-02-03</t>
  </si>
  <si>
    <t>2023-02-02</t>
  </si>
  <si>
    <t>2023-02-01</t>
  </si>
  <si>
    <t>2023-01-31</t>
  </si>
  <si>
    <t>2023-01-30</t>
  </si>
  <si>
    <t>2023-01-29</t>
  </si>
  <si>
    <t>2023-01-27</t>
  </si>
  <si>
    <t>2023-01-26</t>
  </si>
  <si>
    <t>2023-01-25</t>
  </si>
  <si>
    <t>2023-01-24</t>
  </si>
  <si>
    <t>2023-01-23</t>
  </si>
  <si>
    <t>2023-01-22</t>
  </si>
  <si>
    <t>2023-01-19</t>
  </si>
  <si>
    <t>2023-01-18</t>
  </si>
  <si>
    <t>2023-01-17</t>
  </si>
  <si>
    <t>2023-01-16</t>
  </si>
  <si>
    <t>2023-01-15</t>
  </si>
  <si>
    <t>2023-01-13</t>
  </si>
  <si>
    <t>2023-01-12</t>
  </si>
  <si>
    <t>2023-01-11</t>
  </si>
  <si>
    <t>2023-01-10</t>
  </si>
  <si>
    <t>2023-01-09</t>
  </si>
  <si>
    <t>2023-01-08</t>
  </si>
  <si>
    <t>2023-01-06</t>
  </si>
  <si>
    <t>2023-01-05</t>
  </si>
  <si>
    <t>2023-01-04</t>
  </si>
  <si>
    <t>2023-01-03</t>
  </si>
  <si>
    <t>2023-01-02</t>
  </si>
  <si>
    <t>April - 2023</t>
  </si>
  <si>
    <t>Pull-out test received. Need now cube test result.</t>
  </si>
  <si>
    <t>2023-04-30</t>
  </si>
  <si>
    <t>2023-04-24</t>
  </si>
  <si>
    <t>2023-04-23</t>
  </si>
  <si>
    <t>2023-04-18</t>
  </si>
  <si>
    <t>2023-04-17</t>
  </si>
  <si>
    <t>2023-04-16</t>
  </si>
  <si>
    <t>2023-04-14</t>
  </si>
  <si>
    <t>2023-04-13</t>
  </si>
  <si>
    <t>2023-04-12</t>
  </si>
  <si>
    <t>2023-04-11</t>
  </si>
  <si>
    <t>2023-04-10</t>
  </si>
  <si>
    <t>2023-04-09</t>
  </si>
  <si>
    <t>2023-04-06</t>
  </si>
  <si>
    <t>2023-04-05</t>
  </si>
  <si>
    <t>2023-04-04</t>
  </si>
  <si>
    <t>2023-04-03</t>
  </si>
  <si>
    <t>2023-04-02</t>
  </si>
  <si>
    <t>Project with link</t>
  </si>
  <si>
    <t>Location</t>
  </si>
  <si>
    <t>Type</t>
  </si>
  <si>
    <t>Email to nithin about site constraints for GF canopy strengthening works.</t>
  </si>
  <si>
    <t>Need updated requirements from client after today's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</si>
</sst>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409]d\-mmm\-yyyy;@"/>
    <numFmt numFmtId="167" formatCode="_(* #,##0.0_);_(* \(#,##0.0\);_(* &quot;-&quot;??_);_(@_)"/>
  </numFmts>
  <fonts count="48" x14ac:knownFonts="1">
    <font>
      <sz val="10"/>
      <name val="Arial"/>
    </font>
    <font>
      <sz val="10"/>
      <name val="Arial"/>
      <family val="2"/>
    </font>
    <font>
      <b/>
      <sz val="12"/>
      <name val="Arial"/>
      <family val="2"/>
    </font>
    <font>
      <sz val="11"/>
      <name val="Arial"/>
      <family val="2"/>
    </font>
    <font>
      <b/>
      <sz val="11"/>
      <name val="Arial"/>
      <family val="2"/>
    </font>
    <font>
      <sz val="9"/>
      <name val="Arial"/>
      <family val="2"/>
    </font>
    <font>
      <b/>
      <sz val="9"/>
      <name val="Arial"/>
      <family val="2"/>
    </font>
    <font>
      <u/>
      <sz val="10"/>
      <color theme="10"/>
      <name val="Arial"/>
      <family val="2"/>
    </font>
    <font>
      <b/>
      <sz val="11"/>
      <color rgb="FFFF0000"/>
      <name val="Arial"/>
      <family val="2"/>
    </font>
    <font>
      <sz val="9"/>
      <color rgb="FF0000FF"/>
      <name val="Arial"/>
      <family val="2"/>
    </font>
    <font>
      <b/>
      <sz val="10"/>
      <color rgb="FF7030A0"/>
      <name val="Arial"/>
      <family val="2"/>
    </font>
    <font>
      <b/>
      <sz val="9"/>
      <color rgb="FF0000FF"/>
      <name val="Arial"/>
      <family val="2"/>
    </font>
    <font>
      <sz val="10"/>
      <color rgb="FF0070C0"/>
      <name val="Arial"/>
      <family val="2"/>
    </font>
    <font>
      <b/>
      <sz val="10"/>
      <color theme="9" tint="-0.249977111117893"/>
      <name val="Arial"/>
      <family val="2"/>
    </font>
    <font>
      <sz val="9"/>
      <color rgb="FFC00000"/>
      <name val="Arial"/>
      <family val="2"/>
    </font>
    <font>
      <b/>
      <sz val="9"/>
      <color rgb="FFFF0000"/>
      <name val="Arial"/>
      <family val="2"/>
    </font>
    <font>
      <sz val="10"/>
      <color rgb="FF002060"/>
      <name val="Arial"/>
      <family val="2"/>
    </font>
    <font>
      <sz val="10"/>
      <color rgb="FF7030A0"/>
      <name val="Arial"/>
      <family val="2"/>
    </font>
    <font>
      <sz val="11"/>
      <name val="Calibri"/>
      <family val="2"/>
    </font>
    <font>
      <b/>
      <sz val="14"/>
      <name val="Arial"/>
      <family val="2"/>
    </font>
    <font>
      <sz val="13"/>
      <name val="Arial"/>
      <family val="2"/>
    </font>
    <font>
      <b/>
      <sz val="15"/>
      <name val="Arial"/>
      <family val="2"/>
    </font>
    <font>
      <sz val="13"/>
      <color rgb="FFFF0000"/>
      <name val="Arial"/>
      <family val="2"/>
    </font>
    <font>
      <b/>
      <sz val="15"/>
      <color rgb="FFFF0000"/>
      <name val="Arial"/>
      <family val="2"/>
    </font>
    <font>
      <sz val="10"/>
      <name val="Arial"/>
      <family val="2"/>
    </font>
    <font>
      <b/>
      <sz val="10"/>
      <name val="Arial"/>
      <family val="2"/>
    </font>
    <font>
      <sz val="14"/>
      <name val="Arial"/>
      <family val="2"/>
    </font>
    <font>
      <b/>
      <u/>
      <sz val="14"/>
      <name val="Arial"/>
      <family val="2"/>
    </font>
    <font>
      <b/>
      <sz val="14"/>
      <color rgb="FFC00000"/>
      <name val="Arial"/>
      <family val="2"/>
    </font>
    <font>
      <b/>
      <sz val="14"/>
      <color rgb="FF002060"/>
      <name val="Arial"/>
      <family val="2"/>
    </font>
    <font>
      <sz val="12"/>
      <name val="Arial"/>
      <family val="2"/>
    </font>
    <font>
      <b/>
      <sz val="12"/>
      <color rgb="FFFF0000"/>
      <name val="Arial"/>
      <family val="2"/>
    </font>
    <font>
      <b/>
      <sz val="12"/>
      <color rgb="FF0000FF"/>
      <name val="Arial"/>
      <family val="2"/>
    </font>
    <font>
      <b/>
      <sz val="15"/>
      <color rgb="FF0000FF"/>
      <name val="Arial"/>
      <family val="2"/>
    </font>
    <font>
      <sz val="13"/>
      <color rgb="FF0000FF"/>
      <name val="Arial"/>
      <family val="2"/>
    </font>
    <font>
      <b/>
      <sz val="13"/>
      <color rgb="FFFF0000"/>
      <name val="Arial"/>
      <family val="2"/>
    </font>
    <font>
      <sz val="10"/>
      <color rgb="FF0000FF"/>
      <name val="Arial"/>
      <family val="2"/>
    </font>
    <font>
      <sz val="10"/>
      <color rgb="FFFF0000"/>
      <name val="Arial"/>
      <family val="2"/>
    </font>
    <font>
      <b/>
      <sz val="10"/>
      <color rgb="FF00B050"/>
      <name val="Arial"/>
      <family val="2"/>
    </font>
    <font>
      <sz val="10"/>
      <color rgb="FFC00000"/>
      <name val="Arial"/>
      <family val="2"/>
    </font>
    <font>
      <b/>
      <sz val="11"/>
      <name val="Calibri"/>
      <family val="2"/>
    </font>
    <font>
      <sz val="10"/>
      <color rgb="FF123654"/>
      <name val="Arial"/>
      <family val="2"/>
    </font>
    <font>
      <b/>
      <sz val="10"/>
      <color rgb="FFFF0000"/>
      <name val="Arial"/>
      <family val="2"/>
    </font>
    <font>
      <b/>
      <sz val="11"/>
      <color rgb="FFC00000"/>
      <name val="Arial"/>
      <family val="2"/>
    </font>
    <font>
      <b/>
      <sz val="10"/>
      <color rgb="FF0070C0"/>
      <name val="Arial"/>
      <family val="2"/>
    </font>
    <font>
      <u/>
      <sz val="14"/>
      <color theme="10"/>
      <name val="Arial"/>
      <family val="2"/>
    </font>
    <font>
      <sz val="11"/>
      <color theme="1"/>
      <name val="Calibri"/>
      <family val="2"/>
      <scheme val="minor"/>
    </font>
    <font>
      <sz val="9"/>
      <color theme="5" tint="-0.499984740745262"/>
      <name val="Arial"/>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6">
    <xf numFmtId="0" fontId="0" fillId="0" borderId="0" applyProtection="0"/>
    <xf numFmtId="164" fontId="1" fillId="0" borderId="0" applyFont="0" applyFill="0" applyBorder="0" applyAlignment="0" applyProtection="0"/>
    <xf numFmtId="166" fontId="7" fillId="0" borderId="0" applyNumberFormat="0" applyFill="0" applyBorder="0" applyAlignment="0" applyProtection="0"/>
    <xf numFmtId="9" fontId="24" fillId="0" borderId="0" applyFont="0" applyFill="0" applyBorder="0" applyAlignment="0" applyProtection="0"/>
    <xf numFmtId="0" fontId="46" fillId="0" borderId="0"/>
    <xf numFmtId="164" fontId="46" fillId="0" borderId="0" applyFont="0" applyFill="0" applyBorder="0" applyAlignment="0" applyProtection="0"/>
  </cellStyleXfs>
  <cellXfs count="103">
    <xf numFmtId="0" fontId="0" fillId="0" borderId="0" xfId="0"/>
    <xf numFmtId="0" fontId="3" fillId="0" borderId="0" xfId="0" applyFont="1"/>
    <xf numFmtId="0" fontId="2" fillId="0" borderId="0" xfId="0" applyFont="1"/>
    <xf numFmtId="0" fontId="8" fillId="0" borderId="1" xfId="0" applyFont="1" applyBorder="1" applyAlignment="1">
      <alignment horizontal="center" vertical="center" wrapText="1"/>
    </xf>
    <xf numFmtId="0" fontId="4" fillId="0" borderId="1" xfId="0" applyFont="1" applyBorder="1" applyAlignment="1">
      <alignment horizontal="center" vertical="center"/>
    </xf>
    <xf numFmtId="0" fontId="3" fillId="0" borderId="0" xfId="0" applyFont="1" applyAlignment="1">
      <alignment vertical="center"/>
    </xf>
    <xf numFmtId="0" fontId="9" fillId="0" borderId="1" xfId="0" applyFont="1" applyBorder="1" applyAlignment="1">
      <alignment horizontal="left" vertical="center" wrapText="1"/>
    </xf>
    <xf numFmtId="0" fontId="10" fillId="0" borderId="1" xfId="0" applyFont="1" applyBorder="1" applyAlignment="1">
      <alignment horizontal="left" vertical="center" wrapText="1"/>
    </xf>
    <xf numFmtId="0" fontId="6" fillId="0" borderId="1" xfId="0" applyFont="1" applyBorder="1" applyAlignment="1">
      <alignment horizontal="center" vertical="center"/>
    </xf>
    <xf numFmtId="166" fontId="5" fillId="0" borderId="1" xfId="0" applyNumberFormat="1" applyFont="1" applyBorder="1" applyAlignment="1">
      <alignment horizontal="left" vertical="center" wrapText="1"/>
    </xf>
    <xf numFmtId="0" fontId="11" fillId="2" borderId="1" xfId="0" applyFont="1" applyFill="1" applyBorder="1" applyAlignment="1">
      <alignment horizontal="center" vertical="center"/>
    </xf>
    <xf numFmtId="166" fontId="11" fillId="2" borderId="1" xfId="0" applyNumberFormat="1" applyFont="1" applyFill="1" applyBorder="1" applyAlignment="1">
      <alignment horizontal="center" vertical="center"/>
    </xf>
    <xf numFmtId="165" fontId="5" fillId="0" borderId="1" xfId="1" applyNumberFormat="1" applyFont="1" applyFill="1" applyBorder="1" applyAlignment="1">
      <alignment horizontal="left" vertical="center" wrapText="1"/>
    </xf>
    <xf numFmtId="0" fontId="6" fillId="3" borderId="1" xfId="0" applyFont="1" applyFill="1" applyBorder="1" applyAlignment="1">
      <alignment horizontal="center" vertical="center" wrapText="1"/>
    </xf>
    <xf numFmtId="166" fontId="6" fillId="3" borderId="1" xfId="1" applyNumberFormat="1" applyFont="1" applyFill="1" applyBorder="1" applyAlignment="1">
      <alignment horizontal="center" vertical="center" wrapText="1"/>
    </xf>
    <xf numFmtId="0" fontId="12" fillId="0" borderId="1" xfId="0" applyFont="1" applyBorder="1" applyAlignment="1">
      <alignment horizontal="left" vertical="center" wrapText="1"/>
    </xf>
    <xf numFmtId="0" fontId="13" fillId="0" borderId="1" xfId="0" applyFont="1" applyBorder="1" applyAlignment="1">
      <alignment horizontal="left" vertical="center" wrapText="1"/>
    </xf>
    <xf numFmtId="166" fontId="7" fillId="0" borderId="1" xfId="2" applyNumberFormat="1" applyFill="1" applyBorder="1" applyAlignment="1">
      <alignment horizontal="center" vertical="center" wrapText="1"/>
    </xf>
    <xf numFmtId="0" fontId="3" fillId="0" borderId="0" xfId="0" applyFont="1" applyAlignment="1">
      <alignment horizontal="center"/>
    </xf>
    <xf numFmtId="0" fontId="14" fillId="0" borderId="1" xfId="0" applyFont="1" applyBorder="1" applyAlignment="1">
      <alignment vertical="center" wrapText="1"/>
    </xf>
    <xf numFmtId="14" fontId="0" fillId="0" borderId="0" xfId="0" applyNumberFormat="1"/>
    <xf numFmtId="0" fontId="0" fillId="0" borderId="0" xfId="0" applyAlignment="1">
      <alignment horizontal="center"/>
    </xf>
    <xf numFmtId="0" fontId="16" fillId="0" borderId="0" xfId="0" applyFont="1" applyAlignment="1">
      <alignment horizontal="center"/>
    </xf>
    <xf numFmtId="2" fontId="0" fillId="0" borderId="0" xfId="0" applyNumberFormat="1"/>
    <xf numFmtId="2" fontId="17" fillId="0" borderId="0" xfId="0" applyNumberFormat="1" applyFont="1"/>
    <xf numFmtId="0" fontId="1" fillId="0" borderId="0" xfId="0" applyFont="1"/>
    <xf numFmtId="0" fontId="18" fillId="0" borderId="2" xfId="0" applyFont="1" applyBorder="1" applyAlignment="1">
      <alignment horizontal="center" vertical="center" wrapText="1"/>
    </xf>
    <xf numFmtId="3" fontId="18" fillId="0" borderId="3" xfId="0" applyNumberFormat="1" applyFont="1" applyBorder="1" applyAlignment="1">
      <alignment horizontal="right" vertical="center" wrapText="1"/>
    </xf>
    <xf numFmtId="0" fontId="18" fillId="0" borderId="4" xfId="0" applyFont="1" applyBorder="1" applyAlignment="1">
      <alignment horizontal="center" vertical="center" wrapText="1"/>
    </xf>
    <xf numFmtId="0" fontId="18" fillId="0" borderId="5" xfId="0" applyFont="1" applyBorder="1" applyAlignment="1">
      <alignment horizontal="right" vertical="center" wrapText="1"/>
    </xf>
    <xf numFmtId="3" fontId="3" fillId="0" borderId="0" xfId="0" applyNumberFormat="1" applyFont="1"/>
    <xf numFmtId="165" fontId="3" fillId="0" borderId="0" xfId="1" applyNumberFormat="1" applyFont="1" applyFill="1"/>
    <xf numFmtId="165" fontId="3" fillId="0" borderId="0" xfId="0" applyNumberFormat="1" applyFont="1"/>
    <xf numFmtId="0" fontId="19" fillId="0" borderId="0" xfId="0" applyFont="1" applyAlignment="1">
      <alignment horizontal="center" vertical="center"/>
    </xf>
    <xf numFmtId="0" fontId="0" fillId="0" borderId="0" xfId="0" applyAlignment="1">
      <alignment vertical="center"/>
    </xf>
    <xf numFmtId="0" fontId="19" fillId="0" borderId="1" xfId="0" applyFont="1" applyBorder="1" applyAlignment="1">
      <alignment horizontal="center" vertical="center"/>
    </xf>
    <xf numFmtId="0" fontId="21" fillId="0" borderId="1" xfId="0" applyFont="1" applyBorder="1" applyAlignment="1">
      <alignment horizontal="center" vertical="center"/>
    </xf>
    <xf numFmtId="0" fontId="20" fillId="0" borderId="1" xfId="0" applyFont="1" applyBorder="1" applyAlignment="1">
      <alignment vertical="center"/>
    </xf>
    <xf numFmtId="0" fontId="22" fillId="0" borderId="1" xfId="0" applyFont="1" applyBorder="1" applyAlignment="1">
      <alignment vertical="center"/>
    </xf>
    <xf numFmtId="0" fontId="22" fillId="0" borderId="1" xfId="0" applyFont="1" applyBorder="1" applyAlignment="1">
      <alignment vertical="center" wrapText="1"/>
    </xf>
    <xf numFmtId="0" fontId="23" fillId="0" borderId="1" xfId="0" applyFont="1" applyBorder="1" applyAlignment="1">
      <alignment horizontal="center" vertical="center"/>
    </xf>
    <xf numFmtId="0" fontId="26" fillId="0" borderId="0" xfId="0" applyFont="1"/>
    <xf numFmtId="0" fontId="25" fillId="0" borderId="0" xfId="0" applyFont="1" applyAlignment="1">
      <alignment vertical="center"/>
    </xf>
    <xf numFmtId="0" fontId="1" fillId="0" borderId="1" xfId="0" applyFont="1" applyBorder="1" applyAlignment="1">
      <alignment vertical="center"/>
    </xf>
    <xf numFmtId="0" fontId="28" fillId="0" borderId="0" xfId="0" applyFont="1" applyAlignment="1">
      <alignment horizontal="left"/>
    </xf>
    <xf numFmtId="0" fontId="29" fillId="0" borderId="0" xfId="0" quotePrefix="1" applyFont="1"/>
    <xf numFmtId="0" fontId="29" fillId="2" borderId="0" xfId="0" quotePrefix="1" applyFont="1" applyFill="1" applyAlignment="1">
      <alignment horizontal="center"/>
    </xf>
    <xf numFmtId="0" fontId="2" fillId="0" borderId="1" xfId="0" applyFont="1" applyBorder="1" applyAlignment="1">
      <alignment horizontal="center" vertical="center"/>
    </xf>
    <xf numFmtId="0" fontId="2" fillId="0" borderId="1" xfId="0" applyFont="1" applyBorder="1" applyAlignment="1">
      <alignment vertical="center"/>
    </xf>
    <xf numFmtId="0" fontId="30" fillId="0" borderId="1" xfId="0" applyFont="1" applyBorder="1" applyAlignment="1">
      <alignment horizontal="center" vertical="center"/>
    </xf>
    <xf numFmtId="0" fontId="30" fillId="0" borderId="1" xfId="0" applyFont="1" applyBorder="1" applyAlignment="1">
      <alignment vertical="center"/>
    </xf>
    <xf numFmtId="167" fontId="31" fillId="0" borderId="1" xfId="1" applyNumberFormat="1" applyFont="1" applyBorder="1" applyAlignment="1">
      <alignment vertical="center"/>
    </xf>
    <xf numFmtId="167" fontId="32" fillId="0" borderId="1" xfId="1" applyNumberFormat="1" applyFont="1" applyBorder="1" applyAlignment="1">
      <alignment vertical="center"/>
    </xf>
    <xf numFmtId="0" fontId="32" fillId="0" borderId="1" xfId="0" applyFont="1" applyBorder="1" applyAlignment="1">
      <alignment vertical="center"/>
    </xf>
    <xf numFmtId="0" fontId="30" fillId="0" borderId="1" xfId="0" quotePrefix="1" applyFont="1" applyBorder="1" applyAlignment="1">
      <alignment vertical="center"/>
    </xf>
    <xf numFmtId="167" fontId="31" fillId="2" borderId="1" xfId="1" applyNumberFormat="1" applyFont="1" applyFill="1" applyBorder="1" applyAlignment="1">
      <alignment vertical="center"/>
    </xf>
    <xf numFmtId="167" fontId="32" fillId="2" borderId="1" xfId="1" applyNumberFormat="1" applyFont="1" applyFill="1" applyBorder="1" applyAlignment="1">
      <alignment vertical="center"/>
    </xf>
    <xf numFmtId="0" fontId="30" fillId="0" borderId="0" xfId="0" applyFont="1" applyAlignment="1">
      <alignment horizontal="center"/>
    </xf>
    <xf numFmtId="0" fontId="30" fillId="0" borderId="0" xfId="0" applyFont="1"/>
    <xf numFmtId="0" fontId="2" fillId="2" borderId="0" xfId="0" applyFont="1" applyFill="1" applyAlignment="1">
      <alignment horizontal="right"/>
    </xf>
    <xf numFmtId="9" fontId="2" fillId="2" borderId="0" xfId="3" applyFont="1" applyFill="1"/>
    <xf numFmtId="165" fontId="0" fillId="0" borderId="0" xfId="1" applyNumberFormat="1" applyFont="1" applyAlignment="1">
      <alignment vertical="center"/>
    </xf>
    <xf numFmtId="0" fontId="33" fillId="0" borderId="1" xfId="0" applyFont="1" applyBorder="1" applyAlignment="1">
      <alignment horizontal="center" vertical="center"/>
    </xf>
    <xf numFmtId="0" fontId="34" fillId="0" borderId="1" xfId="0" applyFont="1" applyBorder="1" applyAlignment="1">
      <alignment vertical="center"/>
    </xf>
    <xf numFmtId="0" fontId="25" fillId="0" borderId="0" xfId="0" applyFont="1"/>
    <xf numFmtId="0" fontId="25" fillId="0" borderId="1" xfId="0" applyFont="1" applyBorder="1"/>
    <xf numFmtId="0" fontId="0" fillId="0" borderId="1" xfId="0" applyBorder="1" applyAlignment="1">
      <alignment horizontal="center"/>
    </xf>
    <xf numFmtId="0" fontId="35" fillId="0" borderId="0" xfId="0" applyFont="1"/>
    <xf numFmtId="0" fontId="36" fillId="0" borderId="1" xfId="0" applyFont="1" applyBorder="1"/>
    <xf numFmtId="0" fontId="37" fillId="0" borderId="1" xfId="0" applyFont="1" applyBorder="1" applyAlignment="1">
      <alignment horizontal="center"/>
    </xf>
    <xf numFmtId="0" fontId="38" fillId="0" borderId="1" xfId="0" applyFont="1" applyBorder="1" applyAlignment="1">
      <alignment horizontal="center"/>
    </xf>
    <xf numFmtId="0" fontId="39" fillId="0" borderId="0" xfId="0" applyFont="1"/>
    <xf numFmtId="0" fontId="41" fillId="0" borderId="0" xfId="0" applyFont="1"/>
    <xf numFmtId="3" fontId="40" fillId="0" borderId="3" xfId="0" applyNumberFormat="1" applyFont="1" applyBorder="1" applyAlignment="1">
      <alignment horizontal="right" vertical="center" wrapText="1"/>
    </xf>
    <xf numFmtId="3" fontId="18" fillId="0" borderId="5" xfId="0" applyNumberFormat="1" applyFont="1" applyBorder="1" applyAlignment="1">
      <alignment horizontal="right" vertical="center" wrapText="1"/>
    </xf>
    <xf numFmtId="0" fontId="25" fillId="0" borderId="1" xfId="0" applyFont="1" applyBorder="1" applyAlignment="1">
      <alignment horizontal="center"/>
    </xf>
    <xf numFmtId="0" fontId="0" fillId="0" borderId="1" xfId="0" applyBorder="1" applyAlignment="1">
      <alignment horizontal="left"/>
    </xf>
    <xf numFmtId="165" fontId="42" fillId="0" borderId="1" xfId="1" applyNumberFormat="1" applyFont="1" applyBorder="1" applyAlignment="1">
      <alignment horizontal="center"/>
    </xf>
    <xf numFmtId="0" fontId="43" fillId="0" borderId="0" xfId="0" applyFont="1"/>
    <xf numFmtId="0" fontId="44" fillId="0" borderId="0" xfId="0" applyFont="1"/>
    <xf numFmtId="0" fontId="45" fillId="0" borderId="0" xfId="2" applyNumberFormat="1" applyFont="1"/>
    <xf numFmtId="0" fontId="7" fillId="0" borderId="0" xfId="2" applyNumberFormat="1"/>
    <xf numFmtId="0" fontId="1" fillId="0" borderId="0" xfId="0" quotePrefix="1" applyFont="1" applyAlignment="1">
      <alignment vertical="center"/>
    </xf>
    <xf numFmtId="0" fontId="3" fillId="2" borderId="0" xfId="0" applyFont="1" applyFill="1"/>
    <xf numFmtId="0" fontId="47" fillId="0" borderId="1" xfId="0" applyFont="1" applyBorder="1" applyAlignment="1">
      <alignment vertical="center" wrapText="1"/>
    </xf>
    <xf numFmtId="0" fontId="7" fillId="0" borderId="0" xfId="2" applyNumberFormat="1" applyBorder="1"/>
    <xf numFmtId="14" fontId="19" fillId="2" borderId="9" xfId="0" quotePrefix="1" applyNumberFormat="1" applyFont="1" applyFill="1" applyBorder="1"/>
    <xf numFmtId="0" fontId="7" fillId="0" borderId="10" xfId="2" applyNumberFormat="1" applyBorder="1"/>
    <xf numFmtId="0" fontId="0" fillId="0" borderId="10" xfId="0" applyBorder="1"/>
    <xf numFmtId="0" fontId="0" fillId="0" borderId="11" xfId="0" applyBorder="1"/>
    <xf numFmtId="0" fontId="12" fillId="0" borderId="12" xfId="0" applyFont="1" applyBorder="1" applyAlignment="1">
      <alignment horizontal="center"/>
    </xf>
    <xf numFmtId="0" fontId="0" fillId="0" borderId="13" xfId="0" applyBorder="1"/>
    <xf numFmtId="14" fontId="12" fillId="0" borderId="12" xfId="0" applyNumberFormat="1" applyFont="1" applyBorder="1" applyAlignment="1">
      <alignment horizontal="center"/>
    </xf>
    <xf numFmtId="14" fontId="19" fillId="2" borderId="12" xfId="0" quotePrefix="1" applyNumberFormat="1" applyFont="1" applyFill="1" applyBorder="1"/>
    <xf numFmtId="14" fontId="12" fillId="0" borderId="14" xfId="0" applyNumberFormat="1" applyFont="1" applyBorder="1" applyAlignment="1">
      <alignment horizontal="center"/>
    </xf>
    <xf numFmtId="0" fontId="7" fillId="0" borderId="15" xfId="2" applyNumberFormat="1" applyBorder="1"/>
    <xf numFmtId="0" fontId="0" fillId="0" borderId="15" xfId="0" applyBorder="1"/>
    <xf numFmtId="0" fontId="0" fillId="0" borderId="16" xfId="0" applyBorder="1"/>
    <xf numFmtId="0" fontId="2" fillId="0" borderId="1" xfId="0" applyFont="1" applyBorder="1" applyAlignment="1">
      <alignment horizontal="center"/>
    </xf>
    <xf numFmtId="0" fontId="27" fillId="0" borderId="0" xfId="0" applyFont="1" applyAlignment="1">
      <alignment horizontal="center" vertical="center"/>
    </xf>
    <xf numFmtId="0" fontId="15" fillId="0" borderId="6" xfId="0" applyFont="1" applyBorder="1" applyAlignment="1">
      <alignment horizontal="left" vertical="center"/>
    </xf>
    <xf numFmtId="0" fontId="15" fillId="0" borderId="7" xfId="0" applyFont="1" applyBorder="1" applyAlignment="1">
      <alignment horizontal="left" vertical="center"/>
    </xf>
    <xf numFmtId="0" fontId="15" fillId="0" borderId="8" xfId="0" applyFont="1" applyBorder="1" applyAlignment="1">
      <alignment horizontal="left" vertical="center"/>
    </xf>
  </cellXfs>
  <cellStyles count="6">
    <cellStyle name="Comma" xfId="1" builtinId="3"/>
    <cellStyle name="Comma 2" xfId="5" xr:uid="{E2353519-B789-4418-B130-3EECF7B1F928}"/>
    <cellStyle name="Hyperlink" xfId="2" builtinId="8"/>
    <cellStyle name="Normal" xfId="0" builtinId="0" customBuiltin="1"/>
    <cellStyle name="Normal 2" xfId="4" xr:uid="{1B8E1E19-F70C-4FE5-854E-9F2C9F645364}"/>
    <cellStyle name="Percent" xfId="3" builtinId="5"/>
  </cellStyles>
  <dxfs count="0"/>
  <tableStyles count="0" defaultTableStyle="TableStyleMedium9" defaultPivotStyle="PivotStyleLight16"/>
  <colors>
    <mruColors>
      <color rgb="FFFFFFCC"/>
      <color rgb="FF33CC33"/>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hyperlink" Target="file:///D:\COURSES\8.%20BLender" TargetMode="External"/><Relationship Id="rId3" Type="http://schemas.openxmlformats.org/officeDocument/2006/relationships/hyperlink" Target="../Documents/OLAttachments" TargetMode="External"/><Relationship Id="rId7" Type="http://schemas.openxmlformats.org/officeDocument/2006/relationships/hyperlink" Target="file:///D:\COURSES\1.%20Udemy%20-%20ROS%20Tutorials" TargetMode="External"/><Relationship Id="rId2" Type="http://schemas.openxmlformats.org/officeDocument/2006/relationships/hyperlink" Target="file:///\\cclserver\DATA\P%202020\03%20CR%20Projects\" TargetMode="External"/><Relationship Id="rId1" Type="http://schemas.openxmlformats.org/officeDocument/2006/relationships/hyperlink" Target="file:///\\cclserver\DATA\Q%202020\CCL%20STRENGTHENING" TargetMode="External"/><Relationship Id="rId6" Type="http://schemas.openxmlformats.org/officeDocument/2006/relationships/hyperlink" Target="file:///D:\COURSES\0.%20Unity%20From%20ZERO\5.%20Cinemachine%20and%20Character%20Model" TargetMode="External"/><Relationship Id="rId5" Type="http://schemas.openxmlformats.org/officeDocument/2006/relationships/hyperlink" Target="file:///D:\OPERATIONS" TargetMode="External"/><Relationship Id="rId4" Type="http://schemas.openxmlformats.org/officeDocument/2006/relationships/hyperlink" Target="file:///\\cclserver\DATA\P%202020\01%20Dubai\"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0</xdr:col>
      <xdr:colOff>608428</xdr:colOff>
      <xdr:row>1</xdr:row>
      <xdr:rowOff>2143</xdr:rowOff>
    </xdr:from>
    <xdr:ext cx="4328814" cy="937629"/>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608428" y="182060"/>
          <a:ext cx="4328814" cy="937629"/>
        </a:xfrm>
        <a:prstGeom prst="rect">
          <a:avLst/>
        </a:prstGeom>
        <a:solidFill>
          <a:srgbClr val="FFFF00"/>
        </a:solidFill>
      </xdr:spPr>
      <xdr:style>
        <a:lnRef idx="2">
          <a:schemeClr val="accent2"/>
        </a:lnRef>
        <a:fillRef idx="1">
          <a:schemeClr val="lt1"/>
        </a:fillRef>
        <a:effectRef idx="0">
          <a:schemeClr val="accent2"/>
        </a:effectRef>
        <a:fontRef idx="minor">
          <a:schemeClr val="dk1"/>
        </a:fontRef>
      </xdr:style>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CR Quotations</a:t>
          </a:r>
        </a:p>
      </xdr:txBody>
    </xdr:sp>
    <xdr:clientData/>
  </xdr:oneCellAnchor>
  <xdr:oneCellAnchor>
    <xdr:from>
      <xdr:col>1</xdr:col>
      <xdr:colOff>466928</xdr:colOff>
      <xdr:row>7</xdr:row>
      <xdr:rowOff>31750</xdr:rowOff>
    </xdr:from>
    <xdr:ext cx="3416128" cy="937629"/>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1080761" y="1291167"/>
          <a:ext cx="3416128" cy="937629"/>
        </a:xfrm>
        <a:prstGeom prst="rect">
          <a:avLst/>
        </a:prstGeom>
        <a:solidFill>
          <a:srgbClr val="92D050"/>
        </a:solidFill>
      </xdr:spPr>
      <xdr:style>
        <a:lnRef idx="2">
          <a:schemeClr val="accent2"/>
        </a:lnRef>
        <a:fillRef idx="1">
          <a:schemeClr val="lt1"/>
        </a:fillRef>
        <a:effectRef idx="0">
          <a:schemeClr val="accent2"/>
        </a:effectRef>
        <a:fontRef idx="minor">
          <a:schemeClr val="dk1"/>
        </a:fontRef>
      </xdr:style>
      <xdr:txBody>
        <a:bodyPr wrap="none" lIns="91440" tIns="45720" rIns="91440" bIns="45720">
          <a:spAutoFit/>
        </a:bodyPr>
        <a:lstStyle/>
        <a:p>
          <a:pPr algn="ctr"/>
          <a:r>
            <a:rPr lang="en-US" sz="5400" b="1" cap="none" spc="0">
              <a:ln w="22225">
                <a:solidFill>
                  <a:schemeClr val="accent2"/>
                </a:solidFill>
                <a:prstDash val="solid"/>
              </a:ln>
              <a:solidFill>
                <a:srgbClr val="FFFF00"/>
              </a:solidFill>
              <a:effectLst/>
            </a:rPr>
            <a:t>CR Projects</a:t>
          </a:r>
        </a:p>
      </xdr:txBody>
    </xdr:sp>
    <xdr:clientData/>
  </xdr:oneCellAnchor>
  <mc:AlternateContent xmlns:mc="http://schemas.openxmlformats.org/markup-compatibility/2006">
    <mc:Choice xmlns:a14="http://schemas.microsoft.com/office/drawing/2010/main" Requires="a14">
      <xdr:twoCellAnchor editAs="absolute">
        <xdr:from>
          <xdr:col>10</xdr:col>
          <xdr:colOff>0</xdr:colOff>
          <xdr:row>1</xdr:row>
          <xdr:rowOff>19050</xdr:rowOff>
        </xdr:from>
        <xdr:to>
          <xdr:col>16</xdr:col>
          <xdr:colOff>428625</xdr:colOff>
          <xdr:row>2</xdr:row>
          <xdr:rowOff>123825</xdr:rowOff>
        </xdr:to>
        <xdr:sp macro="" textlink="">
          <xdr:nvSpPr>
            <xdr:cNvPr id="1026" name="cboNew"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599650</xdr:colOff>
      <xdr:row>14</xdr:row>
      <xdr:rowOff>42333</xdr:rowOff>
    </xdr:from>
    <xdr:ext cx="2767168" cy="718466"/>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0100-000007000000}"/>
            </a:ext>
          </a:extLst>
        </xdr:cNvPr>
        <xdr:cNvSpPr/>
      </xdr:nvSpPr>
      <xdr:spPr>
        <a:xfrm>
          <a:off x="1213483" y="2561166"/>
          <a:ext cx="2767168" cy="718466"/>
        </a:xfrm>
        <a:prstGeom prst="rect">
          <a:avLst/>
        </a:prstGeom>
      </xdr:spPr>
      <xdr:style>
        <a:lnRef idx="2">
          <a:schemeClr val="accent1"/>
        </a:lnRef>
        <a:fillRef idx="1">
          <a:schemeClr val="lt1"/>
        </a:fillRef>
        <a:effectRef idx="0">
          <a:schemeClr val="accent1"/>
        </a:effectRef>
        <a:fontRef idx="minor">
          <a:schemeClr val="dk1"/>
        </a:fontRef>
      </xdr:style>
      <xdr:txBody>
        <a:bodyPr wrap="none" lIns="91440" tIns="45720" rIns="91440" bIns="45720">
          <a:spAutoFit/>
        </a:bodyPr>
        <a:lstStyle/>
        <a:p>
          <a:pPr algn="ctr"/>
          <a:r>
            <a:rPr lang="en-US" sz="4000" b="0" cap="none" spc="0">
              <a:ln w="0"/>
              <a:solidFill>
                <a:schemeClr val="accent1"/>
              </a:solidFill>
              <a:effectLst>
                <a:outerShdw blurRad="38100" dist="25400" dir="5400000" algn="ctr" rotWithShape="0">
                  <a:srgbClr val="6E747A">
                    <a:alpha val="43000"/>
                  </a:srgbClr>
                </a:outerShdw>
              </a:effectLst>
            </a:rPr>
            <a:t>Saved Items</a:t>
          </a:r>
        </a:p>
      </xdr:txBody>
    </xdr:sp>
    <xdr:clientData/>
  </xdr:oneCellAnchor>
  <xdr:oneCellAnchor>
    <xdr:from>
      <xdr:col>8</xdr:col>
      <xdr:colOff>234140</xdr:colOff>
      <xdr:row>3</xdr:row>
      <xdr:rowOff>105833</xdr:rowOff>
    </xdr:from>
    <xdr:ext cx="3371180" cy="937629"/>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5144807" y="645583"/>
          <a:ext cx="3371180" cy="937629"/>
        </a:xfrm>
        <a:prstGeom prst="rect">
          <a:avLst/>
        </a:prstGeom>
        <a:solidFill>
          <a:srgbClr val="FFFF00"/>
        </a:solidFill>
      </xdr:spPr>
      <xdr:style>
        <a:lnRef idx="2">
          <a:schemeClr val="accent2"/>
        </a:lnRef>
        <a:fillRef idx="1">
          <a:schemeClr val="lt1"/>
        </a:fillRef>
        <a:effectRef idx="0">
          <a:schemeClr val="accent2"/>
        </a:effectRef>
        <a:fontRef idx="minor">
          <a:schemeClr val="dk1"/>
        </a:fontRef>
      </xdr:style>
      <xdr:txBody>
        <a:bodyPr wrap="none" lIns="91440" tIns="45720" rIns="91440" bIns="45720">
          <a:spAutoFit/>
        </a:bodyPr>
        <a:lstStyle/>
        <a:p>
          <a:pPr algn="ctr"/>
          <a:r>
            <a:rPr lang="en-US"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PT Projects</a:t>
          </a:r>
        </a:p>
      </xdr:txBody>
    </xdr:sp>
    <xdr:clientData/>
  </xdr:oneCellAnchor>
  <xdr:oneCellAnchor>
    <xdr:from>
      <xdr:col>7</xdr:col>
      <xdr:colOff>465784</xdr:colOff>
      <xdr:row>9</xdr:row>
      <xdr:rowOff>127000</xdr:rowOff>
    </xdr:from>
    <xdr:ext cx="3391570" cy="937629"/>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0100-000009000000}"/>
            </a:ext>
          </a:extLst>
        </xdr:cNvPr>
        <xdr:cNvSpPr/>
      </xdr:nvSpPr>
      <xdr:spPr>
        <a:xfrm>
          <a:off x="4762617" y="1746250"/>
          <a:ext cx="3391570" cy="937629"/>
        </a:xfrm>
        <a:prstGeom prst="rect">
          <a:avLst/>
        </a:prstGeom>
      </xdr:spPr>
      <xdr:style>
        <a:lnRef idx="0">
          <a:schemeClr val="accent1"/>
        </a:lnRef>
        <a:fillRef idx="3">
          <a:schemeClr val="accent1"/>
        </a:fillRef>
        <a:effectRef idx="3">
          <a:schemeClr val="accent1"/>
        </a:effectRef>
        <a:fontRef idx="minor">
          <a:schemeClr val="lt1"/>
        </a:fontRef>
      </xdr:style>
      <xdr:txBody>
        <a:bodyPr wrap="none" lIns="91440" tIns="45720" rIns="91440" bIns="45720">
          <a:spAutoFit/>
        </a:bodyPr>
        <a:lstStyle/>
        <a:p>
          <a:pPr algn="ctr"/>
          <a:r>
            <a:rPr lang="en-US" sz="5400" b="1" cap="none" spc="0">
              <a:ln w="6600">
                <a:solidFill>
                  <a:schemeClr val="accent2"/>
                </a:solidFill>
                <a:prstDash val="solid"/>
              </a:ln>
              <a:solidFill>
                <a:srgbClr val="FFFFFF"/>
              </a:solidFill>
              <a:effectLst>
                <a:outerShdw dist="38100" dir="2700000" algn="tl" rotWithShape="0">
                  <a:schemeClr val="accent2"/>
                </a:outerShdw>
              </a:effectLst>
            </a:rPr>
            <a:t>Operations</a:t>
          </a:r>
        </a:p>
      </xdr:txBody>
    </xdr:sp>
    <xdr:clientData/>
  </xdr:oneCellAnchor>
  <xdr:oneCellAnchor>
    <xdr:from>
      <xdr:col>1</xdr:col>
      <xdr:colOff>599016</xdr:colOff>
      <xdr:row>19</xdr:row>
      <xdr:rowOff>10583</xdr:rowOff>
    </xdr:from>
    <xdr:ext cx="2161810" cy="718466"/>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1212849" y="3429000"/>
          <a:ext cx="2161810" cy="718466"/>
        </a:xfrm>
        <a:prstGeom prst="rect">
          <a:avLst/>
        </a:prstGeom>
        <a:solidFill>
          <a:srgbClr val="FFC000"/>
        </a:solidFill>
      </xdr:spPr>
      <xdr:style>
        <a:lnRef idx="2">
          <a:schemeClr val="accent1"/>
        </a:lnRef>
        <a:fillRef idx="1">
          <a:schemeClr val="lt1"/>
        </a:fillRef>
        <a:effectRef idx="0">
          <a:schemeClr val="accent1"/>
        </a:effectRef>
        <a:fontRef idx="minor">
          <a:schemeClr val="dk1"/>
        </a:fontRef>
      </xdr:style>
      <xdr:txBody>
        <a:bodyPr wrap="none" lIns="91440" tIns="45720" rIns="91440" bIns="45720">
          <a:spAutoFit/>
        </a:bodyPr>
        <a:lstStyle/>
        <a:p>
          <a:pPr algn="ctr"/>
          <a:r>
            <a:rPr lang="en-US" sz="4000" b="1" cap="none" spc="0">
              <a:ln w="0"/>
              <a:solidFill>
                <a:srgbClr val="0070C0"/>
              </a:solidFill>
              <a:effectLst>
                <a:outerShdw blurRad="38100" dist="25400" dir="5400000" algn="ctr" rotWithShape="0">
                  <a:srgbClr val="6E747A">
                    <a:alpha val="43000"/>
                  </a:srgbClr>
                </a:outerShdw>
              </a:effectLst>
            </a:rPr>
            <a:t>COURSES</a:t>
          </a:r>
        </a:p>
      </xdr:txBody>
    </xdr:sp>
    <xdr:clientData/>
  </xdr:oneCellAnchor>
  <xdr:oneCellAnchor>
    <xdr:from>
      <xdr:col>6</xdr:col>
      <xdr:colOff>517760</xdr:colOff>
      <xdr:row>15</xdr:row>
      <xdr:rowOff>137583</xdr:rowOff>
    </xdr:from>
    <xdr:ext cx="1062791" cy="718466"/>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200760" y="2836333"/>
          <a:ext cx="1062791" cy="718466"/>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none" lIns="91440" tIns="45720" rIns="91440" bIns="45720">
          <a:spAutoFit/>
        </a:bodyPr>
        <a:lstStyle/>
        <a:p>
          <a:pPr algn="ctr"/>
          <a:r>
            <a:rPr lang="en-US" sz="4000" b="1" cap="none" spc="0">
              <a:ln w="0"/>
              <a:solidFill>
                <a:srgbClr val="FFFF00"/>
              </a:solidFill>
              <a:effectLst>
                <a:outerShdw blurRad="38100" dist="25400" dir="5400000" algn="ctr" rotWithShape="0">
                  <a:srgbClr val="6E747A">
                    <a:alpha val="43000"/>
                  </a:srgbClr>
                </a:outerShdw>
              </a:effectLst>
            </a:rPr>
            <a:t>ROS</a:t>
          </a:r>
        </a:p>
      </xdr:txBody>
    </xdr:sp>
    <xdr:clientData/>
  </xdr:oneCellAnchor>
  <xdr:oneCellAnchor>
    <xdr:from>
      <xdr:col>9</xdr:col>
      <xdr:colOff>368826</xdr:colOff>
      <xdr:row>17</xdr:row>
      <xdr:rowOff>137584</xdr:rowOff>
    </xdr:from>
    <xdr:ext cx="1847493" cy="718466"/>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893326" y="3196167"/>
          <a:ext cx="1847493" cy="718466"/>
        </a:xfrm>
        <a:prstGeom prst="rect">
          <a:avLst/>
        </a:prstGeom>
        <a:solidFill>
          <a:schemeClr val="accent4">
            <a:lumMod val="75000"/>
          </a:schemeClr>
        </a:solidFill>
      </xdr:spPr>
      <xdr:style>
        <a:lnRef idx="2">
          <a:schemeClr val="accent1"/>
        </a:lnRef>
        <a:fillRef idx="1">
          <a:schemeClr val="lt1"/>
        </a:fillRef>
        <a:effectRef idx="0">
          <a:schemeClr val="accent1"/>
        </a:effectRef>
        <a:fontRef idx="minor">
          <a:schemeClr val="dk1"/>
        </a:fontRef>
      </xdr:style>
      <xdr:txBody>
        <a:bodyPr wrap="none" lIns="91440" tIns="45720" rIns="91440" bIns="45720">
          <a:spAutoFit/>
        </a:bodyPr>
        <a:lstStyle/>
        <a:p>
          <a:pPr algn="ctr"/>
          <a:r>
            <a:rPr lang="en-US" sz="4000" b="1" cap="none" spc="0">
              <a:ln w="0"/>
              <a:solidFill>
                <a:srgbClr val="FFFF00"/>
              </a:solidFill>
              <a:effectLst>
                <a:outerShdw blurRad="38100" dist="25400" dir="5400000" algn="ctr" rotWithShape="0">
                  <a:srgbClr val="6E747A">
                    <a:alpha val="43000"/>
                  </a:srgbClr>
                </a:outerShdw>
              </a:effectLst>
            </a:rPr>
            <a:t>Blender</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A30D63A-F345-4320-A7FA-8BC759B256C9}">
  <we:reference id="wa104380862" version="1.5.0.0" store="en-001" storeType="OMEX"/>
  <we:alternateReferences>
    <we:reference id="wa104380862" version="1.5.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_xldudf_SCRIPTLAB_BLANKSNIPPET_ADD10</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17" Type="http://schemas.openxmlformats.org/officeDocument/2006/relationships/hyperlink" Target="file:///\\cclserver\DATA\Q%202020\CCL%20STRENGTHENING\Dubai\2023\R1.5574.23%20Palm%20Beach%20Towers" TargetMode="External"/><Relationship Id="rId21" Type="http://schemas.openxmlformats.org/officeDocument/2006/relationships/hyperlink" Target="file:///\\cclserver\DATA\Q%202020\CCL%20STRENGTHENING\Dubai\2023\R1.5561.23%20CP01-13%20Meydan%20One" TargetMode="External"/><Relationship Id="rId324" Type="http://schemas.openxmlformats.org/officeDocument/2006/relationships/hyperlink" Target="file:///\\cclserver\DATA\P%202020\03%20CR%20Projects\06-21-CR-005%20Marsa%20Al%20Arab\Construction%20phase" TargetMode="External"/><Relationship Id="rId531" Type="http://schemas.openxmlformats.org/officeDocument/2006/relationships/hyperlink" Target="file:///\\cclserver\DATA\P%202020\03%20CR%20Projects\06-20-CR-002%20MEDORE%20Tower\Construction%20Phase\" TargetMode="External"/><Relationship Id="rId629" Type="http://schemas.openxmlformats.org/officeDocument/2006/relationships/hyperlink" Target="file:///\\cclserver\DATA\P%202020\03%20CR%20Projects\06-22-CR-017%20Addax%20Tower" TargetMode="External"/><Relationship Id="rId170" Type="http://schemas.openxmlformats.org/officeDocument/2006/relationships/hyperlink" Target="file:///\\cclserver\DATA\Q%202020\CCL%20STRENGTHENING\Dubai\2023\R1.5567.23%20CP03-005" TargetMode="External"/><Relationship Id="rId268" Type="http://schemas.openxmlformats.org/officeDocument/2006/relationships/hyperlink" Target="file:///\\cclserver\DATA\P%202020\03%20CR%20Projects\06-21-CR-005%20Marsa%20Al%20Arab\Construction%20phase" TargetMode="External"/><Relationship Id="rId475" Type="http://schemas.openxmlformats.org/officeDocument/2006/relationships/hyperlink" Target="file:///\\cclserver\DATA\P%202020\03%20CR%20Projects\06-22-CR-017%20Addax%20Tower" TargetMode="External"/><Relationship Id="rId32" Type="http://schemas.openxmlformats.org/officeDocument/2006/relationships/hyperlink" Target="file:///\\cclserver\DATA\Q%202020\CCL%20STRENGTHENING\Dubai\2021\R1.5261.21%20Al%20Wasl%20Tower" TargetMode="External"/><Relationship Id="rId128" Type="http://schemas.openxmlformats.org/officeDocument/2006/relationships/hyperlink" Target="file:///\\cclserver\DATA\P%202020\03%20CR%20Projects\06-21-CR-005%20Marsa%20Al%20Arab\Construction%20phase" TargetMode="External"/><Relationship Id="rId335" Type="http://schemas.openxmlformats.org/officeDocument/2006/relationships/hyperlink" Target="file:///\\cclserver\DATA\Q%202020\CCL%20STRENGTHENING\Dubai\2023\R1.5516.23%20Burjuman%20Mall%20Refurbishment" TargetMode="External"/><Relationship Id="rId542" Type="http://schemas.openxmlformats.org/officeDocument/2006/relationships/hyperlink" Target="file:///\\cclserver\DATA\P%202020\01%20Dubai\06-14-BU-004%20Profile%20Residence\Construction%20Phase\CR\" TargetMode="External"/><Relationship Id="rId181" Type="http://schemas.openxmlformats.org/officeDocument/2006/relationships/hyperlink" Target="file:///\\cclserver\DATA\P%202020\03%20CR%20Projects\06-21-CR-005%20Marsa%20Al%20Arab\Construction%20phase" TargetMode="External"/><Relationship Id="rId402" Type="http://schemas.openxmlformats.org/officeDocument/2006/relationships/hyperlink" Target="file:///\\cclserver\DATA\P%202020\03%20CR%20Projects\06-22-CR-017%20Addax%20Tower" TargetMode="External"/><Relationship Id="rId279" Type="http://schemas.openxmlformats.org/officeDocument/2006/relationships/hyperlink" Target="file:///\\cclserver\DATA\P%202020\03%20CR%20Projects\06-22-CR-006%20Prayer%20hall%20Al-Quoz%20(Towers%20United)" TargetMode="External"/><Relationship Id="rId486" Type="http://schemas.openxmlformats.org/officeDocument/2006/relationships/hyperlink" Target="file:///\\cclserver\DATA\P%202020\03%20CR%20Projects\06-22-CR-004%20G+1%20Private%20Villa%20&amp;%20Majlis" TargetMode="External"/><Relationship Id="rId43" Type="http://schemas.openxmlformats.org/officeDocument/2006/relationships/hyperlink" Target="file:///\\cclserver\DATA\P%202020\03%20CR%20Projects\06-22-CR-009%20Profile%20Residence" TargetMode="External"/><Relationship Id="rId139" Type="http://schemas.openxmlformats.org/officeDocument/2006/relationships/hyperlink" Target="file:///\\cclserver\DATA\Q%202020\CCL%20STRENGTHENING\Dubai\2023\R1.5561.23%20CP01-13%20Meydan%20One" TargetMode="External"/><Relationship Id="rId346" Type="http://schemas.openxmlformats.org/officeDocument/2006/relationships/hyperlink" Target="file:///\\cclserver\DATA\P%202020\03%20CR%20Projects\06-21-CR-005%20Marsa%20Al%20Arab\Construction%20phase" TargetMode="External"/><Relationship Id="rId553" Type="http://schemas.openxmlformats.org/officeDocument/2006/relationships/hyperlink" Target="file:///\\cclserver\DATA\P%202020\03%20CR%20Projects\06-20-CR-002%20MEDORE%20Tower\Construction%20Phase\" TargetMode="External"/><Relationship Id="rId192" Type="http://schemas.openxmlformats.org/officeDocument/2006/relationships/hyperlink" Target="file:///\\cclserver\DATA\P%202020\03%20CR%20Projects\06-20-CR-002%20MEDORE%20Tower\Construction%20Phase\" TargetMode="External"/><Relationship Id="rId206" Type="http://schemas.openxmlformats.org/officeDocument/2006/relationships/hyperlink" Target="file:///\\cclserver\DATA\P%202020\03%20CR%20Projects\06-22-CR-011%20Park%20Avenue%203%20(Azizi)" TargetMode="External"/><Relationship Id="rId413" Type="http://schemas.openxmlformats.org/officeDocument/2006/relationships/hyperlink" Target="file:///\\cclserver\DATA\P%202020\03%20CR%20Projects\06-22-CR-017%20Addax%20Tower" TargetMode="External"/><Relationship Id="rId497" Type="http://schemas.openxmlformats.org/officeDocument/2006/relationships/hyperlink" Target="file:///\\cclserver\DATA\P%202020\03%20CR%20Projects\06-22-CR-014%20Saudi%20German%20Hospital%20Mirdif" TargetMode="External"/><Relationship Id="rId620" Type="http://schemas.openxmlformats.org/officeDocument/2006/relationships/hyperlink" Target="file:///\\cclserver\DATA\P%202020\03%20CR%20Projects\06-20-CR-002%20MEDORE%20Tower\Construction%20Phase\" TargetMode="External"/><Relationship Id="rId357" Type="http://schemas.openxmlformats.org/officeDocument/2006/relationships/hyperlink" Target="file:///\\cclserver\DATA\Q%202020\CCL%20STRENGTHENING\Dubai\2023\R1.5516.23%20Burjuman%20Mall%20Refurbishment" TargetMode="External"/><Relationship Id="rId54" Type="http://schemas.openxmlformats.org/officeDocument/2006/relationships/hyperlink" Target="file:///\\cclserver\DATA\P%202020\03%20CR%20Projects\06-21-CR-005%20Marsa%20Al%20Arab\Construction%20phase" TargetMode="External"/><Relationship Id="rId217" Type="http://schemas.openxmlformats.org/officeDocument/2006/relationships/hyperlink" Target="file:///\\cclserver\DATA\P%202020\03%20CR%20Projects\06-21-CR-005%20Marsa%20Al%20Arab\Construction%20phase" TargetMode="External"/><Relationship Id="rId564" Type="http://schemas.openxmlformats.org/officeDocument/2006/relationships/hyperlink" Target="file:///\\cclserver\DATA\P%202020\03%20CR%20Projects\06-22-CR-006%20Prayer%20hall%20Al-Quoz%20(Towers%20United)" TargetMode="External"/><Relationship Id="rId424" Type="http://schemas.openxmlformats.org/officeDocument/2006/relationships/hyperlink" Target="file:///\\cclserver\DATA\P%202020\03%20CR%20Projects\06-22-CR-017%20Addax%20Tower" TargetMode="External"/><Relationship Id="rId631" Type="http://schemas.openxmlformats.org/officeDocument/2006/relationships/hyperlink" Target="file:///\\cclserver\DATA\P%202020\03%20CR%20Projects\06-20-CR-002%20MEDORE%20Tower\Construction%20Phase\" TargetMode="External"/><Relationship Id="rId270" Type="http://schemas.openxmlformats.org/officeDocument/2006/relationships/hyperlink" Target="file:///\\cclserver\DATA\Q%202020\CCL%20STRENGTHENING\Dubai\2023\R1.5516.23%20Burjuman%20Mall%20Refurbishment" TargetMode="External"/><Relationship Id="rId65" Type="http://schemas.openxmlformats.org/officeDocument/2006/relationships/hyperlink" Target="file:///\\cclserver\DATA\Q%202020\CCL%20STRENGTHENING\Dubai\2021\R1.5261.21%20Al%20Wasl%20Tower" TargetMode="External"/><Relationship Id="rId130" Type="http://schemas.openxmlformats.org/officeDocument/2006/relationships/hyperlink" Target="file:///\\cclserver\DATA\P%202020\03%20CR%20Projects\06-21-CR-005%20Marsa%20Al%20Arab\Construction%20phase" TargetMode="External"/><Relationship Id="rId368" Type="http://schemas.openxmlformats.org/officeDocument/2006/relationships/hyperlink" Target="file:///\\cclserver\DATA\P%202020\03%20CR%20Projects\06-22-CR-017%20Addax%20Tower" TargetMode="External"/><Relationship Id="rId575" Type="http://schemas.openxmlformats.org/officeDocument/2006/relationships/hyperlink" Target="file:///\\cclserver\DATA\P%202020\03%20CR%20Projects\06-20-CR-002%20MEDORE%20Tower\Construction%20Phase\" TargetMode="External"/><Relationship Id="rId228" Type="http://schemas.openxmlformats.org/officeDocument/2006/relationships/hyperlink" Target="file:///\\cclserver\DATA\P%202020\03%20CR%20Projects\06-22-CR-011%20Park%20Avenue%203%20(Azizi)" TargetMode="External"/><Relationship Id="rId435" Type="http://schemas.openxmlformats.org/officeDocument/2006/relationships/hyperlink" Target="file:///\\cclserver\DATA\P%202020\03%20CR%20Projects\06-22-CR-014%20Saudi%20German%20Hospital%20Mirdif" TargetMode="External"/><Relationship Id="rId642" Type="http://schemas.openxmlformats.org/officeDocument/2006/relationships/hyperlink" Target="file:///\\cclserver\DATA\P%202020\03%20CR%20Projects\06-22-CR-014%20Saudi%20German%20Hospital%20Mirdif" TargetMode="External"/><Relationship Id="rId281" Type="http://schemas.openxmlformats.org/officeDocument/2006/relationships/hyperlink" Target="file:///\\cclserver\DATA\P%202020\03%20CR%20Projects\06-22-CR-017%20Addax%20Tower" TargetMode="External"/><Relationship Id="rId502" Type="http://schemas.openxmlformats.org/officeDocument/2006/relationships/hyperlink" Target="file:///\\cclserver\DATA\Q%202020\CCL%20STRENGTHENING\Dubai\2021\R1.5261.21%20Al%20Wasl%20Tower" TargetMode="External"/><Relationship Id="rId76" Type="http://schemas.openxmlformats.org/officeDocument/2006/relationships/hyperlink" Target="file:///\\cclserver\DATA\P%202020\03%20CR%20Projects\06-20-CR-002%20MEDORE%20Tower\Construction%20Phase\" TargetMode="External"/><Relationship Id="rId141" Type="http://schemas.openxmlformats.org/officeDocument/2006/relationships/hyperlink" Target="file:///\\cclserver\DATA\P%202020\03%20CR%20Projects\06-21-CR-005%20Marsa%20Al%20Arab\Construction%20phase" TargetMode="External"/><Relationship Id="rId379" Type="http://schemas.openxmlformats.org/officeDocument/2006/relationships/hyperlink" Target="file:///\\cclserver\DATA\P%202020\03%20CR%20Projects\06-22-CR-009%20Profile%20Residence" TargetMode="External"/><Relationship Id="rId586" Type="http://schemas.openxmlformats.org/officeDocument/2006/relationships/hyperlink" Target="file:///\\cclserver\DATA\Q%202020\CCL%20STRENGTHENING\Dubai\2022\R1.5399.22%20Nakheel%20Mall%20Redevelopment" TargetMode="External"/><Relationship Id="rId7" Type="http://schemas.openxmlformats.org/officeDocument/2006/relationships/hyperlink" Target="file:///\\cclserver\DATA\P%202020\03%20CR%20Projects\06-21-CR-005%20Marsa%20Al%20Arab\Construction%20phase" TargetMode="External"/><Relationship Id="rId239" Type="http://schemas.openxmlformats.org/officeDocument/2006/relationships/hyperlink" Target="file:///\\cclserver\DATA\P%202020\03%20CR%20Projects\06-22-CR-009%20Profile%20Residence" TargetMode="External"/><Relationship Id="rId446" Type="http://schemas.openxmlformats.org/officeDocument/2006/relationships/hyperlink" Target="file:///\\cclserver\DATA\Q%202020\CCL%20STRENGTHENING\Dubai\2023\R1.5537.23%20Astoria%20Tower%20Habtoor%20City" TargetMode="External"/><Relationship Id="rId653" Type="http://schemas.openxmlformats.org/officeDocument/2006/relationships/hyperlink" Target="file:///\\cclserver\DATA\P%202020\01%20Dubai\06-14-BU-004%20Profile%20Residence\Construction%20Phase\CR\" TargetMode="External"/><Relationship Id="rId292" Type="http://schemas.openxmlformats.org/officeDocument/2006/relationships/hyperlink" Target="file:///\\cclserver\DATA\Q%202020\CCL%20STRENGTHENING\Dubai\2023\R1.5551.23%20Villa%20P69%20@%20Emirates%20Hills" TargetMode="External"/><Relationship Id="rId306" Type="http://schemas.openxmlformats.org/officeDocument/2006/relationships/hyperlink" Target="file:///\\cclserver\DATA\P%202020\03%20CR%20Projects\06-22-CR-009%20Profile%20Residence" TargetMode="External"/><Relationship Id="rId87" Type="http://schemas.openxmlformats.org/officeDocument/2006/relationships/hyperlink" Target="file:///\\cclserver\DATA\P%202020\03%20CR%20Projects\06-22-CR-011%20Park%20Avenue%203%20(Azizi)" TargetMode="External"/><Relationship Id="rId513" Type="http://schemas.openxmlformats.org/officeDocument/2006/relationships/hyperlink" Target="file:///\\cclserver\DATA\P%202020\03%20CR%20Projects\06-22-CR-017%20Addax%20Tower" TargetMode="External"/><Relationship Id="rId597" Type="http://schemas.openxmlformats.org/officeDocument/2006/relationships/hyperlink" Target="file:///\\cclserver\DATA\P%202020\03%20CR%20Projects\06-22-CR-014%20Saudi%20German%20Hospital%20Mirdif" TargetMode="External"/><Relationship Id="rId152" Type="http://schemas.openxmlformats.org/officeDocument/2006/relationships/hyperlink" Target="file:///\\cclserver\DATA\P%202020\03%20CR%20Projects\06-22-CR-006%20Prayer%20hall%20Al-Quoz%20(Towers%20United)" TargetMode="External"/><Relationship Id="rId457" Type="http://schemas.openxmlformats.org/officeDocument/2006/relationships/hyperlink" Target="file:///\\cclserver\DATA\P%202020\03%20CR%20Projects\06-19-CR-007%20Latifa%20Tower" TargetMode="External"/><Relationship Id="rId14" Type="http://schemas.openxmlformats.org/officeDocument/2006/relationships/hyperlink" Target="file:///\\cclserver\DATA\Q%202020\CCL%20STRENGTHENING\Dubai\2023\R1.5561.23%20CP01-13%20Meydan%20One" TargetMode="External"/><Relationship Id="rId317" Type="http://schemas.openxmlformats.org/officeDocument/2006/relationships/hyperlink" Target="file:///\\cclserver\DATA\P%202020\03%20CR%20Projects\06-22-CR-006%20Prayer%20hall%20Al-Quoz%20(Towers%20United)" TargetMode="External"/><Relationship Id="rId524" Type="http://schemas.openxmlformats.org/officeDocument/2006/relationships/hyperlink" Target="file:///\\cclserver\DATA\Q%202020\CCL%20STRENGTHENING\Dubai\2023\R1.5524.23%20Damac%20Capital%20Bay" TargetMode="External"/><Relationship Id="rId98" Type="http://schemas.openxmlformats.org/officeDocument/2006/relationships/hyperlink" Target="file:///\\cclserver\DATA\P%202020\03%20CR%20Projects\06-22-CR-006%20Prayer%20hall%20Al-Quoz%20(Towers%20United)" TargetMode="External"/><Relationship Id="rId163" Type="http://schemas.openxmlformats.org/officeDocument/2006/relationships/hyperlink" Target="file:///\\cclserver\DATA\P%202020\03%20CR%20Projects\06-22-CR-011%20Park%20Avenue%203%20(Azizi)" TargetMode="External"/><Relationship Id="rId370" Type="http://schemas.openxmlformats.org/officeDocument/2006/relationships/hyperlink" Target="file:///\\cclserver\DATA\P%202020\03%20CR%20Projects\06-22-CR-014%20Saudi%20German%20Hospital%20Mirdif" TargetMode="External"/><Relationship Id="rId230" Type="http://schemas.openxmlformats.org/officeDocument/2006/relationships/hyperlink" Target="file:///\\cclserver\DATA\P%202020\03%20CR%20Projects\06-22-CR-009%20Profile%20Residence" TargetMode="External"/><Relationship Id="rId468" Type="http://schemas.openxmlformats.org/officeDocument/2006/relationships/hyperlink" Target="file:///\\cclserver\DATA\P%202020\03%20CR%20Projects\06-22-CR-004%20G+1%20Private%20Villa%20&amp;%20Majlis" TargetMode="External"/><Relationship Id="rId25" Type="http://schemas.openxmlformats.org/officeDocument/2006/relationships/hyperlink" Target="file:///\\cclserver\DATA\Q%202020\CCL%20STRENGTHENING\Dubai\2021\R1.5261.21%20Al%20Wasl%20Tower" TargetMode="External"/><Relationship Id="rId328" Type="http://schemas.openxmlformats.org/officeDocument/2006/relationships/hyperlink" Target="file:///\\cclserver\DATA\Q%202020\CCL%20STRENGTHENING\Dubai\2023\R1.5541.23%20Mina%20Bldg%20Al-Baha%20(Raffa)" TargetMode="External"/><Relationship Id="rId535" Type="http://schemas.openxmlformats.org/officeDocument/2006/relationships/hyperlink" Target="file:///\\cclserver\DATA\P%202020\03%20CR%20Projects\06-22-CR-006%20Prayer%20hall%20Al-Quoz%20(Towers%20United)" TargetMode="External"/><Relationship Id="rId174" Type="http://schemas.openxmlformats.org/officeDocument/2006/relationships/hyperlink" Target="file:///\\cclserver\DATA\P%202020\03%20CR%20Projects\06-21-CR-005%20Marsa%20Al%20Arab\Construction%20phase" TargetMode="External"/><Relationship Id="rId381" Type="http://schemas.openxmlformats.org/officeDocument/2006/relationships/hyperlink" Target="file:///\\cclserver\DATA\P%202020\03%20CR%20Projects\06-20-CR-002%20MEDORE%20Tower\Construction%20Phase\" TargetMode="External"/><Relationship Id="rId602" Type="http://schemas.openxmlformats.org/officeDocument/2006/relationships/hyperlink" Target="file:///\\cclserver\DATA\P%202020\03%20CR%20Projects\06-22-CR-017%20Addax%20Tower" TargetMode="External"/><Relationship Id="rId241" Type="http://schemas.openxmlformats.org/officeDocument/2006/relationships/hyperlink" Target="file:///\\cclserver\DATA\P%202020\03%20CR%20Projects\06-20-CR-002%20MEDORE%20Tower\Construction%20Phase\" TargetMode="External"/><Relationship Id="rId479" Type="http://schemas.openxmlformats.org/officeDocument/2006/relationships/hyperlink" Target="file:///\\cclserver\DATA\P%202020\03%20CR%20Projects\06-22-CR-006%20Prayer%20hall%20Al-Quoz%20(Towers%20United)" TargetMode="External"/><Relationship Id="rId36" Type="http://schemas.openxmlformats.org/officeDocument/2006/relationships/hyperlink" Target="file:///\\cclserver\DATA\P%202020\03%20CR%20Projects\06-22-CR-006%20Prayer%20hall%20Al-Quoz%20(Towers%20United)" TargetMode="External"/><Relationship Id="rId339" Type="http://schemas.openxmlformats.org/officeDocument/2006/relationships/hyperlink" Target="file:///\\cclserver\DATA\P%202020\03%20CR%20Projects\06-22-CR-009%20Profile%20Residence" TargetMode="External"/><Relationship Id="rId546" Type="http://schemas.openxmlformats.org/officeDocument/2006/relationships/hyperlink" Target="file:///\\cclserver\DATA\P%202020\03%20CR%20Projects\06-21-CR-005%20Marsa%20Al%20Arab\Construction%20phase" TargetMode="External"/><Relationship Id="rId101" Type="http://schemas.openxmlformats.org/officeDocument/2006/relationships/hyperlink" Target="file:///\\cclserver\DATA\P%202020\03%20CR%20Projects\06-22-CR-011%20Park%20Avenue%203%20(Azizi)" TargetMode="External"/><Relationship Id="rId185" Type="http://schemas.openxmlformats.org/officeDocument/2006/relationships/hyperlink" Target="file:///\\cclserver\DATA\Q%202020\CCL%20STRENGTHENING\Dubai\2023\R1.5562.23%20Park%20Tower" TargetMode="External"/><Relationship Id="rId406" Type="http://schemas.openxmlformats.org/officeDocument/2006/relationships/hyperlink" Target="file:///\\cclserver\DATA\Q%202020\CCL%20STRENGTHENING\FILING_PENDING\16.%20Center%20Park" TargetMode="External"/><Relationship Id="rId392" Type="http://schemas.openxmlformats.org/officeDocument/2006/relationships/hyperlink" Target="file:///\\cclserver\DATA\P%202020\03%20CR%20Projects\06-22-CR-017%20Addax%20Tower" TargetMode="External"/><Relationship Id="rId613" Type="http://schemas.openxmlformats.org/officeDocument/2006/relationships/hyperlink" Target="file:///\\cclserver\DATA\P%202020\01%20Dubai\06-14-BU-004%20Profile%20Residence\Construction%20Phase\CR\" TargetMode="External"/><Relationship Id="rId252" Type="http://schemas.openxmlformats.org/officeDocument/2006/relationships/hyperlink" Target="file:///\\cclserver\DATA\Q%202020\CCL%20STRENGTHENING\Dubai\2023\R1.5550.23%20OFFICE%20ANNEX%20Str" TargetMode="External"/><Relationship Id="rId47" Type="http://schemas.openxmlformats.org/officeDocument/2006/relationships/hyperlink" Target="file:///\\cclserver\DATA\Q%202020\CCL%20STRENGTHENING\Dubai\2021\R1.5261.21%20Al%20Wasl%20Tower" TargetMode="External"/><Relationship Id="rId112" Type="http://schemas.openxmlformats.org/officeDocument/2006/relationships/hyperlink" Target="file:///\\cclserver\DATA\P%202020\03%20CR%20Projects\06-22-CR-009%20Profile%20Residence" TargetMode="External"/><Relationship Id="rId557" Type="http://schemas.openxmlformats.org/officeDocument/2006/relationships/hyperlink" Target="file:///\\cclserver\DATA\P%202020\03%20CR%20Projects\06-22-CR-011%20Park%20Avenue%203%20(Azizi)" TargetMode="External"/><Relationship Id="rId196" Type="http://schemas.openxmlformats.org/officeDocument/2006/relationships/hyperlink" Target="file:///\\cclserver\DATA\P%202020\03%20CR%20Projects\06-22-CR-009%20Profile%20Residence" TargetMode="External"/><Relationship Id="rId417" Type="http://schemas.openxmlformats.org/officeDocument/2006/relationships/hyperlink" Target="file:///\\cclserver\DATA\P%202020\03%20CR%20Projects\06-22-CR-009%20Profile%20Residence" TargetMode="External"/><Relationship Id="rId624" Type="http://schemas.openxmlformats.org/officeDocument/2006/relationships/hyperlink" Target="file:///\\cclserver\DATA\Q%202020\CCL%20STRENGTHENING\Dubai\2021\R1.5261.21%20Al%20Wasl%20Tower" TargetMode="External"/><Relationship Id="rId263" Type="http://schemas.openxmlformats.org/officeDocument/2006/relationships/hyperlink" Target="file:///\\cclserver\DATA\P%202020\03%20CR%20Projects\06-22-CR-009%20Profile%20Residence" TargetMode="External"/><Relationship Id="rId470" Type="http://schemas.openxmlformats.org/officeDocument/2006/relationships/hyperlink" Target="file:///\\cclserver\DATA\Q%202020\CCL%20STRENGTHENING\Dubai\2023\R1.5525.23%20Damac%20Waters%20Edge" TargetMode="External"/><Relationship Id="rId58" Type="http://schemas.openxmlformats.org/officeDocument/2006/relationships/hyperlink" Target="file:///\\cclserver\DATA\P%202020\03%20CR%20Projects\06-20-CR-002%20MEDORE%20Tower\Construction%20Phase\" TargetMode="External"/><Relationship Id="rId123" Type="http://schemas.openxmlformats.org/officeDocument/2006/relationships/hyperlink" Target="file:///\\cclserver\DATA\P%202020\03%20CR%20Projects\06-21-CR-005%20Marsa%20Al%20Arab\Construction%20phase" TargetMode="External"/><Relationship Id="rId330" Type="http://schemas.openxmlformats.org/officeDocument/2006/relationships/hyperlink" Target="file:///\\cclserver\DATA\P%202020\03%20CR%20Projects\06-22-CR-017%20Addax%20Tower" TargetMode="External"/><Relationship Id="rId568" Type="http://schemas.openxmlformats.org/officeDocument/2006/relationships/hyperlink" Target="file:///\\cclserver\DATA\P%202020\03%20CR%20Projects\06-22-CR-011%20Park%20Avenue%203%20(Azizi)" TargetMode="External"/><Relationship Id="rId165" Type="http://schemas.openxmlformats.org/officeDocument/2006/relationships/hyperlink" Target="file:///\\cclserver\DATA\Q%202020\CCL%20STRENGTHENING\Dubai\2023\R1.5567.23%20CP03-005" TargetMode="External"/><Relationship Id="rId372" Type="http://schemas.openxmlformats.org/officeDocument/2006/relationships/hyperlink" Target="file:///\\cclserver\DATA\P%202020\03%20CR%20Projects\06-20-CR-002%20MEDORE%20Tower\Construction%20Phase\" TargetMode="External"/><Relationship Id="rId428" Type="http://schemas.openxmlformats.org/officeDocument/2006/relationships/hyperlink" Target="file:///\\cclserver\DATA\P%202020\03%20CR%20Projects\06-21-CR-005%20Marsa%20Al%20Arab\Construction%20phase" TargetMode="External"/><Relationship Id="rId635" Type="http://schemas.openxmlformats.org/officeDocument/2006/relationships/hyperlink" Target="file:///\\cclserver\DATA\P%202020\03%20CR%20Projects\06-20-CR-002%20MEDORE%20Tower\Construction%20Phase\" TargetMode="External"/><Relationship Id="rId232" Type="http://schemas.openxmlformats.org/officeDocument/2006/relationships/hyperlink" Target="file:///\\cclserver\DATA\P%202020\03%20CR%20Projects\06-21-CR-005%20Marsa%20Al%20Arab\Construction%20phase" TargetMode="External"/><Relationship Id="rId274" Type="http://schemas.openxmlformats.org/officeDocument/2006/relationships/hyperlink" Target="file:///\\cclserver\DATA\Q%202020\CCL%20STRENGTHENING\Dubai\2023\R1.5550.23%20OFFICE%20ANNEX%20Str" TargetMode="External"/><Relationship Id="rId481" Type="http://schemas.openxmlformats.org/officeDocument/2006/relationships/hyperlink" Target="file:///\\cclserver\DATA\Q%202020\CCL%20STRENGTHENING\Dubai\2021\R1.5261.21%20Al%20Wasl%20Tower" TargetMode="External"/><Relationship Id="rId27" Type="http://schemas.openxmlformats.org/officeDocument/2006/relationships/hyperlink" Target="file:///\\cclserver\DATA\P%202020\03%20CR%20Projects\06-20-CR-002%20MEDORE%20Tower\Construction%20Phase\" TargetMode="External"/><Relationship Id="rId69" Type="http://schemas.openxmlformats.org/officeDocument/2006/relationships/hyperlink" Target="file:///\\cclserver\DATA\P%202020\03%20CR%20Projects\06-22-CR-009%20Profile%20Residence" TargetMode="External"/><Relationship Id="rId134" Type="http://schemas.openxmlformats.org/officeDocument/2006/relationships/hyperlink" Target="file:///\\cclserver\DATA\Q%202020\CCL%20STRENGTHENING\Dubai\2023\R1.5567.23%20CP03-005" TargetMode="External"/><Relationship Id="rId537" Type="http://schemas.openxmlformats.org/officeDocument/2006/relationships/hyperlink" Target="file:///\\cclserver\DATA\Q%202020\CCL%20STRENGTHENING\FILING_PENDING\16.%20DAMAC%20Buildings" TargetMode="External"/><Relationship Id="rId579" Type="http://schemas.openxmlformats.org/officeDocument/2006/relationships/hyperlink" Target="file:///\\cclserver\DATA\P%202020\03%20CR%20Projects\06-22-CR-006%20Prayer%20hall%20Al-Quoz%20(Towers%20United)" TargetMode="External"/><Relationship Id="rId80" Type="http://schemas.openxmlformats.org/officeDocument/2006/relationships/hyperlink" Target="file:///\\cclserver\DATA\P%202020\03%20CR%20Projects\06-21-CR-005%20Marsa%20Al%20Arab\Construction%20phase" TargetMode="External"/><Relationship Id="rId176" Type="http://schemas.openxmlformats.org/officeDocument/2006/relationships/hyperlink" Target="file:///\\cclserver\DATA\P%202020\03%20CR%20Projects\06-21-CR-005%20Marsa%20Al%20Arab\Construction%20phase" TargetMode="External"/><Relationship Id="rId341" Type="http://schemas.openxmlformats.org/officeDocument/2006/relationships/hyperlink" Target="file:///\\cclserver\DATA\Q%202020\CCL%20STRENGTHENING\Dubai\2023\R1.5541.23%20Mina%20Bldg%20Al-Baha%20(Raffa)" TargetMode="External"/><Relationship Id="rId383" Type="http://schemas.openxmlformats.org/officeDocument/2006/relationships/hyperlink" Target="file:///\\cclserver\DATA\P%202020\03%20CR%20Projects\06-22-CR-017%20Addax%20Tower" TargetMode="External"/><Relationship Id="rId439" Type="http://schemas.openxmlformats.org/officeDocument/2006/relationships/hyperlink" Target="file:///\\cclserver\DATA\P%202020\03%20CR%20Projects\06-22-CR-017%20Addax%20Tower" TargetMode="External"/><Relationship Id="rId590" Type="http://schemas.openxmlformats.org/officeDocument/2006/relationships/hyperlink" Target="file:///\\cclserver\DATA\P%202020\03%20CR%20Projects\06-20-CR-002%20MEDORE%20Tower\Construction%20Phase\" TargetMode="External"/><Relationship Id="rId604" Type="http://schemas.openxmlformats.org/officeDocument/2006/relationships/hyperlink" Target="file:///\\cclserver\DATA\Q%202020\CCL%20STRENGTHENING\Dubai\2022\R1.5399.22%20Nakheel%20Mall%20Redevelopment" TargetMode="External"/><Relationship Id="rId646" Type="http://schemas.openxmlformats.org/officeDocument/2006/relationships/hyperlink" Target="file:///\\cclserver\DATA\P%202020\03%20CR%20Projects\06-22-CR-011%20Park%20Avenue%203%20(Azizi)" TargetMode="External"/><Relationship Id="rId201" Type="http://schemas.openxmlformats.org/officeDocument/2006/relationships/hyperlink" Target="file:///\\cclserver\DATA\Q%202020\CCL%20STRENGTHENING\Dubai\2023\R1.5562.23%20Park%20Tower" TargetMode="External"/><Relationship Id="rId243" Type="http://schemas.openxmlformats.org/officeDocument/2006/relationships/hyperlink" Target="file:///\\cclserver\DATA\P%202020\03%20CR%20Projects\06-21-CR-005%20Marsa%20Al%20Arab\Construction%20phase" TargetMode="External"/><Relationship Id="rId285" Type="http://schemas.openxmlformats.org/officeDocument/2006/relationships/hyperlink" Target="file:///\\cclserver\DATA\Q%202020\CCL%20STRENGTHENING\Dubai\2023\R1.5551.23%20Villa%20P69%20@%20Emirates%20Hills" TargetMode="External"/><Relationship Id="rId450" Type="http://schemas.openxmlformats.org/officeDocument/2006/relationships/hyperlink" Target="file:///\\cclserver\DATA\Q%202020\CCL%20STRENGTHENING\Dubai\2022\R1.5399.22%20Nakheel%20Mall%20Redevelopment" TargetMode="External"/><Relationship Id="rId506" Type="http://schemas.openxmlformats.org/officeDocument/2006/relationships/hyperlink" Target="file:///\\cclserver\DATA\P%202020\03%20CR%20Projects\06-20-CR-002%20MEDORE%20Tower\Construction%20Phase\" TargetMode="External"/><Relationship Id="rId38" Type="http://schemas.openxmlformats.org/officeDocument/2006/relationships/hyperlink" Target="file:///\\cclserver\DATA\P%202020\03%20CR%20Projects\06-21-CR-005%20Marsa%20Al%20Arab\Construction%20phase" TargetMode="External"/><Relationship Id="rId103" Type="http://schemas.openxmlformats.org/officeDocument/2006/relationships/hyperlink" Target="file:///\\cclserver\DATA\Q%202020\CCL%20STRENGTHENING\Dubai\2023\R1.5561.23%20CP01-13%20Meydan%20One" TargetMode="External"/><Relationship Id="rId310" Type="http://schemas.openxmlformats.org/officeDocument/2006/relationships/hyperlink" Target="file:///\\cclserver\DATA\P%202020\03%20CR%20Projects\06-20-CR-002%20MEDORE%20Tower\Construction%20Phase\" TargetMode="External"/><Relationship Id="rId492" Type="http://schemas.openxmlformats.org/officeDocument/2006/relationships/hyperlink" Target="file:///\\cclserver\DATA\P%202020\03%20CR%20Projects\06-22-CR-014%20Saudi%20German%20Hospital%20Mirdif" TargetMode="External"/><Relationship Id="rId548" Type="http://schemas.openxmlformats.org/officeDocument/2006/relationships/hyperlink" Target="file:///\\cclserver\DATA\P%202020\03%20CR%20Projects\06-22-CR-017%20Addax%20Tower" TargetMode="External"/><Relationship Id="rId91" Type="http://schemas.openxmlformats.org/officeDocument/2006/relationships/hyperlink" Target="file:///\\cclserver\DATA\P%202020\03%20CR%20Projects\06-22-CR-014%20Saudi%20German%20Hospital%20Mirdif" TargetMode="External"/><Relationship Id="rId145" Type="http://schemas.openxmlformats.org/officeDocument/2006/relationships/hyperlink" Target="file:///\\cclserver\DATA\Q%202020\CCL%20STRENGTHENING\Dubai\2023\R1.5561.23%20CP01-13%20Meydan%20One" TargetMode="External"/><Relationship Id="rId187" Type="http://schemas.openxmlformats.org/officeDocument/2006/relationships/hyperlink" Target="file:///\\cclserver\DATA\P%202020\03%20CR%20Projects\06-22-CR-009%20Profile%20Residence" TargetMode="External"/><Relationship Id="rId352" Type="http://schemas.openxmlformats.org/officeDocument/2006/relationships/hyperlink" Target="file:///\\cclserver\DATA\P%202020\03%20CR%20Projects\06-22-CR-014%20Saudi%20German%20Hospital%20Mirdif" TargetMode="External"/><Relationship Id="rId394" Type="http://schemas.openxmlformats.org/officeDocument/2006/relationships/hyperlink" Target="file:///\\cclserver\DATA\P%202020\03%20CR%20Projects\06-22-CR-014%20Saudi%20German%20Hospital%20Mirdif" TargetMode="External"/><Relationship Id="rId408" Type="http://schemas.openxmlformats.org/officeDocument/2006/relationships/hyperlink" Target="file:///\\cclserver\DATA\Q%202020\CCL%20STRENGTHENING\Dubai\2023\R1.5537.23%20Astoria%20Tower%20Habtoor%20City" TargetMode="External"/><Relationship Id="rId615" Type="http://schemas.openxmlformats.org/officeDocument/2006/relationships/hyperlink" Target="file:///\\cclserver\DATA\Q%202020\CCL%20STRENGTHENING\Dubai\2023\R1.5514.23%20Priavate%20Palace%20Jumeirah" TargetMode="External"/><Relationship Id="rId212" Type="http://schemas.openxmlformats.org/officeDocument/2006/relationships/hyperlink" Target="file:///\\cclserver\DATA\Q%202020\CCL%20STRENGTHENING\Dubai\2023\R1.5516.23%20Burjuman%20Mall%20Refurbishment" TargetMode="External"/><Relationship Id="rId254" Type="http://schemas.openxmlformats.org/officeDocument/2006/relationships/hyperlink" Target="file:///\\cclserver\DATA\P%202020\03%20CR%20Projects\06-22-CR-017%20Addax%20Tower" TargetMode="External"/><Relationship Id="rId49" Type="http://schemas.openxmlformats.org/officeDocument/2006/relationships/hyperlink" Target="file:///\\cclserver\DATA\Q%202020\CCL%20STRENGTHENING\Dubai\2023\R1.5561.23%20CP01-13%20Meydan%20One" TargetMode="External"/><Relationship Id="rId114" Type="http://schemas.openxmlformats.org/officeDocument/2006/relationships/hyperlink" Target="file:///\\cclserver\DATA\P%202020\03%20CR%20Projects\06-22-CR-011%20Park%20Avenue%203%20(Azizi)" TargetMode="External"/><Relationship Id="rId296" Type="http://schemas.openxmlformats.org/officeDocument/2006/relationships/hyperlink" Target="file:///\\cclserver\DATA\P%202020\03%20CR%20Projects\06-20-CR-002%20MEDORE%20Tower\Construction%20Phase\" TargetMode="External"/><Relationship Id="rId461" Type="http://schemas.openxmlformats.org/officeDocument/2006/relationships/hyperlink" Target="file:///\\cclserver\DATA\Q%202020\CCL%20STRENGTHENING\Dubai\2023\R1.5525.23%20Damac%20Waters%20Edge" TargetMode="External"/><Relationship Id="rId517" Type="http://schemas.openxmlformats.org/officeDocument/2006/relationships/hyperlink" Target="file:///\\cclserver\DATA\P%202020\03%20CR%20Projects\06-20-CR-002%20MEDORE%20Tower\Construction%20Phase\" TargetMode="External"/><Relationship Id="rId559" Type="http://schemas.openxmlformats.org/officeDocument/2006/relationships/hyperlink" Target="file:///\\cclserver\DATA\P%202020\01%20Dubai\06-14-BU-004%20Profile%20Residence\Construction%20Phase\CR\" TargetMode="External"/><Relationship Id="rId60" Type="http://schemas.openxmlformats.org/officeDocument/2006/relationships/hyperlink" Target="file:///\\cclserver\DATA\P%202020\03%20CR%20Projects\06-22-CR-009%20Profile%20Residence" TargetMode="External"/><Relationship Id="rId156" Type="http://schemas.openxmlformats.org/officeDocument/2006/relationships/hyperlink" Target="file:///\\cclserver\DATA\P%202020\03%20CR%20Projects\06-21-CR-005%20Marsa%20Al%20Arab\Construction%20phase" TargetMode="External"/><Relationship Id="rId198" Type="http://schemas.openxmlformats.org/officeDocument/2006/relationships/hyperlink" Target="file:///\\cclserver\DATA\P%202020\03%20CR%20Projects\06-22-CR-011%20Park%20Avenue%203%20(Azizi)" TargetMode="External"/><Relationship Id="rId321" Type="http://schemas.openxmlformats.org/officeDocument/2006/relationships/hyperlink" Target="file:///\\cclserver\DATA\Q%202020\CCL%20STRENGTHENING\Dubai\2023\R1.5516.23%20Burjuman%20Mall%20Refurbishment" TargetMode="External"/><Relationship Id="rId363" Type="http://schemas.openxmlformats.org/officeDocument/2006/relationships/hyperlink" Target="file:///\\cclserver\DATA\P%202020\03%20CR%20Projects\06-20-CR-002%20MEDORE%20Tower\Construction%20Phase\" TargetMode="External"/><Relationship Id="rId419" Type="http://schemas.openxmlformats.org/officeDocument/2006/relationships/hyperlink" Target="file:///\\cclserver\DATA\P%202020\03%20CR%20Projects\06-22-CR-011%20Park%20Avenue%203%20(Azizi)" TargetMode="External"/><Relationship Id="rId570" Type="http://schemas.openxmlformats.org/officeDocument/2006/relationships/hyperlink" Target="file:///\\cclserver\DATA\P%202020\03%20CR%20Projects\06-22-CR-006%20Prayer%20hall%20Al-Quoz%20(Towers%20United)" TargetMode="External"/><Relationship Id="rId626" Type="http://schemas.openxmlformats.org/officeDocument/2006/relationships/hyperlink" Target="file:///\\cclserver\DATA\Q%202020\CCL%20STRENGTHENING\Dubai\2022\R1.5399.22%20Nakheel%20Mall%20Redevelopment" TargetMode="External"/><Relationship Id="rId223" Type="http://schemas.openxmlformats.org/officeDocument/2006/relationships/hyperlink" Target="file:///\\cclserver\DATA\P%202020\03%20CR%20Projects\06-21-CR-005%20Marsa%20Al%20Arab\Construction%20phase" TargetMode="External"/><Relationship Id="rId430" Type="http://schemas.openxmlformats.org/officeDocument/2006/relationships/hyperlink" Target="file:///\\cclserver\DATA\P%202020\03%20CR%20Projects\06-22-CR-009%20Profile%20Residence" TargetMode="External"/><Relationship Id="rId18" Type="http://schemas.openxmlformats.org/officeDocument/2006/relationships/hyperlink" Target="file:///\\cclserver\DATA\P%202020\03%20CR%20Projects\06-22-CR-011%20Park%20Avenue%203%20(Azizi)" TargetMode="External"/><Relationship Id="rId265" Type="http://schemas.openxmlformats.org/officeDocument/2006/relationships/hyperlink" Target="file:///\\cclserver\DATA\P%202020\03%20CR%20Projects\06-20-CR-002%20MEDORE%20Tower\Construction%20Phase\" TargetMode="External"/><Relationship Id="rId472" Type="http://schemas.openxmlformats.org/officeDocument/2006/relationships/hyperlink" Target="file:///\\cclserver\DATA\P%202020\03%20CR%20Projects\06-20-CR-002%20MEDORE%20Tower\Construction%20Phase\" TargetMode="External"/><Relationship Id="rId528" Type="http://schemas.openxmlformats.org/officeDocument/2006/relationships/hyperlink" Target="file:///\\cclserver\DATA\P%202020\03%20CR%20Projects\06-22-CR-017%20Addax%20Tower" TargetMode="External"/><Relationship Id="rId125" Type="http://schemas.openxmlformats.org/officeDocument/2006/relationships/hyperlink" Target="file:///\\cclserver\DATA\Q%202020\CCL%20STRENGTHENING\Dubai\2023\R1.5574.23%20Palm%20Beach%20Towers" TargetMode="External"/><Relationship Id="rId167" Type="http://schemas.openxmlformats.org/officeDocument/2006/relationships/hyperlink" Target="file:///\\cclserver\DATA\P%202020\03%20CR%20Projects\06-21-CR-005%20Marsa%20Al%20Arab\Construction%20phase" TargetMode="External"/><Relationship Id="rId332" Type="http://schemas.openxmlformats.org/officeDocument/2006/relationships/hyperlink" Target="file:///\\cclserver\DATA\Q%202020\CCL%20STRENGTHENING\Dubai\2022\R1.5399.22%20Nakheel%20Mall%20Redevelopment" TargetMode="External"/><Relationship Id="rId374" Type="http://schemas.openxmlformats.org/officeDocument/2006/relationships/hyperlink" Target="file:///\\cclserver\DATA\Q%202020\01%20Dubai\Buildings\2023\A1.5544.23%20Omniyat%20@%20Plot%2017A" TargetMode="External"/><Relationship Id="rId581" Type="http://schemas.openxmlformats.org/officeDocument/2006/relationships/hyperlink" Target="file:///\\cclserver\DATA\P%202020\03%20CR%20Projects\06-22-CR-013%20CP03-09%20and%20CP03-13%20(Azizi)" TargetMode="External"/><Relationship Id="rId71" Type="http://schemas.openxmlformats.org/officeDocument/2006/relationships/hyperlink" Target="file:///\\cclserver\DATA\P%202020\03%20CR%20Projects\06-22-CR-011%20Park%20Avenue%203%20(Azizi)" TargetMode="External"/><Relationship Id="rId234" Type="http://schemas.openxmlformats.org/officeDocument/2006/relationships/hyperlink" Target="file:///\\cclserver\DATA\P%202020\03%20CR%20Projects\06-22-CR-011%20Park%20Avenue%203%20(Azizi)" TargetMode="External"/><Relationship Id="rId637" Type="http://schemas.openxmlformats.org/officeDocument/2006/relationships/hyperlink" Target="file:///\\cclserver\DATA\P%202020\03%20CR%20Projects\06-22-CR-017%20Addax%20Tower" TargetMode="External"/><Relationship Id="rId2" Type="http://schemas.openxmlformats.org/officeDocument/2006/relationships/hyperlink" Target="file:///\\cclserver\DATA\Q%202020\CCL%20STRENGTHENING\Dubai\2021\R1.5261.21%20Al%20Wasl%20Tower" TargetMode="External"/><Relationship Id="rId29" Type="http://schemas.openxmlformats.org/officeDocument/2006/relationships/hyperlink" Target="file:///\\cclserver\DATA\P%202020\03%20CR%20Projects\06-22-CR-006%20Prayer%20hall%20Al-Quoz%20(Towers%20United)" TargetMode="External"/><Relationship Id="rId276" Type="http://schemas.openxmlformats.org/officeDocument/2006/relationships/hyperlink" Target="file:///\\cclserver\DATA\Q%202020\CCL%20STRENGTHENING\Dubai\2023\R1.5551.23%20Villa%20P69%20@%20Emirates%20Hills" TargetMode="External"/><Relationship Id="rId441" Type="http://schemas.openxmlformats.org/officeDocument/2006/relationships/hyperlink" Target="file:///\\cclserver\DATA\P%202020\03%20CR%20Projects\06-22-CR-014%20Saudi%20German%20Hospital%20Mirdif" TargetMode="External"/><Relationship Id="rId483" Type="http://schemas.openxmlformats.org/officeDocument/2006/relationships/hyperlink" Target="file:///\\cclserver\DATA\P%202020\03%20CR%20Projects\06-22-CR-017%20Addax%20Tower" TargetMode="External"/><Relationship Id="rId539" Type="http://schemas.openxmlformats.org/officeDocument/2006/relationships/hyperlink" Target="file:///\\cclserver\DATA\P%202020\03%20CR%20Projects\06-22-CR-017%20Addax%20Tower" TargetMode="External"/><Relationship Id="rId40" Type="http://schemas.openxmlformats.org/officeDocument/2006/relationships/hyperlink" Target="file:///\\cclserver\DATA\Q%202020\CCL%20STRENGTHENING\Dubai\2021\R1.5261.21%20Al%20Wasl%20Tower" TargetMode="External"/><Relationship Id="rId136" Type="http://schemas.openxmlformats.org/officeDocument/2006/relationships/hyperlink" Target="file:///\\cclserver\DATA\P%202020\03%20CR%20Projects\06-21-CR-005%20Marsa%20Al%20Arab\Construction%20phase" TargetMode="External"/><Relationship Id="rId178" Type="http://schemas.openxmlformats.org/officeDocument/2006/relationships/hyperlink" Target="file:///\\cclserver\DATA\P%202020\03%20CR%20Projects\06-22-CR-004%20G+1%20Private%20Villa%20&amp;%20Majlis" TargetMode="External"/><Relationship Id="rId301" Type="http://schemas.openxmlformats.org/officeDocument/2006/relationships/hyperlink" Target="file:///\\cclserver\DATA\Q%202020\CCL%20STRENGTHENING\Dubai\2023\R1.5516.23%20Burjuman%20Mall%20Refurbishment" TargetMode="External"/><Relationship Id="rId343" Type="http://schemas.openxmlformats.org/officeDocument/2006/relationships/hyperlink" Target="file:///\\cclserver\DATA\P%202020\03%20CR%20Projects\06-22-CR-017%20Addax%20Tower" TargetMode="External"/><Relationship Id="rId550" Type="http://schemas.openxmlformats.org/officeDocument/2006/relationships/hyperlink" Target="file:///\\cclserver\DATA\P%202020\03%20CR%20Projects\06-22-CR-011%20Park%20Avenue%203%20(Azizi)" TargetMode="External"/><Relationship Id="rId82" Type="http://schemas.openxmlformats.org/officeDocument/2006/relationships/hyperlink" Target="file:///\\cclserver\DATA\Q%202020\CCL%20STRENGTHENING\Dubai\2021\R1.5261.21%20Al%20Wasl%20Tower" TargetMode="External"/><Relationship Id="rId203" Type="http://schemas.openxmlformats.org/officeDocument/2006/relationships/hyperlink" Target="file:///\\cclserver\DATA\P%202020\03%20CR%20Projects\06-21-CR-005%20Marsa%20Al%20Arab\Construction%20phase" TargetMode="External"/><Relationship Id="rId385" Type="http://schemas.openxmlformats.org/officeDocument/2006/relationships/hyperlink" Target="file:///\\cclserver\DATA\P%202020\03%20CR%20Projects\06-22-CR-014%20Saudi%20German%20Hospital%20Mirdif" TargetMode="External"/><Relationship Id="rId592" Type="http://schemas.openxmlformats.org/officeDocument/2006/relationships/hyperlink" Target="file:///\\cclserver\DATA\P%202020\03%20CR%20Projects\06-22-CR-006%20Prayer%20hall%20Al-Quoz%20(Towers%20United)" TargetMode="External"/><Relationship Id="rId606" Type="http://schemas.openxmlformats.org/officeDocument/2006/relationships/hyperlink" Target="file:///\\cclserver\DATA\Q%202020\CCL%20STRENGTHENING\Dubai\2023\R1.5514.23%20Priavate%20Palace%20Jumeirah" TargetMode="External"/><Relationship Id="rId648" Type="http://schemas.openxmlformats.org/officeDocument/2006/relationships/hyperlink" Target="file:///\\cclserver\DATA\P%202020\01%20Dubai\06-14-BU-004%20Profile%20Residence\Construction%20Phase\CR\" TargetMode="External"/><Relationship Id="rId245" Type="http://schemas.openxmlformats.org/officeDocument/2006/relationships/hyperlink" Target="file:///\\cclserver\DATA\Q%202020\CCL%20STRENGTHENING\Abu%20Dhabi\2023\R2.5556.23%20Al%20Qaffay%20ISland" TargetMode="External"/><Relationship Id="rId287" Type="http://schemas.openxmlformats.org/officeDocument/2006/relationships/hyperlink" Target="file:///\\cclserver\DATA\P%202020\03%20CR%20Projects\06-21-CR-005%20Marsa%20Al%20Arab\Construction%20phase" TargetMode="External"/><Relationship Id="rId410" Type="http://schemas.openxmlformats.org/officeDocument/2006/relationships/hyperlink" Target="file:///\\cclserver\DATA\P%202020\03%20CR%20Projects\06-20-CR-002%20MEDORE%20Tower\Construction%20Phase\" TargetMode="External"/><Relationship Id="rId452" Type="http://schemas.openxmlformats.org/officeDocument/2006/relationships/hyperlink" Target="file:///\\cclserver\DATA\Q%202020\CCL%20STRENGTHENING\Dubai\2022\R1.5485.22%20Villa%20L46" TargetMode="External"/><Relationship Id="rId494" Type="http://schemas.openxmlformats.org/officeDocument/2006/relationships/hyperlink" Target="file:///\\cclserver\DATA\P%202020\03%20CR%20Projects\06-20-CR-002%20MEDORE%20Tower\Construction%20Phase\" TargetMode="External"/><Relationship Id="rId508" Type="http://schemas.openxmlformats.org/officeDocument/2006/relationships/hyperlink" Target="file:///\\cclserver\DATA\Q%202020\CCL%20STRENGTHENING\Dubai\2023\R1.5526.23%20Damac%20Cour%20Jardin" TargetMode="External"/><Relationship Id="rId105" Type="http://schemas.openxmlformats.org/officeDocument/2006/relationships/hyperlink" Target="file:///\\cclserver\DATA\Q%202020\CCL%20STRENGTHENING\Dubai\2021\R1.5261.21%20Al%20Wasl%20Tower" TargetMode="External"/><Relationship Id="rId147" Type="http://schemas.openxmlformats.org/officeDocument/2006/relationships/hyperlink" Target="file:///\\cclserver\DATA\P%202020\03%20CR%20Projects\06-22-CR-009%20Profile%20Residence" TargetMode="External"/><Relationship Id="rId312" Type="http://schemas.openxmlformats.org/officeDocument/2006/relationships/hyperlink" Target="file:///\\cclserver\DATA\P%202020\03%20CR%20Projects\06-22-CR-009%20Profile%20Residence" TargetMode="External"/><Relationship Id="rId354" Type="http://schemas.openxmlformats.org/officeDocument/2006/relationships/hyperlink" Target="file:///\\cclserver\DATA\Q%202020\CCL%20STRENGTHENING\Dubai\2023\R1.5541.23%20Mina%20Bldg%20Al-Baha%20(Raffa)" TargetMode="External"/><Relationship Id="rId51" Type="http://schemas.openxmlformats.org/officeDocument/2006/relationships/hyperlink" Target="file:///\\cclserver\DATA\P%202020\03%20CR%20Projects\06-20-CR-002%20MEDORE%20Tower\Construction%20Phase\" TargetMode="External"/><Relationship Id="rId93" Type="http://schemas.openxmlformats.org/officeDocument/2006/relationships/hyperlink" Target="file:///\\cclserver\DATA\P%202020\03%20CR%20Projects\06-21-CR-005%20Marsa%20Al%20Arab\Construction%20phase" TargetMode="External"/><Relationship Id="rId189" Type="http://schemas.openxmlformats.org/officeDocument/2006/relationships/hyperlink" Target="file:///\\cclserver\DATA\P%202020\03%20CR%20Projects\06-22-CR-011%20Park%20Avenue%203%20(Azizi)" TargetMode="External"/><Relationship Id="rId396" Type="http://schemas.openxmlformats.org/officeDocument/2006/relationships/hyperlink" Target="file:///\\cclserver\DATA\Q%202020\CCL%20STRENGTHENING\FILING_PENDING\16.%20Center%20Park" TargetMode="External"/><Relationship Id="rId561" Type="http://schemas.openxmlformats.org/officeDocument/2006/relationships/hyperlink" Target="file:///\\cclserver\DATA\P%202020\03%20CR%20Projects\06-20-CR-002%20MEDORE%20Tower\Construction%20Phase\" TargetMode="External"/><Relationship Id="rId617" Type="http://schemas.openxmlformats.org/officeDocument/2006/relationships/hyperlink" Target="file:///\\cclserver\DATA\Q%202020\CCL%20STRENGTHENING\Dubai\2022\R1.5471.22%20Latifa%20tower" TargetMode="External"/><Relationship Id="rId214" Type="http://schemas.openxmlformats.org/officeDocument/2006/relationships/hyperlink" Target="file:///\\cclserver\DATA\P%202020\03%20CR%20Projects\06-22-CR-009%20Profile%20Residence" TargetMode="External"/><Relationship Id="rId256" Type="http://schemas.openxmlformats.org/officeDocument/2006/relationships/hyperlink" Target="file:///\\cclserver\DATA\Q%202020\CCL%20STRENGTHENING\Dubai\2023\R1.5550.23%20OFFICE%20ANNEX%20Str" TargetMode="External"/><Relationship Id="rId298" Type="http://schemas.openxmlformats.org/officeDocument/2006/relationships/hyperlink" Target="file:///\\cclserver\DATA\P%202020\03%20CR%20Projects\06-22-CR-017%20Addax%20Tower" TargetMode="External"/><Relationship Id="rId421" Type="http://schemas.openxmlformats.org/officeDocument/2006/relationships/hyperlink" Target="file:///\\cclserver\DATA\P%202020\03%20CR%20Projects\06-20-CR-002%20MEDORE%20Tower\Construction%20Phase\" TargetMode="External"/><Relationship Id="rId463" Type="http://schemas.openxmlformats.org/officeDocument/2006/relationships/hyperlink" Target="file:///\\cclserver\DATA\P%202020\03%20CR%20Projects\06-20-CR-002%20MEDORE%20Tower\Construction%20Phase\" TargetMode="External"/><Relationship Id="rId519" Type="http://schemas.openxmlformats.org/officeDocument/2006/relationships/hyperlink" Target="file:///\\cclserver\DATA\Q%202020\CCL%20STRENGTHENING\Dubai\2023\R1.5524.23%20Damac%20Capital%20Bay" TargetMode="External"/><Relationship Id="rId116" Type="http://schemas.openxmlformats.org/officeDocument/2006/relationships/hyperlink" Target="file:///\\cclserver\DATA\Q%202020\CCL%20STRENGTHENING\Dubai\2023\R1.5561.23%20CP01-13%20Meydan%20One" TargetMode="External"/><Relationship Id="rId158" Type="http://schemas.openxmlformats.org/officeDocument/2006/relationships/hyperlink" Target="file:///\\cclserver\DATA\P%202020\03%20CR%20Projects\06-22-CR-006%20Prayer%20hall%20Al-Quoz%20(Towers%20United)" TargetMode="External"/><Relationship Id="rId323" Type="http://schemas.openxmlformats.org/officeDocument/2006/relationships/hyperlink" Target="file:///\\cclserver\DATA\P%202020\03%20CR%20Projects\06-20-CR-002%20MEDORE%20Tower\Construction%20Phase\" TargetMode="External"/><Relationship Id="rId530" Type="http://schemas.openxmlformats.org/officeDocument/2006/relationships/hyperlink" Target="file:///\\cclserver\DATA\P%202020\03%20CR%20Projects\06-22-CR-013%20CP03-09%20and%20CP03-13%20(Azizi)\Technical%20Submittal\6.%20Warranty" TargetMode="External"/><Relationship Id="rId20" Type="http://schemas.openxmlformats.org/officeDocument/2006/relationships/hyperlink" Target="file:///\\cclserver\DATA\Q%202020\CCL%20STRENGTHENING\Dubai\2023\R1.5583.23%20Gold%20Souk%20Dubai%20mall" TargetMode="External"/><Relationship Id="rId62" Type="http://schemas.openxmlformats.org/officeDocument/2006/relationships/hyperlink" Target="file:///\\cclserver\DATA\P%202020\03%20CR%20Projects\06-22-CR-011%20Park%20Avenue%203%20(Azizi)" TargetMode="External"/><Relationship Id="rId365" Type="http://schemas.openxmlformats.org/officeDocument/2006/relationships/hyperlink" Target="file:///\\cclserver\DATA\P%202020\03%20CR%20Projects\06-21-CR-005%20Marsa%20Al%20Arab\Construction%20phase" TargetMode="External"/><Relationship Id="rId572" Type="http://schemas.openxmlformats.org/officeDocument/2006/relationships/hyperlink" Target="file:///\\cclserver\DATA\P%202020\03%20CR%20Projects\06-22-CR-014%20Saudi%20German%20Hospital%20Mirdif" TargetMode="External"/><Relationship Id="rId628" Type="http://schemas.openxmlformats.org/officeDocument/2006/relationships/hyperlink" Target="file:///\\cclserver\DATA\P%202020\03%20CR%20Projects\06-22-CR-014%20Saudi%20German%20Hospital%20Mirdif" TargetMode="External"/><Relationship Id="rId225" Type="http://schemas.openxmlformats.org/officeDocument/2006/relationships/hyperlink" Target="file:///\\cclserver\DATA\P%202020\03%20CR%20Projects\06-22-CR-011%20Park%20Avenue%203%20(Azizi)" TargetMode="External"/><Relationship Id="rId267" Type="http://schemas.openxmlformats.org/officeDocument/2006/relationships/hyperlink" Target="file:///\\cclserver\DATA\P%202020\03%20CR%20Projects\06-22-CR-006%20Prayer%20hall%20Al-Quoz%20(Towers%20United)" TargetMode="External"/><Relationship Id="rId432" Type="http://schemas.openxmlformats.org/officeDocument/2006/relationships/hyperlink" Target="file:///\\cclserver\DATA\P%202020\03%20CR%20Projects\06-22-CR-017%20Addax%20Tower" TargetMode="External"/><Relationship Id="rId474" Type="http://schemas.openxmlformats.org/officeDocument/2006/relationships/hyperlink" Target="file:///\\cclserver\DATA\Q%202020\CCL%20STRENGTHENING\Dubai\2023\R1.5530.23%20SARI%20Villa%20Al%20Awir" TargetMode="External"/><Relationship Id="rId127" Type="http://schemas.openxmlformats.org/officeDocument/2006/relationships/hyperlink" Target="file:///\\cclserver\DATA\P%202020\03%20CR%20Projects\06-22-CR-009%20Profile%20Residence" TargetMode="External"/><Relationship Id="rId31" Type="http://schemas.openxmlformats.org/officeDocument/2006/relationships/hyperlink" Target="file:///\\cclserver\DATA\P%202020\03%20CR%20Projects\06-21-CR-005%20Marsa%20Al%20Arab\Construction%20phase" TargetMode="External"/><Relationship Id="rId73" Type="http://schemas.openxmlformats.org/officeDocument/2006/relationships/hyperlink" Target="file:///\\cclserver\DATA\Q%202020\CCL%20STRENGTHENING\Dubai\2023\R1.5574.23%20Palm%20Beach%20Towers" TargetMode="External"/><Relationship Id="rId169" Type="http://schemas.openxmlformats.org/officeDocument/2006/relationships/hyperlink" Target="file:///\\cclserver\DATA\P%202020\03%20CR%20Projects\06-21-CR-005%20Marsa%20Al%20Arab\Construction%20phase" TargetMode="External"/><Relationship Id="rId334" Type="http://schemas.openxmlformats.org/officeDocument/2006/relationships/hyperlink" Target="file:///\\cclserver\DATA\Q%202020\CCL%20STRENGTHENING\Dubai\2023\R1.5541.23%20Mina%20Bldg%20Al-Baha%20(Raffa)" TargetMode="External"/><Relationship Id="rId376" Type="http://schemas.openxmlformats.org/officeDocument/2006/relationships/hyperlink" Target="file:///\\cclserver\DATA\P%202020\03%20CR%20Projects\06-22-CR-017%20Addax%20Tower" TargetMode="External"/><Relationship Id="rId541" Type="http://schemas.openxmlformats.org/officeDocument/2006/relationships/hyperlink" Target="file:///\\cclserver\DATA\P%202020\03%20CR%20Projects\06-22-CR-011%20Park%20Avenue%203%20(Azizi)" TargetMode="External"/><Relationship Id="rId583" Type="http://schemas.openxmlformats.org/officeDocument/2006/relationships/hyperlink" Target="file:///\\cclserver\DATA\Q%202020\06%20RAK\S6.5521.23%20Wynn%20Tower" TargetMode="External"/><Relationship Id="rId639" Type="http://schemas.openxmlformats.org/officeDocument/2006/relationships/hyperlink" Target="file:///\\cclserver\DATA\P%202020\03%20CR%20Projects\06-22-CR-013%20CP03-09%20and%20CP03-13%20(Azizi)" TargetMode="External"/><Relationship Id="rId4" Type="http://schemas.openxmlformats.org/officeDocument/2006/relationships/hyperlink" Target="file:///\\cclserver\DATA\P%202020\03%20CR%20Projects\06-22-CR-011%20Park%20Avenue%203%20(Azizi)" TargetMode="External"/><Relationship Id="rId180" Type="http://schemas.openxmlformats.org/officeDocument/2006/relationships/hyperlink" Target="file:///\\cclserver\DATA\P%202020\03%20CR%20Projects\06-22-CR-009%20Profile%20Residence" TargetMode="External"/><Relationship Id="rId236" Type="http://schemas.openxmlformats.org/officeDocument/2006/relationships/hyperlink" Target="file:///\\cclserver\DATA\P%202020\03%20CR%20Projects\06-20-CR-002%20MEDORE%20Tower\Construction%20Phase\" TargetMode="External"/><Relationship Id="rId278" Type="http://schemas.openxmlformats.org/officeDocument/2006/relationships/hyperlink" Target="file:///\\cclserver\DATA\P%202020\03%20CR%20Projects\06-21-CR-005%20Marsa%20Al%20Arab\Construction%20phase" TargetMode="External"/><Relationship Id="rId401" Type="http://schemas.openxmlformats.org/officeDocument/2006/relationships/hyperlink" Target="file:///\\cclserver\DATA\P%202020\03%20CR%20Projects\06-22-CR-014%20Saudi%20German%20Hospital%20Mirdif" TargetMode="External"/><Relationship Id="rId443" Type="http://schemas.openxmlformats.org/officeDocument/2006/relationships/hyperlink" Target="file:///\\cclserver\DATA\P%202020\03%20CR%20Projects\06-21-CR-005%20Marsa%20Al%20Arab\Construction%20phase" TargetMode="External"/><Relationship Id="rId650" Type="http://schemas.openxmlformats.org/officeDocument/2006/relationships/hyperlink" Target="file:///\\cclserver\DATA\P%202020\03%20CR%20Projects\06-22-CR-017%20Addax%20Tower" TargetMode="External"/><Relationship Id="rId303" Type="http://schemas.openxmlformats.org/officeDocument/2006/relationships/hyperlink" Target="file:///\\cclserver\DATA\P%202020\03%20CR%20Projects\06-20-CR-002%20MEDORE%20Tower\Construction%20Phase\" TargetMode="External"/><Relationship Id="rId485" Type="http://schemas.openxmlformats.org/officeDocument/2006/relationships/hyperlink" Target="file:///\\cclserver\DATA\P%202020\03%20CR%20Projects\06-22-CR-014%20Saudi%20German%20Hospital%20Mirdif" TargetMode="External"/><Relationship Id="rId42" Type="http://schemas.openxmlformats.org/officeDocument/2006/relationships/hyperlink" Target="file:///\\cclserver\DATA\P%202020\03%20CR%20Projects\06-20-CR-002%20MEDORE%20Tower\Construction%20Phase\" TargetMode="External"/><Relationship Id="rId84" Type="http://schemas.openxmlformats.org/officeDocument/2006/relationships/hyperlink" Target="file:///\\cclserver\DATA\P%202020\03%20CR%20Projects\06-22-CR-006%20Prayer%20hall%20Al-Quoz%20(Towers%20United)" TargetMode="External"/><Relationship Id="rId138" Type="http://schemas.openxmlformats.org/officeDocument/2006/relationships/hyperlink" Target="file:///\\cclserver\DATA\P%202020\03%20CR%20Projects\06-21-CR-005%20Marsa%20Al%20Arab\Construction%20phase" TargetMode="External"/><Relationship Id="rId345" Type="http://schemas.openxmlformats.org/officeDocument/2006/relationships/hyperlink" Target="file:///\\cclserver\DATA\P%202020\03%20CR%20Projects\06-22-CR-009%20Profile%20Residence" TargetMode="External"/><Relationship Id="rId387" Type="http://schemas.openxmlformats.org/officeDocument/2006/relationships/hyperlink" Target="file:///\\cclserver\DATA\Q%202020\CCL%20STRENGTHENING\FILING_PENDING\16.%20Center%20Park" TargetMode="External"/><Relationship Id="rId510" Type="http://schemas.openxmlformats.org/officeDocument/2006/relationships/hyperlink" Target="file:///\\cclserver\DATA\Q%202020\CCL%20STRENGTHENING\Dubai\2022\R1.5399.22%20Nakheel%20Mall%20Redevelopment" TargetMode="External"/><Relationship Id="rId552" Type="http://schemas.openxmlformats.org/officeDocument/2006/relationships/hyperlink" Target="file:///\\cclserver\DATA\P%202020\03%20CR%20Projects\06-22-CR-013%20CP03-09%20and%20CP03-13%20(Azizi)" TargetMode="External"/><Relationship Id="rId594" Type="http://schemas.openxmlformats.org/officeDocument/2006/relationships/hyperlink" Target="file:///\\cclserver\DATA\P%202020\03%20CR%20Projects\06-22-CR-017%20Addax%20Tower" TargetMode="External"/><Relationship Id="rId608" Type="http://schemas.openxmlformats.org/officeDocument/2006/relationships/hyperlink" Target="file:///\\cclserver\DATA\P%202020\03%20CR%20Projects\06-21-CR-005%20Marsa%20Al%20Arab\Construction%20phase" TargetMode="External"/><Relationship Id="rId191" Type="http://schemas.openxmlformats.org/officeDocument/2006/relationships/hyperlink" Target="file:///\\cclserver\DATA\Q%202020\CCL%20STRENGTHENING\Dubai\2023\R1.5562.23%20Park%20Tower" TargetMode="External"/><Relationship Id="rId205" Type="http://schemas.openxmlformats.org/officeDocument/2006/relationships/hyperlink" Target="file:///\\cclserver\DATA\P%202020\03%20CR%20Projects\06-21-CR-005%20Marsa%20Al%20Arab\Construction%20phase" TargetMode="External"/><Relationship Id="rId247" Type="http://schemas.openxmlformats.org/officeDocument/2006/relationships/hyperlink" Target="file:///\\cclserver\DATA\P%202020\03%20CR%20Projects\06-22-CR-009%20Profile%20Residence" TargetMode="External"/><Relationship Id="rId412" Type="http://schemas.openxmlformats.org/officeDocument/2006/relationships/hyperlink" Target="file:///\\cclserver\DATA\Q%202020\CCL%20STRENGTHENING\Dubai\2023\R1.5541.23%20Mina%20Bldg%20Al-Baha%20(Raffa)" TargetMode="External"/><Relationship Id="rId107" Type="http://schemas.openxmlformats.org/officeDocument/2006/relationships/hyperlink" Target="file:///\\cclserver\DATA\P%202020\03%20CR%20Projects\06-21-CR-005%20Marsa%20Al%20Arab\Construction%20phase" TargetMode="External"/><Relationship Id="rId289" Type="http://schemas.openxmlformats.org/officeDocument/2006/relationships/hyperlink" Target="file:///\\cclserver\DATA\P%202020\03%20CR%20Projects\06-22-CR-009%20Profile%20Residence" TargetMode="External"/><Relationship Id="rId454" Type="http://schemas.openxmlformats.org/officeDocument/2006/relationships/hyperlink" Target="file:///\\cclserver\DATA\Q%202020\CCL%20STRENGTHENING\Dubai\2023\R1.5533.23%20Labor%20Camp%20@%20Warsan" TargetMode="External"/><Relationship Id="rId496" Type="http://schemas.openxmlformats.org/officeDocument/2006/relationships/hyperlink" Target="file:///\\cclserver\DATA\Q%202020\CCL%20STRENGTHENING\Dubai\2022\R1.5399.22%20Nakheel%20Mall%20Redevelopment" TargetMode="External"/><Relationship Id="rId11" Type="http://schemas.openxmlformats.org/officeDocument/2006/relationships/hyperlink" Target="file:///\\cclserver\DATA\P%202020\03%20CR%20Projects\06-21-CR-005%20Marsa%20Al%20Arab\Construction%20phase" TargetMode="External"/><Relationship Id="rId53" Type="http://schemas.openxmlformats.org/officeDocument/2006/relationships/hyperlink" Target="file:///\\cclserver\DATA\P%202020\03%20CR%20Projects\06-21-CR-005%20Marsa%20Al%20Arab\Construction%20phase" TargetMode="External"/><Relationship Id="rId149" Type="http://schemas.openxmlformats.org/officeDocument/2006/relationships/hyperlink" Target="file:///\\cclserver\DATA\P%202020\03%20CR%20Projects\06-22-CR-011%20Park%20Avenue%203%20(Azizi)" TargetMode="External"/><Relationship Id="rId314" Type="http://schemas.openxmlformats.org/officeDocument/2006/relationships/hyperlink" Target="file:///\\cclserver\DATA\Q%202020\CCL%20STRENGTHENING\Dubai\2023\R1.5516.23%20Burjuman%20Mall%20Refurbishment" TargetMode="External"/><Relationship Id="rId356" Type="http://schemas.openxmlformats.org/officeDocument/2006/relationships/hyperlink" Target="file:///\\cclserver\DATA\Q%202020\CCL%20STRENGTHENING\Dubai\2023\R1.5546.23%20CP03%20-%2002%20&amp;%20003" TargetMode="External"/><Relationship Id="rId398" Type="http://schemas.openxmlformats.org/officeDocument/2006/relationships/hyperlink" Target="file:///\\cclserver\DATA\P%202020\03%20CR%20Projects\06-20-CR-002%20MEDORE%20Tower\Construction%20Phase\" TargetMode="External"/><Relationship Id="rId521" Type="http://schemas.openxmlformats.org/officeDocument/2006/relationships/hyperlink" Target="file:///\\cclserver\DATA\P%202020\03%20CR%20Projects\06-22-CR-009%20Profile%20Residence" TargetMode="External"/><Relationship Id="rId563" Type="http://schemas.openxmlformats.org/officeDocument/2006/relationships/hyperlink" Target="file:///\\cclserver\DATA\P%202020\03%20CR%20Projects\06-22-CR-017%20Addax%20Tower" TargetMode="External"/><Relationship Id="rId619" Type="http://schemas.openxmlformats.org/officeDocument/2006/relationships/hyperlink" Target="file:///\\cclserver\DATA\Q%202020\CCL%20STRENGTHENING\Dubai\2021\R1.5261.21%20Al%20Wasl%20Tower" TargetMode="External"/><Relationship Id="rId95" Type="http://schemas.openxmlformats.org/officeDocument/2006/relationships/hyperlink" Target="file:///\\cclserver\DATA\P%202020\03%20CR%20Projects\06-21-CR-005%20Marsa%20Al%20Arab\Construction%20phase" TargetMode="External"/><Relationship Id="rId160" Type="http://schemas.openxmlformats.org/officeDocument/2006/relationships/hyperlink" Target="file:///\\cclserver\DATA\P%202020\03%20CR%20Projects\06-20-CR-002%20MEDORE%20Tower\Construction%20Phase\" TargetMode="External"/><Relationship Id="rId216" Type="http://schemas.openxmlformats.org/officeDocument/2006/relationships/hyperlink" Target="file:///\\cclserver\DATA\P%202020\03%20CR%20Projects\06-22-CR-011%20Park%20Avenue%203%20(Azizi)" TargetMode="External"/><Relationship Id="rId423" Type="http://schemas.openxmlformats.org/officeDocument/2006/relationships/hyperlink" Target="file:///\\cclserver\DATA\Q%202020\CCL%20STRENGTHENING\Dubai\2023\R1.5537.23%20Astoria%20Tower%20Habtoor%20City" TargetMode="External"/><Relationship Id="rId258" Type="http://schemas.openxmlformats.org/officeDocument/2006/relationships/hyperlink" Target="file:///\\cclserver\DATA\P%202020\03%20CR%20Projects\06-22-CR-006%20Prayer%20hall%20Al-Quoz%20(Towers%20United)" TargetMode="External"/><Relationship Id="rId465" Type="http://schemas.openxmlformats.org/officeDocument/2006/relationships/hyperlink" Target="file:///\\cclserver\DATA\Q%202020\CCL%20STRENGTHENING\Dubai\2022\R1.5399.22%20Nakheel%20Mall%20Redevelopment" TargetMode="External"/><Relationship Id="rId630" Type="http://schemas.openxmlformats.org/officeDocument/2006/relationships/hyperlink" Target="file:///\\cclserver\DATA\Q%202020\CCL%20STRENGTHENING\Dubai\2021\R1.5261.21%20Al%20Wasl%20Tower" TargetMode="External"/><Relationship Id="rId22" Type="http://schemas.openxmlformats.org/officeDocument/2006/relationships/hyperlink" Target="file:///\\cclserver\DATA\Q%202020\CCL%20STRENGTHENING\Dubai\2023\R1.5574.23%20Palm%20Beach%20Towers" TargetMode="External"/><Relationship Id="rId64" Type="http://schemas.openxmlformats.org/officeDocument/2006/relationships/hyperlink" Target="file:///\\cclserver\DATA\Q%202020\CCL%20STRENGTHENING\Dubai\2023\R1.5574.23%20Palm%20Beach%20Towers" TargetMode="External"/><Relationship Id="rId118" Type="http://schemas.openxmlformats.org/officeDocument/2006/relationships/hyperlink" Target="file:///\\cclserver\DATA\Q%202020\CCL%20STRENGTHENING\Dubai\2023\R1.5567.23%20CP03-005" TargetMode="External"/><Relationship Id="rId325" Type="http://schemas.openxmlformats.org/officeDocument/2006/relationships/hyperlink" Target="file:///\\cclserver\DATA\P%202020\03%20CR%20Projects\06-22-CR-017%20Addax%20Tower" TargetMode="External"/><Relationship Id="rId367" Type="http://schemas.openxmlformats.org/officeDocument/2006/relationships/hyperlink" Target="file:///\\cclserver\DATA\Q%202020\CCL%20STRENGTHENING\Dubai\2023\R1.5516.23%20Burjuman%20Mall%20Refurbishment" TargetMode="External"/><Relationship Id="rId532" Type="http://schemas.openxmlformats.org/officeDocument/2006/relationships/hyperlink" Target="file:///\\cclserver\DATA\P%202020\03%20CR%20Projects\06-21-CR-005%20Marsa%20Al%20Arab\Construction%20phase" TargetMode="External"/><Relationship Id="rId574" Type="http://schemas.openxmlformats.org/officeDocument/2006/relationships/hyperlink" Target="file:///\\cclserver\DATA\P%202020\03%20CR%20Projects\06-22-CR-006%20Prayer%20hall%20Al-Quoz%20(Towers%20United)" TargetMode="External"/><Relationship Id="rId171" Type="http://schemas.openxmlformats.org/officeDocument/2006/relationships/hyperlink" Target="file:///\\cclserver\DATA\Q%202020\CCL%20STRENGTHENING\Dubai\2023\R1.5562.23%20Park%20Tower" TargetMode="External"/><Relationship Id="rId227" Type="http://schemas.openxmlformats.org/officeDocument/2006/relationships/hyperlink" Target="file:///\\cclserver\DATA\P%202020\03%20CR%20Projects\06-20-CR-002%20MEDORE%20Tower\Construction%20Phase\" TargetMode="External"/><Relationship Id="rId269" Type="http://schemas.openxmlformats.org/officeDocument/2006/relationships/hyperlink" Target="file:///\\cclserver\DATA\Q%202020\CCL%20STRENGTHENING\Dubai\2023\R1.5550.23%20OFFICE%20ANNEX%20Str" TargetMode="External"/><Relationship Id="rId434" Type="http://schemas.openxmlformats.org/officeDocument/2006/relationships/hyperlink" Target="file:///\\cclserver\DATA\P%202020\03%20CR%20Projects\06-22-CR-014%20Saudi%20German%20Hospital%20Mirdif" TargetMode="External"/><Relationship Id="rId476" Type="http://schemas.openxmlformats.org/officeDocument/2006/relationships/hyperlink" Target="file:///\\cclserver\DATA\P%202020\03%20CR%20Projects\06-22-CR-004%20G+1%20Private%20Villa%20&amp;%20Majlis" TargetMode="External"/><Relationship Id="rId641" Type="http://schemas.openxmlformats.org/officeDocument/2006/relationships/hyperlink" Target="file:///\\cclserver\DATA\Q%202020\CCL%20STRENGTHENING\BAHRAIN\1.%20Dilmunia%20Mall" TargetMode="External"/><Relationship Id="rId33" Type="http://schemas.openxmlformats.org/officeDocument/2006/relationships/hyperlink" Target="file:///\\cclserver\DATA\P%202020\03%20CR%20Projects\06-22-CR-011%20Park%20Avenue%203%20(Azizi)" TargetMode="External"/><Relationship Id="rId129" Type="http://schemas.openxmlformats.org/officeDocument/2006/relationships/hyperlink" Target="file:///\\cclserver\DATA\P%202020\03%20CR%20Projects\06-22-CR-011%20Park%20Avenue%203%20(Azizi)" TargetMode="External"/><Relationship Id="rId280" Type="http://schemas.openxmlformats.org/officeDocument/2006/relationships/hyperlink" Target="file:///\\cclserver\DATA\P%202020\03%20CR%20Projects\06-22-CR-006%20Prayer%20hall%20Al-Quoz%20(Towers%20United)" TargetMode="External"/><Relationship Id="rId336" Type="http://schemas.openxmlformats.org/officeDocument/2006/relationships/hyperlink" Target="file:///\\cclserver\DATA\P%202020\03%20CR%20Projects\06-20-CR-002%20MEDORE%20Tower\Construction%20Phase\" TargetMode="External"/><Relationship Id="rId501" Type="http://schemas.openxmlformats.org/officeDocument/2006/relationships/hyperlink" Target="file:///\\cclserver\DATA\Q%202020\CCL%20STRENGTHENING\Dubai\2022\R1.5399.22%20Nakheel%20Mall%20Redevelopment" TargetMode="External"/><Relationship Id="rId543" Type="http://schemas.openxmlformats.org/officeDocument/2006/relationships/hyperlink" Target="file:///\\cclserver\DATA\P%202020\03%20CR%20Projects\06-22-CR-013%20CP03-09%20and%20CP03-13%20(Azizi)" TargetMode="External"/><Relationship Id="rId75" Type="http://schemas.openxmlformats.org/officeDocument/2006/relationships/hyperlink" Target="file:///\\cclserver\DATA\P%202020\03%20CR%20Projects\06-22-CR-014%20Saudi%20German%20Hospital%20Mirdif" TargetMode="External"/><Relationship Id="rId140" Type="http://schemas.openxmlformats.org/officeDocument/2006/relationships/hyperlink" Target="file:///\\cclserver\DATA\P%202020\03%20CR%20Projects\06-22-CR-009%20Profile%20Residence" TargetMode="External"/><Relationship Id="rId182" Type="http://schemas.openxmlformats.org/officeDocument/2006/relationships/hyperlink" Target="file:///\\cclserver\DATA\P%202020\03%20CR%20Projects\06-22-CR-011%20Park%20Avenue%203%20(Azizi)" TargetMode="External"/><Relationship Id="rId378" Type="http://schemas.openxmlformats.org/officeDocument/2006/relationships/hyperlink" Target="file:///\\cclserver\DATA\P%202020\03%20CR%20Projects\06-22-CR-014%20Saudi%20German%20Hospital%20Mirdif" TargetMode="External"/><Relationship Id="rId403" Type="http://schemas.openxmlformats.org/officeDocument/2006/relationships/hyperlink" Target="file:///\\cclserver\DATA\P%202020\03%20CR%20Projects\06-22-CR-004%20G+1%20Private%20Villa%20&amp;%20Majlis" TargetMode="External"/><Relationship Id="rId585" Type="http://schemas.openxmlformats.org/officeDocument/2006/relationships/hyperlink" Target="file:///\\cclserver\DATA\P%202020\03%20CR%20Projects\06-20-CR-002%20MEDORE%20Tower\Construction%20Phase\" TargetMode="External"/><Relationship Id="rId6" Type="http://schemas.openxmlformats.org/officeDocument/2006/relationships/hyperlink" Target="file:///\\cclserver\DATA\Q%202020\CCL%20STRENGTHENING\Dubai\2023\R1.5574.23%20Palm%20Beach%20Towers" TargetMode="External"/><Relationship Id="rId238" Type="http://schemas.openxmlformats.org/officeDocument/2006/relationships/hyperlink" Target="file:///\\cclserver\DATA\Q%202020\CCL%20STRENGTHENING\Dubai\2023\R1.5561.23%20CP01-13%20Meydan%20One" TargetMode="External"/><Relationship Id="rId445" Type="http://schemas.openxmlformats.org/officeDocument/2006/relationships/hyperlink" Target="file:///\\cclserver\DATA\P%202020\03%20CR%20Projects\06-22-CR-011%20Park%20Avenue%203%20(Azizi)" TargetMode="External"/><Relationship Id="rId487" Type="http://schemas.openxmlformats.org/officeDocument/2006/relationships/hyperlink" Target="file:///\\cclserver\DATA\P%202020\03%20CR%20Projects\06-20-CR-002%20MEDORE%20Tower\Construction%20Phase\" TargetMode="External"/><Relationship Id="rId610" Type="http://schemas.openxmlformats.org/officeDocument/2006/relationships/hyperlink" Target="file:///\\cclserver\DATA\P%202020\03%20CR%20Projects\06-22-CR-017%20Addax%20Tower" TargetMode="External"/><Relationship Id="rId652" Type="http://schemas.openxmlformats.org/officeDocument/2006/relationships/hyperlink" Target="file:///\\cclserver\DATA\P%202020\03%20CR%20Projects\06-22-CR-014%20Saudi%20German%20Hospital%20Mirdif" TargetMode="External"/><Relationship Id="rId291" Type="http://schemas.openxmlformats.org/officeDocument/2006/relationships/hyperlink" Target="file:///\\cclserver\DATA\P%202020\03%20CR%20Projects\06-20-CR-002%20MEDORE%20Tower\Construction%20Phase\" TargetMode="External"/><Relationship Id="rId305" Type="http://schemas.openxmlformats.org/officeDocument/2006/relationships/hyperlink" Target="file:///\\cclserver\DATA\P%202020\03%20CR%20Projects\06-22-CR-017%20Addax%20Tower" TargetMode="External"/><Relationship Id="rId347" Type="http://schemas.openxmlformats.org/officeDocument/2006/relationships/hyperlink" Target="file:///\\cclserver\DATA\Q%202020\CCL%20STRENGTHENING\Dubai\2023\R1.5516.23%20Burjuman%20Mall%20Refurbishment" TargetMode="External"/><Relationship Id="rId512" Type="http://schemas.openxmlformats.org/officeDocument/2006/relationships/hyperlink" Target="file:///\\cclserver\DATA\P%202020\03%20CR%20Projects\06-20-CR-002%20MEDORE%20Tower\Construction%20Phase\" TargetMode="External"/><Relationship Id="rId44" Type="http://schemas.openxmlformats.org/officeDocument/2006/relationships/hyperlink" Target="file:///\\cclserver\DATA\P%202020\03%20CR%20Projects\06-21-CR-005%20Marsa%20Al%20Arab\Construction%20phase" TargetMode="External"/><Relationship Id="rId86" Type="http://schemas.openxmlformats.org/officeDocument/2006/relationships/hyperlink" Target="file:///\\cclserver\DATA\P%202020\03%20CR%20Projects\06-21-CR-005%20Marsa%20Al%20Arab\Construction%20phase" TargetMode="External"/><Relationship Id="rId151" Type="http://schemas.openxmlformats.org/officeDocument/2006/relationships/hyperlink" Target="file:///\\cclserver\DATA\Q%202020\CCL%20STRENGTHENING\Dubai\2023\R1.5567.23%20CP03-005" TargetMode="External"/><Relationship Id="rId389" Type="http://schemas.openxmlformats.org/officeDocument/2006/relationships/hyperlink" Target="file:///\\cclserver\DATA\Q%202020\CCL%20STRENGTHENING\Dubai\2023\R1.5541.23%20Mina%20Bldg%20Al-Baha%20(Raffa)" TargetMode="External"/><Relationship Id="rId554" Type="http://schemas.openxmlformats.org/officeDocument/2006/relationships/hyperlink" Target="file:///\\cclserver\DATA\P%202020\03%20CR%20Projects\06-19-CR-007%20Latifa%20Tower" TargetMode="External"/><Relationship Id="rId596" Type="http://schemas.openxmlformats.org/officeDocument/2006/relationships/hyperlink" Target="file:///\\cclserver\DATA\Q%202020\CCL%20STRENGTHENING\Dubai\2022\R1.5399.22%20Nakheel%20Mall%20Redevelopment" TargetMode="External"/><Relationship Id="rId193" Type="http://schemas.openxmlformats.org/officeDocument/2006/relationships/hyperlink" Target="file:///\\cclserver\DATA\P%202020\03%20CR%20Projects\06-21-CR-005%20Marsa%20Al%20Arab\Construction%20phase" TargetMode="External"/><Relationship Id="rId207" Type="http://schemas.openxmlformats.org/officeDocument/2006/relationships/hyperlink" Target="file:///\\cclserver\DATA\P%202020\03%20CR%20Projects\06-21-CR-005%20Marsa%20Al%20Arab\Construction%20phase" TargetMode="External"/><Relationship Id="rId249" Type="http://schemas.openxmlformats.org/officeDocument/2006/relationships/hyperlink" Target="file:///\\cclserver\DATA\P%202020\03%20CR%20Projects\06-20-CR-002%20MEDORE%20Tower\Construction%20Phase\" TargetMode="External"/><Relationship Id="rId414" Type="http://schemas.openxmlformats.org/officeDocument/2006/relationships/hyperlink" Target="file:///\\cclserver\DATA\P%202020\03%20CR%20Projects\06-22-CR-004%20G+1%20Private%20Villa%20&amp;%20Majlis" TargetMode="External"/><Relationship Id="rId456" Type="http://schemas.openxmlformats.org/officeDocument/2006/relationships/hyperlink" Target="file:///\\cclserver\DATA\Q%202020\CCL%20STRENGTHENING\Dubai\2022\R1.5399.22%20Nakheel%20Mall%20Redevelopment" TargetMode="External"/><Relationship Id="rId498" Type="http://schemas.openxmlformats.org/officeDocument/2006/relationships/hyperlink" Target="file:///\\cclserver\DATA\P%202020\03%20CR%20Projects\06-22-CR-004%20G+1%20Private%20Villa%20&amp;%20Majlis" TargetMode="External"/><Relationship Id="rId621" Type="http://schemas.openxmlformats.org/officeDocument/2006/relationships/hyperlink" Target="file:///\\cclserver\DATA\Q%202020\CCL%20STRENGTHENING\Dubai\2022\R1.5399.22%20Nakheel%20Mall%20Redevelopment" TargetMode="External"/><Relationship Id="rId13" Type="http://schemas.openxmlformats.org/officeDocument/2006/relationships/hyperlink" Target="file:///\\cclserver\DATA\Q%202020\CCL%20STRENGTHENING\Dubai\2023\R1.5583.23%20Gold%20Souk%20Dubai%20mall" TargetMode="External"/><Relationship Id="rId109" Type="http://schemas.openxmlformats.org/officeDocument/2006/relationships/hyperlink" Target="file:///\\cclserver\DATA\P%202020\03%20CR%20Projects\06-21-CR-005%20Marsa%20Al%20Arab\Construction%20phase" TargetMode="External"/><Relationship Id="rId260" Type="http://schemas.openxmlformats.org/officeDocument/2006/relationships/hyperlink" Target="file:///\\cclserver\DATA\Q%202020\CCL%20STRENGTHENING\Dubai\2023\R1.5550.23%20OFFICE%20ANNEX%20Str" TargetMode="External"/><Relationship Id="rId316" Type="http://schemas.openxmlformats.org/officeDocument/2006/relationships/hyperlink" Target="file:///\\cclserver\DATA\Q%202020\CCL%20STRENGTHENING\Dubai\2023\R1.5530.23%20SARI%20Villa%20Al%20Awir" TargetMode="External"/><Relationship Id="rId523" Type="http://schemas.openxmlformats.org/officeDocument/2006/relationships/hyperlink" Target="file:///\\cclserver\DATA\P%202020\03%20CR%20Projects\06-20-CR-002%20MEDORE%20Tower\Construction%20Phase\" TargetMode="External"/><Relationship Id="rId55" Type="http://schemas.openxmlformats.org/officeDocument/2006/relationships/hyperlink" Target="file:///\\cclserver\DATA\Q%202020\CCL%20STRENGTHENING\Dubai\2023\R1.5574.23%20Palm%20Beach%20Towers" TargetMode="External"/><Relationship Id="rId97" Type="http://schemas.openxmlformats.org/officeDocument/2006/relationships/hyperlink" Target="file:///\\cclserver\DATA\Q%202020\CCL%20STRENGTHENING\Dubai\2021\R1.5261.21%20Al%20Wasl%20Tower" TargetMode="External"/><Relationship Id="rId120" Type="http://schemas.openxmlformats.org/officeDocument/2006/relationships/hyperlink" Target="file:///\\cclserver\DATA\P%202020\03%20CR%20Projects\06-22-CR-009%20Profile%20Residence" TargetMode="External"/><Relationship Id="rId358" Type="http://schemas.openxmlformats.org/officeDocument/2006/relationships/hyperlink" Target="file:///\\cclserver\DATA\P%202020\03%20CR%20Projects\06-22-CR-011%20Park%20Avenue%203%20(Azizi)" TargetMode="External"/><Relationship Id="rId565" Type="http://schemas.openxmlformats.org/officeDocument/2006/relationships/hyperlink" Target="file:///\\cclserver\DATA\P%202020\03%20CR%20Projects\06-20-CR-002%20MEDORE%20Tower\Construction%20Phase\" TargetMode="External"/><Relationship Id="rId162" Type="http://schemas.openxmlformats.org/officeDocument/2006/relationships/hyperlink" Target="file:///\\cclserver\DATA\P%202020\03%20CR%20Projects\06-21-CR-005%20Marsa%20Al%20Arab\Construction%20phase" TargetMode="External"/><Relationship Id="rId218" Type="http://schemas.openxmlformats.org/officeDocument/2006/relationships/hyperlink" Target="file:///\\cclserver\DATA\Q%202020\CCL%20STRENGTHENING\Dubai\2023\R1.5562.23%20Park%20Tower" TargetMode="External"/><Relationship Id="rId425" Type="http://schemas.openxmlformats.org/officeDocument/2006/relationships/hyperlink" Target="file:///\\cclserver\DATA\P%202020\03%20CR%20Projects\06-22-CR-004%20G+1%20Private%20Villa%20&amp;%20Majlis" TargetMode="External"/><Relationship Id="rId467" Type="http://schemas.openxmlformats.org/officeDocument/2006/relationships/hyperlink" Target="file:///\\cclserver\DATA\P%202020\03%20CR%20Projects\06-22-CR-017%20Addax%20Tower" TargetMode="External"/><Relationship Id="rId632" Type="http://schemas.openxmlformats.org/officeDocument/2006/relationships/hyperlink" Target="file:///\\cclserver\DATA\Q%202020\CCL%20STRENGTHENING\Dubai\2022\R1.5399.22%20Nakheel%20Mall%20Redevelopment" TargetMode="External"/><Relationship Id="rId271" Type="http://schemas.openxmlformats.org/officeDocument/2006/relationships/hyperlink" Target="file:///\\cclserver\DATA\Q%202020\CCL%20STRENGTHENING\Dubai\2023\R1.5516.23%20Burjuman%20Mall%20Refurbishment" TargetMode="External"/><Relationship Id="rId24" Type="http://schemas.openxmlformats.org/officeDocument/2006/relationships/hyperlink" Target="file:///\\cclserver\DATA\P%202020\03%20CR%20Projects\06-21-CR-005%20Marsa%20Al%20Arab\Construction%20phase" TargetMode="External"/><Relationship Id="rId66" Type="http://schemas.openxmlformats.org/officeDocument/2006/relationships/hyperlink" Target="file:///\\cclserver\DATA\P%202020\03%20CR%20Projects\06-22-CR-014%20Saudi%20German%20Hospital%20Mirdif" TargetMode="External"/><Relationship Id="rId131" Type="http://schemas.openxmlformats.org/officeDocument/2006/relationships/hyperlink" Target="file:///\\cclserver\DATA\Q%202020\CCL%20STRENGTHENING\Dubai\2023\R1.5561.23%20CP01-13%20Meydan%20One" TargetMode="External"/><Relationship Id="rId327" Type="http://schemas.openxmlformats.org/officeDocument/2006/relationships/hyperlink" Target="file:///\\cclserver\DATA\Q%202020\CCL%20STRENGTHENING\Dubai\2022\R1.5399.22%20Nakheel%20Mall%20Redevelopment" TargetMode="External"/><Relationship Id="rId369" Type="http://schemas.openxmlformats.org/officeDocument/2006/relationships/hyperlink" Target="file:///\\cclserver\DATA\P%202020\03%20CR%20Projects\06-22-CR-004%20G+1%20Private%20Villa%20&amp;%20Majlis" TargetMode="External"/><Relationship Id="rId534" Type="http://schemas.openxmlformats.org/officeDocument/2006/relationships/hyperlink" Target="file:///\\cclserver\DATA\P%202020\03%20CR%20Projects\06-21-CR-005%20Marsa%20Al%20Arab\Construction%20phase" TargetMode="External"/><Relationship Id="rId576" Type="http://schemas.openxmlformats.org/officeDocument/2006/relationships/hyperlink" Target="file:///\\cclserver\DATA\P%202020\03%20CR%20Projects\06-21-CR-005%20Marsa%20Al%20Arab\Construction%20phase" TargetMode="External"/><Relationship Id="rId173" Type="http://schemas.openxmlformats.org/officeDocument/2006/relationships/hyperlink" Target="file:///\\cclserver\DATA\P%202020\03%20CR%20Projects\06-22-CR-009%20Profile%20Residence" TargetMode="External"/><Relationship Id="rId229" Type="http://schemas.openxmlformats.org/officeDocument/2006/relationships/hyperlink" Target="file:///\\cclserver\DATA\Q%202020\CCL%20STRENGTHENING\Dubai\2023\R1.5562.23%20Park%20Tower" TargetMode="External"/><Relationship Id="rId380" Type="http://schemas.openxmlformats.org/officeDocument/2006/relationships/hyperlink" Target="file:///\\cclserver\DATA\Q%202020\CCL%20STRENGTHENING\FILING_PENDING\16.%20Center%20Park" TargetMode="External"/><Relationship Id="rId436" Type="http://schemas.openxmlformats.org/officeDocument/2006/relationships/hyperlink" Target="file:///\\cclserver\DATA\P%202020\03%20CR%20Projects\06-21-CR-005%20Marsa%20Al%20Arab\Construction%20phase" TargetMode="External"/><Relationship Id="rId601" Type="http://schemas.openxmlformats.org/officeDocument/2006/relationships/hyperlink" Target="file:///\\cclserver\DATA\P%202020\03%20CR%20Projects\06-22-CR-006%20Prayer%20hall%20Al-Quoz%20(Towers%20United)" TargetMode="External"/><Relationship Id="rId643" Type="http://schemas.openxmlformats.org/officeDocument/2006/relationships/hyperlink" Target="file:///\\cclserver\DATA\Q%202020\CCL%20STRENGTHENING\Dubai\2021\R1.5261.21%20Al%20Wasl%20Tower" TargetMode="External"/><Relationship Id="rId240" Type="http://schemas.openxmlformats.org/officeDocument/2006/relationships/hyperlink" Target="file:///\\cclserver\DATA\Q%202020\CCL%20STRENGTHENING\Dubai\2023\R1.5550.23%20OFFICE%20ANNEX%20Str" TargetMode="External"/><Relationship Id="rId478" Type="http://schemas.openxmlformats.org/officeDocument/2006/relationships/hyperlink" Target="file:///\\cclserver\DATA\Q%202020\CCL%20STRENGTHENING\Dubai\2023\R1.5525.23%20Damac%20Waters%20Edge" TargetMode="External"/><Relationship Id="rId35" Type="http://schemas.openxmlformats.org/officeDocument/2006/relationships/hyperlink" Target="file:///\\cclserver\DATA\Q%202020\CCL%20STRENGTHENING\Dubai\2023\R1.5583.23%20Gold%20Souk%20Dubai%20mall" TargetMode="External"/><Relationship Id="rId77" Type="http://schemas.openxmlformats.org/officeDocument/2006/relationships/hyperlink" Target="file:///\\cclserver\DATA\P%202020\03%20CR%20Projects\06-22-CR-009%20Profile%20Residence" TargetMode="External"/><Relationship Id="rId100" Type="http://schemas.openxmlformats.org/officeDocument/2006/relationships/hyperlink" Target="file:///\\cclserver\DATA\P%202020\03%20CR%20Projects\06-21-CR-005%20Marsa%20Al%20Arab\Construction%20phase" TargetMode="External"/><Relationship Id="rId282" Type="http://schemas.openxmlformats.org/officeDocument/2006/relationships/hyperlink" Target="file:///\\cclserver\DATA\P%202020\03%20CR%20Projects\06-22-CR-009%20Profile%20Residence" TargetMode="External"/><Relationship Id="rId338" Type="http://schemas.openxmlformats.org/officeDocument/2006/relationships/hyperlink" Target="file:///\\cclserver\DATA\P%202020\03%20CR%20Projects\06-22-CR-004%20G+1%20Private%20Villa%20&amp;%20Majlis" TargetMode="External"/><Relationship Id="rId503" Type="http://schemas.openxmlformats.org/officeDocument/2006/relationships/hyperlink" Target="file:///\\cclserver\DATA\P%202020\03%20CR%20Projects\06-22-CR-014%20Saudi%20German%20Hospital%20Mirdif" TargetMode="External"/><Relationship Id="rId545" Type="http://schemas.openxmlformats.org/officeDocument/2006/relationships/hyperlink" Target="file:///\\cclserver\DATA\P%202020\03%20CR%20Projects\06-19-CR-007%20Latifa%20Tower" TargetMode="External"/><Relationship Id="rId587" Type="http://schemas.openxmlformats.org/officeDocument/2006/relationships/hyperlink" Target="file:///\\cclserver\DATA\P%202020\03%20CR%20Projects\06-22-CR-014%20Saudi%20German%20Hospital%20Mirdif" TargetMode="External"/><Relationship Id="rId8" Type="http://schemas.openxmlformats.org/officeDocument/2006/relationships/hyperlink" Target="file:///\\cclserver\DATA\Q%202020\CCL%20STRENGTHENING\Dubai\2021\R1.5261.21%20Al%20Wasl%20Tower" TargetMode="External"/><Relationship Id="rId142" Type="http://schemas.openxmlformats.org/officeDocument/2006/relationships/hyperlink" Target="file:///\\cclserver\DATA\P%202020\03%20CR%20Projects\06-22-CR-011%20Park%20Avenue%203%20(Azizi)" TargetMode="External"/><Relationship Id="rId184" Type="http://schemas.openxmlformats.org/officeDocument/2006/relationships/hyperlink" Target="file:///\\cclserver\DATA\P%202020\03%20CR%20Projects\06-21-CR-005%20Marsa%20Al%20Arab\Construction%20phase" TargetMode="External"/><Relationship Id="rId391" Type="http://schemas.openxmlformats.org/officeDocument/2006/relationships/hyperlink" Target="file:///\\cclserver\DATA\P%202020\03%20CR%20Projects\06-21-CR-005%20Marsa%20Al%20Arab\Construction%20phase" TargetMode="External"/><Relationship Id="rId405" Type="http://schemas.openxmlformats.org/officeDocument/2006/relationships/hyperlink" Target="file:///\\cclserver\DATA\P%202020\03%20CR%20Projects\06-22-CR-009%20Profile%20Residence" TargetMode="External"/><Relationship Id="rId447" Type="http://schemas.openxmlformats.org/officeDocument/2006/relationships/hyperlink" Target="file:///\\cclserver\DATA\P%202020\03%20CR%20Projects\06-22-CR-017%20Addax%20Tower" TargetMode="External"/><Relationship Id="rId612" Type="http://schemas.openxmlformats.org/officeDocument/2006/relationships/hyperlink" Target="file:///\\cclserver\DATA\Q%202020\CCL%20STRENGTHENING\Dubai\2022\R1.5399.22%20Nakheel%20Mall%20Redevelopment" TargetMode="External"/><Relationship Id="rId251" Type="http://schemas.openxmlformats.org/officeDocument/2006/relationships/hyperlink" Target="file:///\\cclserver\DATA\P%202020\03%20CR%20Projects\06-21-CR-005%20Marsa%20Al%20Arab\Construction%20phase" TargetMode="External"/><Relationship Id="rId489" Type="http://schemas.openxmlformats.org/officeDocument/2006/relationships/hyperlink" Target="file:///\\cclserver\DATA\Q%202020\CCL%20STRENGTHENING\Dubai\2023\R1.5525.23%20Damac%20Waters%20Edge" TargetMode="External"/><Relationship Id="rId654" Type="http://schemas.openxmlformats.org/officeDocument/2006/relationships/hyperlink" Target="file:///\\cclserver\DATA\P%202020\03%20CR%20Projects\06-20-CR-002%20MEDORE%20Tower\Construction%20Phase\" TargetMode="External"/><Relationship Id="rId46" Type="http://schemas.openxmlformats.org/officeDocument/2006/relationships/hyperlink" Target="file:///\\cclserver\DATA\Q%202020\CCL%20STRENGTHENING\Dubai\2023\R1.5574.23%20Palm%20Beach%20Towers" TargetMode="External"/><Relationship Id="rId293" Type="http://schemas.openxmlformats.org/officeDocument/2006/relationships/hyperlink" Target="file:///\\cclserver\DATA\P%202020\03%20CR%20Projects\06-22-CR-017%20Addax%20Tower" TargetMode="External"/><Relationship Id="rId307" Type="http://schemas.openxmlformats.org/officeDocument/2006/relationships/hyperlink" Target="file:///\\cclserver\DATA\Q%202020\CCL%20STRENGTHENING\Dubai\2022\R1.5399.22%20Nakheel%20Mall%20Redevelopment" TargetMode="External"/><Relationship Id="rId349" Type="http://schemas.openxmlformats.org/officeDocument/2006/relationships/hyperlink" Target="file:///\\cclserver\DATA\Q%202020\CCL%20STRENGTHENING\Dubai\2023\R1.5514.23%20Private%20Palace%20Jumeirah" TargetMode="External"/><Relationship Id="rId514" Type="http://schemas.openxmlformats.org/officeDocument/2006/relationships/hyperlink" Target="file:///\\cclserver\DATA\Q%202020\CCL%20STRENGTHENING\Dubai\2023\R1.5526.23%20Damac%20Cour%20Jardin" TargetMode="External"/><Relationship Id="rId556" Type="http://schemas.openxmlformats.org/officeDocument/2006/relationships/hyperlink" Target="file:///\\cclserver\DATA\P%202020\03%20CR%20Projects\06-22-CR-006%20Prayer%20hall%20Al-Quoz%20(Towers%20United)" TargetMode="External"/><Relationship Id="rId88" Type="http://schemas.openxmlformats.org/officeDocument/2006/relationships/hyperlink" Target="file:///\\cclserver\DATA\P%202020\03%20CR%20Projects\06-21-CR-005%20Marsa%20Al%20Arab\Construction%20phase" TargetMode="External"/><Relationship Id="rId111" Type="http://schemas.openxmlformats.org/officeDocument/2006/relationships/hyperlink" Target="file:///\\cclserver\DATA\Q%202020\CCL%20STRENGTHENING\Dubai\2023\R1.5574.23%20Palm%20Beach%20Towers" TargetMode="External"/><Relationship Id="rId153" Type="http://schemas.openxmlformats.org/officeDocument/2006/relationships/hyperlink" Target="file:///\\cclserver\DATA\P%202020\03%20CR%20Projects\06-22-CR-009%20Profile%20Residence" TargetMode="External"/><Relationship Id="rId195" Type="http://schemas.openxmlformats.org/officeDocument/2006/relationships/hyperlink" Target="file:///\\cclserver\DATA\Q%202020\CCL%20STRENGTHENING\Dubai\2023\R1.5562.23%20Park%20Tower" TargetMode="External"/><Relationship Id="rId209" Type="http://schemas.openxmlformats.org/officeDocument/2006/relationships/hyperlink" Target="file:///\\cclserver\DATA\Q%202020\CCL%20STRENGTHENING\Dubai\2023\R1.5562.23%20Park%20Tower" TargetMode="External"/><Relationship Id="rId360" Type="http://schemas.openxmlformats.org/officeDocument/2006/relationships/hyperlink" Target="file:///\\cclserver\DATA\P%202020\03%20CR%20Projects\06-22-CR-004%20G+1%20Private%20Villa%20&amp;%20Majlis" TargetMode="External"/><Relationship Id="rId416" Type="http://schemas.openxmlformats.org/officeDocument/2006/relationships/hyperlink" Target="file:///\\cclserver\DATA\P%202020\03%20CR%20Projects\06-21-CR-005%20Marsa%20Al%20Arab\Construction%20phase" TargetMode="External"/><Relationship Id="rId598" Type="http://schemas.openxmlformats.org/officeDocument/2006/relationships/hyperlink" Target="file:///\\cclserver\DATA\P%202020\03%20CR%20Projects\06-22-CR-004%20G+1%20Private%20Villa%20&amp;%20Majlis" TargetMode="External"/><Relationship Id="rId220" Type="http://schemas.openxmlformats.org/officeDocument/2006/relationships/hyperlink" Target="file:///\\cclserver\DATA\Q%202020\CCL%20STRENGTHENING\Dubai\2023\R1.5514.23%20Private%20Palace%20Jumeirah" TargetMode="External"/><Relationship Id="rId458" Type="http://schemas.openxmlformats.org/officeDocument/2006/relationships/hyperlink" Target="file:///\\cclserver\DATA\P%202020\03%20CR%20Projects\06-22-CR-017%20Addax%20Tower" TargetMode="External"/><Relationship Id="rId623" Type="http://schemas.openxmlformats.org/officeDocument/2006/relationships/hyperlink" Target="file:///\\cclserver\DATA\P%202020\03%20CR%20Projects\06-22-CR-017%20Addax%20Tower" TargetMode="External"/><Relationship Id="rId15" Type="http://schemas.openxmlformats.org/officeDocument/2006/relationships/hyperlink" Target="file:///\\cclserver\DATA\P%202020\03%20CR%20Projects\06-21-CR-005%20Marsa%20Al%20Arab\Construction%20phase" TargetMode="External"/><Relationship Id="rId57" Type="http://schemas.openxmlformats.org/officeDocument/2006/relationships/hyperlink" Target="file:///\\cclserver\DATA\P%202020\03%20CR%20Projects\06-22-CR-014%20Saudi%20German%20Hospital%20Mirdif" TargetMode="External"/><Relationship Id="rId262" Type="http://schemas.openxmlformats.org/officeDocument/2006/relationships/hyperlink" Target="file:///\\cclserver\DATA\P%202020\03%20CR%20Projects\06-22-CR-017%20Addax%20Tower" TargetMode="External"/><Relationship Id="rId318" Type="http://schemas.openxmlformats.org/officeDocument/2006/relationships/hyperlink" Target="file:///\\cclserver\DATA\P%202020\03%20CR%20Projects\06-22-CR-017%20Addax%20Tower" TargetMode="External"/><Relationship Id="rId525" Type="http://schemas.openxmlformats.org/officeDocument/2006/relationships/hyperlink" Target="file:///\\cclserver\DATA\P%202020\03%20CR%20Projects\06-21-CR-005%20Marsa%20Al%20Arab\Construction%20phase" TargetMode="External"/><Relationship Id="rId567" Type="http://schemas.openxmlformats.org/officeDocument/2006/relationships/hyperlink" Target="file:///\\cclserver\DATA\P%202020\03%20CR%20Projects\06-19-CR-007%20Latifa%20Tower" TargetMode="External"/><Relationship Id="rId99" Type="http://schemas.openxmlformats.org/officeDocument/2006/relationships/hyperlink" Target="file:///\\cclserver\DATA\P%202020\03%20CR%20Projects\06-22-CR-009%20Profile%20Residence" TargetMode="External"/><Relationship Id="rId122" Type="http://schemas.openxmlformats.org/officeDocument/2006/relationships/hyperlink" Target="file:///\\cclserver\DATA\P%202020\03%20CR%20Projects\06-22-CR-011%20Park%20Avenue%203%20(Azizi)" TargetMode="External"/><Relationship Id="rId164" Type="http://schemas.openxmlformats.org/officeDocument/2006/relationships/hyperlink" Target="file:///\\cclserver\DATA\P%202020\03%20CR%20Projects\06-21-CR-005%20Marsa%20Al%20Arab\Construction%20phase" TargetMode="External"/><Relationship Id="rId371" Type="http://schemas.openxmlformats.org/officeDocument/2006/relationships/hyperlink" Target="file:///\\cclserver\DATA\P%202020\03%20CR%20Projects\06-22-CR-009%20Profile%20Residence" TargetMode="External"/><Relationship Id="rId427" Type="http://schemas.openxmlformats.org/officeDocument/2006/relationships/hyperlink" Target="file:///\\cclserver\DATA\P%202020\03%20CR%20Projects\06-22-CR-014%20Saudi%20German%20Hospital%20Mirdif" TargetMode="External"/><Relationship Id="rId469" Type="http://schemas.openxmlformats.org/officeDocument/2006/relationships/hyperlink" Target="file:///\\cclserver\DATA\Q%202020\CCL%20STRENGTHENING\Dubai\2023\R1.5526.23%20Damac%20Cour%20Jardin" TargetMode="External"/><Relationship Id="rId634" Type="http://schemas.openxmlformats.org/officeDocument/2006/relationships/hyperlink" Target="file:///\\cclserver\DATA\Q%202020\CCL%20STRENGTHENING\Dubai\2021\R1.5261.21%20Al%20Wasl%20Tower" TargetMode="External"/><Relationship Id="rId26" Type="http://schemas.openxmlformats.org/officeDocument/2006/relationships/hyperlink" Target="file:///\\cclserver\DATA\P%202020\03%20CR%20Projects\06-22-CR-011%20Park%20Avenue%203%20(Azizi)" TargetMode="External"/><Relationship Id="rId231" Type="http://schemas.openxmlformats.org/officeDocument/2006/relationships/hyperlink" Target="file:///\\cclserver\DATA\Q%202020\CCL%20STRENGTHENING\Dubai\2023\R1.5550.23%20OFFICE%20ANNEX%20Str" TargetMode="External"/><Relationship Id="rId273" Type="http://schemas.openxmlformats.org/officeDocument/2006/relationships/hyperlink" Target="file:///\\cclserver\DATA\P%202020\03%20CR%20Projects\06-22-CR-009%20Profile%20Residence" TargetMode="External"/><Relationship Id="rId329" Type="http://schemas.openxmlformats.org/officeDocument/2006/relationships/hyperlink" Target="file:///\\cclserver\DATA\Q%202020\CCL%20STRENGTHENING\Dubai\2023\R1.5516.23%20Burjuman%20Mall%20Refurbishment" TargetMode="External"/><Relationship Id="rId480" Type="http://schemas.openxmlformats.org/officeDocument/2006/relationships/hyperlink" Target="file:///\\cclserver\DATA\P%202020\03%20CR%20Projects\06-22-CR-011%20Park%20Avenue%203%20(Azizi)" TargetMode="External"/><Relationship Id="rId536" Type="http://schemas.openxmlformats.org/officeDocument/2006/relationships/hyperlink" Target="file:///\\cclserver\DATA\P%202020\01%20Dubai\06-23-BU-002%20Beachfront%201-%20Azizi\Construction%20Phase" TargetMode="External"/><Relationship Id="rId68" Type="http://schemas.openxmlformats.org/officeDocument/2006/relationships/hyperlink" Target="file:///\\cclserver\DATA\P%202020\03%20CR%20Projects\06-22-CR-006%20Prayer%20hall%20Al-Quoz%20(Towers%20United)" TargetMode="External"/><Relationship Id="rId133" Type="http://schemas.openxmlformats.org/officeDocument/2006/relationships/hyperlink" Target="file:///\\cclserver\DATA\Q%202020\CCL%20STRENGTHENING\Dubai\2023\R1.5567.23%20CP03-005" TargetMode="External"/><Relationship Id="rId175" Type="http://schemas.openxmlformats.org/officeDocument/2006/relationships/hyperlink" Target="file:///\\cclserver\DATA\P%202020\03%20CR%20Projects\06-22-CR-011%20Park%20Avenue%203%20(Azizi)" TargetMode="External"/><Relationship Id="rId340" Type="http://schemas.openxmlformats.org/officeDocument/2006/relationships/hyperlink" Target="file:///\\cclserver\DATA\Q%202020\CCL%20STRENGTHENING\Dubai\2023\R1.5516.23%20Burjuman%20Mall%20Refurbishment" TargetMode="External"/><Relationship Id="rId578" Type="http://schemas.openxmlformats.org/officeDocument/2006/relationships/hyperlink" Target="file:///\\cclserver\DATA\P%202020\03%20CR%20Projects\06-22-CR-017%20Addax%20Tower" TargetMode="External"/><Relationship Id="rId200" Type="http://schemas.openxmlformats.org/officeDocument/2006/relationships/hyperlink" Target="file:///\\cclserver\DATA\Q%202020\CCL%20STRENGTHENING\Dubai\2023\R1.5562.23%20Park%20Tower" TargetMode="External"/><Relationship Id="rId382" Type="http://schemas.openxmlformats.org/officeDocument/2006/relationships/hyperlink" Target="file:///\\cclserver\DATA\Q%202020\CCL%20STRENGTHENING\Dubai\2023\R1.5541.23%20Mina%20Bldg%20Al-Baha%20(Raffa)" TargetMode="External"/><Relationship Id="rId438" Type="http://schemas.openxmlformats.org/officeDocument/2006/relationships/hyperlink" Target="file:///\\cclserver\DATA\P%202020\03%20CR%20Projects\06-22-CR-009%20Profile%20Residence" TargetMode="External"/><Relationship Id="rId603" Type="http://schemas.openxmlformats.org/officeDocument/2006/relationships/hyperlink" Target="file:///\\cclserver\DATA\P%202020\03%20CR%20Projects\06-20-CR-002%20MEDORE%20Tower\Construction%20Phase\" TargetMode="External"/><Relationship Id="rId645" Type="http://schemas.openxmlformats.org/officeDocument/2006/relationships/hyperlink" Target="file:///\\cclserver\DATA\P%202020\03%20CR%20Projects\06-22-CR-017%20Addax%20Tower" TargetMode="External"/><Relationship Id="rId242" Type="http://schemas.openxmlformats.org/officeDocument/2006/relationships/hyperlink" Target="file:///\\cclserver\DATA\P%202020\03%20CR%20Projects\06-22-CR-006%20Prayer%20hall%20Al-Quoz%20(Towers%20United)" TargetMode="External"/><Relationship Id="rId284" Type="http://schemas.openxmlformats.org/officeDocument/2006/relationships/hyperlink" Target="file:///\\cclserver\DATA\P%202020\03%20CR%20Projects\06-20-CR-002%20MEDORE%20Tower\Construction%20Phase\" TargetMode="External"/><Relationship Id="rId491" Type="http://schemas.openxmlformats.org/officeDocument/2006/relationships/hyperlink" Target="file:///\\cclserver\DATA\Q%202020\CCL%20STRENGTHENING\Dubai\2022\R1.5399.22%20Nakheel%20Mall%20Redevelopment" TargetMode="External"/><Relationship Id="rId505" Type="http://schemas.openxmlformats.org/officeDocument/2006/relationships/hyperlink" Target="file:///\\cclserver\DATA\Q%202020\CCL%20STRENGTHENING\Dubai\2021\R1.5261.21%20Al%20Wasl%20Tower" TargetMode="External"/><Relationship Id="rId37" Type="http://schemas.openxmlformats.org/officeDocument/2006/relationships/hyperlink" Target="file:///\\cclserver\DATA\P%202020\03%20CR%20Projects\06-22-CR-009%20Profile%20Residence" TargetMode="External"/><Relationship Id="rId79" Type="http://schemas.openxmlformats.org/officeDocument/2006/relationships/hyperlink" Target="file:///\\cclserver\DATA\P%202020\03%20CR%20Projects\06-22-CR-011%20Park%20Avenue%203%20(Azizi)" TargetMode="External"/><Relationship Id="rId102" Type="http://schemas.openxmlformats.org/officeDocument/2006/relationships/hyperlink" Target="file:///\\cclserver\DATA\P%202020\03%20CR%20Projects\06-21-CR-005%20Marsa%20Al%20Arab\Construction%20phase" TargetMode="External"/><Relationship Id="rId144" Type="http://schemas.openxmlformats.org/officeDocument/2006/relationships/hyperlink" Target="file:///\\cclserver\DATA\Q%202020\CCL%20STRENGTHENING\Dubai\2023\R1.5567.23%20CP03-005" TargetMode="External"/><Relationship Id="rId547" Type="http://schemas.openxmlformats.org/officeDocument/2006/relationships/hyperlink" Target="file:///\\cclserver\DATA\Q%202020\CCL%20STRENGTHENING\Dubai\2021\R1.5261.21%20Al%20Wasl%20Tower" TargetMode="External"/><Relationship Id="rId589" Type="http://schemas.openxmlformats.org/officeDocument/2006/relationships/hyperlink" Target="file:///\\cclserver\DATA\P%202020\03%20CR%20Projects\06-22-CR-017%20Addax%20Tower" TargetMode="External"/><Relationship Id="rId90" Type="http://schemas.openxmlformats.org/officeDocument/2006/relationships/hyperlink" Target="file:///\\cclserver\DATA\Q%202020\CCL%20STRENGTHENING\Dubai\2021\R1.5261.21%20Al%20Wasl%20Tower" TargetMode="External"/><Relationship Id="rId186" Type="http://schemas.openxmlformats.org/officeDocument/2006/relationships/hyperlink" Target="file:///\\cclserver\DATA\P%202020\03%20CR%20Projects\06-22-CR-004%20G+1%20Private%20Villa%20&amp;%20Majlis" TargetMode="External"/><Relationship Id="rId351" Type="http://schemas.openxmlformats.org/officeDocument/2006/relationships/hyperlink" Target="file:///\\cclserver\DATA\P%202020\03%20CR%20Projects\06-22-CR-004%20G+1%20Private%20Villa%20&amp;%20Majlis" TargetMode="External"/><Relationship Id="rId393" Type="http://schemas.openxmlformats.org/officeDocument/2006/relationships/hyperlink" Target="file:///\\cclserver\DATA\P%202020\03%20CR%20Projects\06-22-CR-004%20G+1%20Private%20Villa%20&amp;%20Majlis" TargetMode="External"/><Relationship Id="rId407" Type="http://schemas.openxmlformats.org/officeDocument/2006/relationships/hyperlink" Target="file:///\\cclserver\DATA\P%202020\03%20CR%20Projects\06-22-CR-011%20Park%20Avenue%203%20(Azizi)" TargetMode="External"/><Relationship Id="rId449" Type="http://schemas.openxmlformats.org/officeDocument/2006/relationships/hyperlink" Target="file:///\\cclserver\DATA\P%202020\03%20CR%20Projects\06-22-CR-014%20Saudi%20German%20Hospital%20Mirdif" TargetMode="External"/><Relationship Id="rId614" Type="http://schemas.openxmlformats.org/officeDocument/2006/relationships/hyperlink" Target="file:///\\cclserver\DATA\P%202020\03%20CR%20Projects\06-22-CR-017%20Addax%20Tower" TargetMode="External"/><Relationship Id="rId656" Type="http://schemas.openxmlformats.org/officeDocument/2006/relationships/printerSettings" Target="../printerSettings/printerSettings2.bin"/><Relationship Id="rId211" Type="http://schemas.openxmlformats.org/officeDocument/2006/relationships/hyperlink" Target="file:///\\cclserver\DATA\P%202020\03%20CR%20Projects\06-22-CR-004%20G+1%20Private%20Villa%20&amp;%20Majlis" TargetMode="External"/><Relationship Id="rId253" Type="http://schemas.openxmlformats.org/officeDocument/2006/relationships/hyperlink" Target="file:///\\cclserver\DATA\Q%202020\CCL%20STRENGTHENING\Abu%20Dhabi\2023\R2.5556.23%20Al%20Qaffay%20ISland" TargetMode="External"/><Relationship Id="rId295" Type="http://schemas.openxmlformats.org/officeDocument/2006/relationships/hyperlink" Target="file:///\\cclserver\DATA\Q%202020\CCL%20STRENGTHENING\Dubai\2023\R1.5550.23%20OFFICE%20ANNEX%20Str" TargetMode="External"/><Relationship Id="rId309" Type="http://schemas.openxmlformats.org/officeDocument/2006/relationships/hyperlink" Target="file:///\\cclserver\DATA\Q%202020\CCL%20STRENGTHENING\Dubai\2023\R1.5550.23%20OFFICE%20ANNEX%20Str" TargetMode="External"/><Relationship Id="rId460" Type="http://schemas.openxmlformats.org/officeDocument/2006/relationships/hyperlink" Target="file:///\\cclserver\DATA\Q%202020\CCL%20STRENGTHENING\Dubai\2023\R1.5526.23%20Damac%20Cour%20Jardin" TargetMode="External"/><Relationship Id="rId516" Type="http://schemas.openxmlformats.org/officeDocument/2006/relationships/hyperlink" Target="file:///\\cclserver\DATA\P%202020\03%20CR%20Projects\06-21-CR-005%20Marsa%20Al%20Arab\Construction%20phase" TargetMode="External"/><Relationship Id="rId48" Type="http://schemas.openxmlformats.org/officeDocument/2006/relationships/hyperlink" Target="file:///\\cclserver\DATA\P%202020\03%20CR%20Projects\06-22-CR-011%20Park%20Avenue%203%20(Azizi)" TargetMode="External"/><Relationship Id="rId113" Type="http://schemas.openxmlformats.org/officeDocument/2006/relationships/hyperlink" Target="file:///\\cclserver\DATA\P%202020\03%20CR%20Projects\06-21-CR-005%20Marsa%20Al%20Arab\Construction%20phase" TargetMode="External"/><Relationship Id="rId320" Type="http://schemas.openxmlformats.org/officeDocument/2006/relationships/hyperlink" Target="file:///\\cclserver\DATA\Q%202020\CCL%20STRENGTHENING\Dubai\2022\R1.5399.22%20Nakheel%20Mall%20Redevelopment" TargetMode="External"/><Relationship Id="rId558" Type="http://schemas.openxmlformats.org/officeDocument/2006/relationships/hyperlink" Target="file:///\\cclserver\DATA\P%202020\03%20CR%20Projects\06-20-CR-002%20MEDORE%20Tower\Construction%20Phase\" TargetMode="External"/><Relationship Id="rId155" Type="http://schemas.openxmlformats.org/officeDocument/2006/relationships/hyperlink" Target="file:///\\cclserver\DATA\P%202020\03%20CR%20Projects\06-22-CR-011%20Park%20Avenue%203%20(Azizi)" TargetMode="External"/><Relationship Id="rId197" Type="http://schemas.openxmlformats.org/officeDocument/2006/relationships/hyperlink" Target="file:///\\cclserver\DATA\P%202020\03%20CR%20Projects\06-21-CR-005%20Marsa%20Al%20Arab\Construction%20phase" TargetMode="External"/><Relationship Id="rId362" Type="http://schemas.openxmlformats.org/officeDocument/2006/relationships/hyperlink" Target="file:///\\cclserver\DATA\P%202020\03%20CR%20Projects\06-22-CR-009%20Profile%20Residence" TargetMode="External"/><Relationship Id="rId418" Type="http://schemas.openxmlformats.org/officeDocument/2006/relationships/hyperlink" Target="file:///\\cclserver\DATA\Q%202020\CCL%20STRENGTHENING\FILING_PENDING\16.%20Center%20Park" TargetMode="External"/><Relationship Id="rId625" Type="http://schemas.openxmlformats.org/officeDocument/2006/relationships/hyperlink" Target="file:///\\cclserver\DATA\P%202020\03%20CR%20Projects\06-20-CR-002%20MEDORE%20Tower\Construction%20Phase\" TargetMode="External"/><Relationship Id="rId222" Type="http://schemas.openxmlformats.org/officeDocument/2006/relationships/hyperlink" Target="file:///\\cclserver\DATA\Q%202020\CCL%20STRENGTHENING\Dubai\2023\R1.5550.23%20OFFICE%20ANNEX%20Str" TargetMode="External"/><Relationship Id="rId264" Type="http://schemas.openxmlformats.org/officeDocument/2006/relationships/hyperlink" Target="file:///\\cclserver\DATA\Q%202020\CCL%20STRENGTHENING\Dubai\2023\R1.5550.23%20OFFICE%20ANNEX%20Str" TargetMode="External"/><Relationship Id="rId471" Type="http://schemas.openxmlformats.org/officeDocument/2006/relationships/hyperlink" Target="file:///\\cclserver\DATA\P%202020\03%20CR%20Projects\06-22-CR-014%20Saudi%20German%20Hospital%20Mirdif" TargetMode="External"/><Relationship Id="rId17" Type="http://schemas.openxmlformats.org/officeDocument/2006/relationships/hyperlink" Target="file:///\\cclserver\DATA\Q%202020\CCL%20STRENGTHENING\Dubai\2021\R1.5261.21%20Al%20Wasl%20Tower" TargetMode="External"/><Relationship Id="rId59" Type="http://schemas.openxmlformats.org/officeDocument/2006/relationships/hyperlink" Target="file:///\\cclserver\DATA\P%202020\03%20CR%20Projects\06-22-CR-011%20Park%20Avenue%203%20(Azizi)" TargetMode="External"/><Relationship Id="rId124" Type="http://schemas.openxmlformats.org/officeDocument/2006/relationships/hyperlink" Target="file:///\\cclserver\DATA\Q%202020\CCL%20STRENGTHENING\Dubai\2023\R1.5561.23%20CP01-13%20Meydan%20One" TargetMode="External"/><Relationship Id="rId527" Type="http://schemas.openxmlformats.org/officeDocument/2006/relationships/hyperlink" Target="file:///\\cclserver\DATA\P%202020\03%20CR%20Projects\06-22-CR-009%20Profile%20Residence" TargetMode="External"/><Relationship Id="rId569" Type="http://schemas.openxmlformats.org/officeDocument/2006/relationships/hyperlink" Target="file:///\\cclserver\DATA\P%202020\03%20CR%20Projects\06-22-CR-017%20Addax%20Tower" TargetMode="External"/><Relationship Id="rId70" Type="http://schemas.openxmlformats.org/officeDocument/2006/relationships/hyperlink" Target="file:///\\cclserver\DATA\P%202020\03%20CR%20Projects\06-21-CR-005%20Marsa%20Al%20Arab\Construction%20phase" TargetMode="External"/><Relationship Id="rId166" Type="http://schemas.openxmlformats.org/officeDocument/2006/relationships/hyperlink" Target="file:///\\cclserver\DATA\P%202020\03%20CR%20Projects\06-22-CR-009%20Profile%20Residence" TargetMode="External"/><Relationship Id="rId331" Type="http://schemas.openxmlformats.org/officeDocument/2006/relationships/hyperlink" Target="file:///\\cclserver\DATA\P%202020\03%20CR%20Projects\06-22-CR-009%20Profile%20Residence" TargetMode="External"/><Relationship Id="rId373" Type="http://schemas.openxmlformats.org/officeDocument/2006/relationships/hyperlink" Target="file:///\\cclserver\DATA\Q%202020\CCL%20STRENGTHENING\Dubai\2023\R1.5541.23%20Mina%20Bldg%20Al-Baha%20(Raffa)" TargetMode="External"/><Relationship Id="rId429" Type="http://schemas.openxmlformats.org/officeDocument/2006/relationships/hyperlink" Target="file:///\\cclserver\DATA\P%202020\03%20CR%20Projects\06-22-CR-011%20Park%20Avenue%203%20(Azizi)" TargetMode="External"/><Relationship Id="rId580" Type="http://schemas.openxmlformats.org/officeDocument/2006/relationships/hyperlink" Target="file:///\\cclserver\DATA\P%202020\03%20CR%20Projects\06-20-CR-002%20MEDORE%20Tower\Construction%20Phase\" TargetMode="External"/><Relationship Id="rId636" Type="http://schemas.openxmlformats.org/officeDocument/2006/relationships/hyperlink" Target="file:///\\cclserver\DATA\Q%202020\CCL%20STRENGTHENING\Dubai\2022\R1.5399.22%20Nakheel%20Mall%20Redevelopment" TargetMode="External"/><Relationship Id="rId1" Type="http://schemas.openxmlformats.org/officeDocument/2006/relationships/hyperlink" Target="file:///\\cclserver\DATA\P%202020\03%20CR%20Projects\06-21-CR-005%20Marsa%20Al%20Arab\Construction%20phase" TargetMode="External"/><Relationship Id="rId233" Type="http://schemas.openxmlformats.org/officeDocument/2006/relationships/hyperlink" Target="file:///\\cclserver\DATA\Q%202020\CCL%20STRENGTHENING\Dubai\2023\R1.5550.23%20OFFICE%20ANNEX%20Str" TargetMode="External"/><Relationship Id="rId440" Type="http://schemas.openxmlformats.org/officeDocument/2006/relationships/hyperlink" Target="file:///\\cclserver\DATA\P%202020\03%20CR%20Projects\06-22-CR-004%20G+1%20Private%20Villa%20&amp;%20Majlis" TargetMode="External"/><Relationship Id="rId28" Type="http://schemas.openxmlformats.org/officeDocument/2006/relationships/hyperlink" Target="file:///\\cclserver\DATA\Q%202020\CCL%20STRENGTHENING\Dubai\2023\R1.5583.23%20Gold%20Souk%20Dubai%20mall" TargetMode="External"/><Relationship Id="rId275" Type="http://schemas.openxmlformats.org/officeDocument/2006/relationships/hyperlink" Target="file:///\\cclserver\DATA\P%202020\03%20CR%20Projects\06-20-CR-002%20MEDORE%20Tower\Construction%20Phase\" TargetMode="External"/><Relationship Id="rId300" Type="http://schemas.openxmlformats.org/officeDocument/2006/relationships/hyperlink" Target="file:///\\cclserver\DATA\Q%202020\CCL%20STRENGTHENING\Dubai\2022\R1.5399.22%20Nakheel%20Mall%20Redevelopment" TargetMode="External"/><Relationship Id="rId482" Type="http://schemas.openxmlformats.org/officeDocument/2006/relationships/hyperlink" Target="file:///\\cclserver\DATA\P%202020\03%20CR%20Projects\06-22-CR-014%20Saudi%20German%20Hospital%20Mirdif" TargetMode="External"/><Relationship Id="rId538" Type="http://schemas.openxmlformats.org/officeDocument/2006/relationships/hyperlink" Target="file:///\\cclserver\DATA\Q%202020\CCL%20STRENGTHENING\FILING_PENDING\21.%20Wisal%20Scanning" TargetMode="External"/><Relationship Id="rId81" Type="http://schemas.openxmlformats.org/officeDocument/2006/relationships/hyperlink" Target="file:///\\cclserver\DATA\Q%202020\CCL%20STRENGTHENING\Dubai\2023\R1.5574.23%20Palm%20Beach%20Towers" TargetMode="External"/><Relationship Id="rId135" Type="http://schemas.openxmlformats.org/officeDocument/2006/relationships/hyperlink" Target="file:///\\cclserver\DATA\P%202020\03%20CR%20Projects\06-22-CR-009%20Profile%20Residence" TargetMode="External"/><Relationship Id="rId177" Type="http://schemas.openxmlformats.org/officeDocument/2006/relationships/hyperlink" Target="file:///\\cclserver\DATA\Q%202020\CCL%20STRENGTHENING\Dubai\2023\R1.5562.23%20Park%20Tower" TargetMode="External"/><Relationship Id="rId342" Type="http://schemas.openxmlformats.org/officeDocument/2006/relationships/hyperlink" Target="file:///\\cclserver\DATA\Q%202020\CCL%20STRENGTHENING\Dubai\2022\R1.5399.22%20Nakheel%20Mall%20Redevelopment" TargetMode="External"/><Relationship Id="rId384" Type="http://schemas.openxmlformats.org/officeDocument/2006/relationships/hyperlink" Target="file:///\\cclserver\DATA\P%202020\03%20CR%20Projects\06-22-CR-004%20G+1%20Private%20Villa%20&amp;%20Majlis" TargetMode="External"/><Relationship Id="rId591" Type="http://schemas.openxmlformats.org/officeDocument/2006/relationships/hyperlink" Target="file:///\\cclserver\DATA\Q%202020\CCL%20STRENGTHENING\Dubai\2022\R1.5399.22%20Nakheel%20Mall%20Redevelopment" TargetMode="External"/><Relationship Id="rId605" Type="http://schemas.openxmlformats.org/officeDocument/2006/relationships/hyperlink" Target="file:///\\cclserver\DATA\P%202020\01%20Dubai\06-14-BU-004%20Profile%20Residence\Construction%20Phase\CR\" TargetMode="External"/><Relationship Id="rId202" Type="http://schemas.openxmlformats.org/officeDocument/2006/relationships/hyperlink" Target="file:///\\cclserver\DATA\P%202020\03%20CR%20Projects\06-20-CR-002%20MEDORE%20Tower\Construction%20Phase\" TargetMode="External"/><Relationship Id="rId244" Type="http://schemas.openxmlformats.org/officeDocument/2006/relationships/hyperlink" Target="file:///\\cclserver\DATA\Q%202020\CCL%20STRENGTHENING\Dubai\2023\R1.5550.23%20OFFICE%20ANNEX%20Str" TargetMode="External"/><Relationship Id="rId647" Type="http://schemas.openxmlformats.org/officeDocument/2006/relationships/hyperlink" Target="file:///\\cclserver\DATA\P%202020\03%20CR%20Projects\06-22-CR-014%20Saudi%20German%20Hospital%20Mirdif" TargetMode="External"/><Relationship Id="rId39" Type="http://schemas.openxmlformats.org/officeDocument/2006/relationships/hyperlink" Target="file:///\\cclserver\DATA\P%202020\03%20CR%20Projects\06-21-CR-005%20Marsa%20Al%20Arab\Construction%20phase" TargetMode="External"/><Relationship Id="rId286" Type="http://schemas.openxmlformats.org/officeDocument/2006/relationships/hyperlink" Target="file:///\\cclserver\DATA\Q%202020\CCL%20STRENGTHENING\Dubai\2023\R1.5516.23%20Burjuman%20Mall%20Refurbishment" TargetMode="External"/><Relationship Id="rId451" Type="http://schemas.openxmlformats.org/officeDocument/2006/relationships/hyperlink" Target="file:///\\cclserver\DATA\P%202020\03%20CR%20Projects\06-22-CR-014%20Saudi%20German%20Hospital%20Mirdif" TargetMode="External"/><Relationship Id="rId493" Type="http://schemas.openxmlformats.org/officeDocument/2006/relationships/hyperlink" Target="file:///\\cclserver\DATA\P%202020\03%20CR%20Projects\06-22-CR-004%20G+1%20Private%20Villa%20&amp;%20Majlis" TargetMode="External"/><Relationship Id="rId507" Type="http://schemas.openxmlformats.org/officeDocument/2006/relationships/hyperlink" Target="file:///\\cclserver\DATA\P%202020\03%20CR%20Projects\06-22-CR-017%20Addax%20Tower" TargetMode="External"/><Relationship Id="rId549" Type="http://schemas.openxmlformats.org/officeDocument/2006/relationships/hyperlink" Target="file:///\\cclserver\DATA\P%202020\03%20CR%20Projects\06-22-CR-006%20Prayer%20hall%20Al-Quoz%20(Towers%20United)" TargetMode="External"/><Relationship Id="rId50" Type="http://schemas.openxmlformats.org/officeDocument/2006/relationships/hyperlink" Target="file:///\\cclserver\DATA\P%202020\01%20Dubai\06-23-BU-003%20Omniyat%20Plot%2017A%20Palm" TargetMode="External"/><Relationship Id="rId104" Type="http://schemas.openxmlformats.org/officeDocument/2006/relationships/hyperlink" Target="file:///\\cclserver\DATA\Q%202020\CCL%20STRENGTHENING\Dubai\2023\R1.5574.23%20Palm%20Beach%20Towers" TargetMode="External"/><Relationship Id="rId146" Type="http://schemas.openxmlformats.org/officeDocument/2006/relationships/hyperlink" Target="file:///\\cclserver\DATA\P%202020\03%20CR%20Projects\06-22-CR-006%20Prayer%20hall%20Al-Quoz%20(Towers%20United)" TargetMode="External"/><Relationship Id="rId188" Type="http://schemas.openxmlformats.org/officeDocument/2006/relationships/hyperlink" Target="file:///\\cclserver\DATA\P%202020\03%20CR%20Projects\06-21-CR-005%20Marsa%20Al%20Arab\Construction%20phase" TargetMode="External"/><Relationship Id="rId311" Type="http://schemas.openxmlformats.org/officeDocument/2006/relationships/hyperlink" Target="file:///\\cclserver\DATA\P%202020\03%20CR%20Projects\06-22-CR-017%20Addax%20Tower" TargetMode="External"/><Relationship Id="rId353" Type="http://schemas.openxmlformats.org/officeDocument/2006/relationships/hyperlink" Target="file:///\\cclserver\DATA\P%202020\03%20CR%20Projects\06-22-CR-009%20Profile%20Residence" TargetMode="External"/><Relationship Id="rId395" Type="http://schemas.openxmlformats.org/officeDocument/2006/relationships/hyperlink" Target="file:///\\cclserver\DATA\P%202020\03%20CR%20Projects\06-22-CR-009%20Profile%20Residence" TargetMode="External"/><Relationship Id="rId409" Type="http://schemas.openxmlformats.org/officeDocument/2006/relationships/hyperlink" Target="file:///\\cclserver\DATA\P%202020\03%20CR%20Projects\06-20-CR-002%20MEDORE%20Tower\Construction%20Phase\" TargetMode="External"/><Relationship Id="rId560" Type="http://schemas.openxmlformats.org/officeDocument/2006/relationships/hyperlink" Target="file:///\\cclserver\DATA\P%202020\03%20CR%20Projects\06-22-CR-013%20CP03-09%20and%20CP03-13%20(Azizi)" TargetMode="External"/><Relationship Id="rId92" Type="http://schemas.openxmlformats.org/officeDocument/2006/relationships/hyperlink" Target="file:///\\cclserver\DATA\P%202020\03%20CR%20Projects\06-22-CR-009%20Profile%20Residence" TargetMode="External"/><Relationship Id="rId213" Type="http://schemas.openxmlformats.org/officeDocument/2006/relationships/hyperlink" Target="file:///\\cclserver\DATA\P%202020\03%20CR%20Projects\06-22-CR-006%20Prayer%20hall%20Al-Quoz%20(Towers%20United)" TargetMode="External"/><Relationship Id="rId420" Type="http://schemas.openxmlformats.org/officeDocument/2006/relationships/hyperlink" Target="file:///\\cclserver\DATA\P%202020\03%20CR%20Projects\06-20-CR-002%20MEDORE%20Tower\Construction%20Phase\" TargetMode="External"/><Relationship Id="rId616" Type="http://schemas.openxmlformats.org/officeDocument/2006/relationships/hyperlink" Target="file:///\\cclserver\DATA\P%202020\03%20CR%20Projects\06-22-CR-014%20Saudi%20German%20Hospital%20Mirdif" TargetMode="External"/><Relationship Id="rId255" Type="http://schemas.openxmlformats.org/officeDocument/2006/relationships/hyperlink" Target="file:///\\cclserver\DATA\P%202020\03%20CR%20Projects\06-22-CR-009%20Profile%20Residence" TargetMode="External"/><Relationship Id="rId297" Type="http://schemas.openxmlformats.org/officeDocument/2006/relationships/hyperlink" Target="file:///\\cclserver\DATA\Q%202020\CCL%20STRENGTHENING\Dubai\2023\R1.5541.23%20Mina%20Bldg%20Al-Baha%20(Raffa)" TargetMode="External"/><Relationship Id="rId462" Type="http://schemas.openxmlformats.org/officeDocument/2006/relationships/hyperlink" Target="file:///\\cclserver\DATA\P%202020\03%20CR%20Projects\06-22-CR-014%20Saudi%20German%20Hospital%20Mirdif" TargetMode="External"/><Relationship Id="rId518" Type="http://schemas.openxmlformats.org/officeDocument/2006/relationships/hyperlink" Target="file:///\\cclserver\DATA\P%202020\03%20CR%20Projects\06-22-CR-017%20Addax%20Tower" TargetMode="External"/><Relationship Id="rId115" Type="http://schemas.openxmlformats.org/officeDocument/2006/relationships/hyperlink" Target="file:///\\cclserver\DATA\P%202020\03%20CR%20Projects\06-21-CR-005%20Marsa%20Al%20Arab\Construction%20phase" TargetMode="External"/><Relationship Id="rId157" Type="http://schemas.openxmlformats.org/officeDocument/2006/relationships/hyperlink" Target="file:///\\cclserver\DATA\Q%202020\CCL%20STRENGTHENING\Dubai\2023\R1.5567.23%20CP03-005" TargetMode="External"/><Relationship Id="rId322" Type="http://schemas.openxmlformats.org/officeDocument/2006/relationships/hyperlink" Target="file:///\\cclserver\DATA\P%202020\03%20CR%20Projects\06-22-CR-011%20Park%20Avenue%203%20(Azizi)" TargetMode="External"/><Relationship Id="rId364" Type="http://schemas.openxmlformats.org/officeDocument/2006/relationships/hyperlink" Target="file:///\\cclserver\DATA\Q%202020\CCL%20STRENGTHENING\Dubai\2023\R1.5541.23%20Mina%20Bldg%20Al-Baha%20(Raffa)" TargetMode="External"/><Relationship Id="rId61" Type="http://schemas.openxmlformats.org/officeDocument/2006/relationships/hyperlink" Target="file:///\\cclserver\DATA\P%202020\03%20CR%20Projects\06-21-CR-005%20Marsa%20Al%20Arab\Construction%20phase" TargetMode="External"/><Relationship Id="rId199" Type="http://schemas.openxmlformats.org/officeDocument/2006/relationships/hyperlink" Target="file:///\\cclserver\DATA\P%202020\03%20CR%20Projects\06-21-CR-005%20Marsa%20Al%20Arab\Construction%20phase" TargetMode="External"/><Relationship Id="rId571" Type="http://schemas.openxmlformats.org/officeDocument/2006/relationships/hyperlink" Target="file:///\\cclserver\DATA\Q%202020\06%20RAK\S6.5521.23%20Wynn%20Tower" TargetMode="External"/><Relationship Id="rId627" Type="http://schemas.openxmlformats.org/officeDocument/2006/relationships/hyperlink" Target="file:///\\cclserver\DATA\P%202020\01%20Dubai\06-14-BU-004%20Profile%20Residence\Construction%20Phase\CR\" TargetMode="External"/><Relationship Id="rId19" Type="http://schemas.openxmlformats.org/officeDocument/2006/relationships/hyperlink" Target="file:///\\cclserver\DATA\P%202020\03%20CR%20Projects\06-20-CR-002%20MEDORE%20Tower\Construction%20Phase\" TargetMode="External"/><Relationship Id="rId224" Type="http://schemas.openxmlformats.org/officeDocument/2006/relationships/hyperlink" Target="file:///\\cclserver\DATA\Q%202020\CCL%20STRENGTHENING\Dubai\2023\R1.5550.23%20OFFICE%20ANNEX%20Str" TargetMode="External"/><Relationship Id="rId266" Type="http://schemas.openxmlformats.org/officeDocument/2006/relationships/hyperlink" Target="file:///\\cclserver\DATA\P%202020\03%20CR%20Projects\06-21-CR-005%20Marsa%20Al%20Arab\Construction%20phase" TargetMode="External"/><Relationship Id="rId431" Type="http://schemas.openxmlformats.org/officeDocument/2006/relationships/hyperlink" Target="file:///\\cclserver\DATA\Q%202020\CCL%20STRENGTHENING\FILING_PENDING\16.%20Center%20Park" TargetMode="External"/><Relationship Id="rId473" Type="http://schemas.openxmlformats.org/officeDocument/2006/relationships/hyperlink" Target="file:///\\cclserver\DATA\P%202020\03%20CR%20Projects\06-21-CR-005%20Marsa%20Al%20Arab\Construction%20phase" TargetMode="External"/><Relationship Id="rId529" Type="http://schemas.openxmlformats.org/officeDocument/2006/relationships/hyperlink" Target="file:///\\cclserver\DATA\P%202020\01%20Dubai\06-14-BU-004%20Profile%20Residence\Construction%20Phase\CR\" TargetMode="External"/><Relationship Id="rId30" Type="http://schemas.openxmlformats.org/officeDocument/2006/relationships/hyperlink" Target="file:///\\cclserver\DATA\P%202020\03%20CR%20Projects\06-21-CR-005%20Marsa%20Al%20Arab\Construction%20phase" TargetMode="External"/><Relationship Id="rId126" Type="http://schemas.openxmlformats.org/officeDocument/2006/relationships/hyperlink" Target="file:///\\cclserver\DATA\Q%202020\CCL%20STRENGTHENING\Dubai\2023\R1.5567.23%20CP03-005" TargetMode="External"/><Relationship Id="rId168" Type="http://schemas.openxmlformats.org/officeDocument/2006/relationships/hyperlink" Target="file:///\\cclserver\DATA\P%202020\03%20CR%20Projects\06-22-CR-011%20Park%20Avenue%203%20(Azizi)" TargetMode="External"/><Relationship Id="rId333" Type="http://schemas.openxmlformats.org/officeDocument/2006/relationships/hyperlink" Target="file:///\\cclserver\DATA\P%202020\03%20CR%20Projects\06-20-CR-002%20MEDORE%20Tower\Construction%20Phase\" TargetMode="External"/><Relationship Id="rId540" Type="http://schemas.openxmlformats.org/officeDocument/2006/relationships/hyperlink" Target="file:///\\cclserver\DATA\P%202020\03%20CR%20Projects\06-22-CR-006%20Prayer%20hall%20Al-Quoz%20(Towers%20United)" TargetMode="External"/><Relationship Id="rId72" Type="http://schemas.openxmlformats.org/officeDocument/2006/relationships/hyperlink" Target="file:///\\cclserver\DATA\P%202020\03%20CR%20Projects\06-21-CR-005%20Marsa%20Al%20Arab\Construction%20phase" TargetMode="External"/><Relationship Id="rId375" Type="http://schemas.openxmlformats.org/officeDocument/2006/relationships/hyperlink" Target="file:///\\cclserver\DATA\P%202020\03%20CR%20Projects\06-21-CR-005%20Marsa%20Al%20Arab\Construction%20phase" TargetMode="External"/><Relationship Id="rId582" Type="http://schemas.openxmlformats.org/officeDocument/2006/relationships/hyperlink" Target="file:///\\cclserver\DATA\P%202020\03%20CR%20Projects\06-21-CR-005%20Marsa%20Al%20Arab\Construction%20phase" TargetMode="External"/><Relationship Id="rId638" Type="http://schemas.openxmlformats.org/officeDocument/2006/relationships/hyperlink" Target="file:///\\cclserver\DATA\P%202020\03%20CR%20Projects\06-22-CR-011%20Park%20Avenue%203%20(Azizi)" TargetMode="External"/><Relationship Id="rId3" Type="http://schemas.openxmlformats.org/officeDocument/2006/relationships/hyperlink" Target="file:///\\cclserver\DATA\P%202020\03%20CR%20Projects\06-20-CR-002%20MEDORE%20Tower\Construction%20Phase\" TargetMode="External"/><Relationship Id="rId235" Type="http://schemas.openxmlformats.org/officeDocument/2006/relationships/hyperlink" Target="file:///\\cclserver\DATA\Q%202020\01%20Dubai\Buildings\2023\A1.5544.23%20Omniyat%20@%20Plot%2017A" TargetMode="External"/><Relationship Id="rId277" Type="http://schemas.openxmlformats.org/officeDocument/2006/relationships/hyperlink" Target="file:///\\cclserver\DATA\Q%202020\CCL%20STRENGTHENING\Dubai\2023\R1.5516.23%20Burjuman%20Mall%20Refurbishment" TargetMode="External"/><Relationship Id="rId400" Type="http://schemas.openxmlformats.org/officeDocument/2006/relationships/hyperlink" Target="file:///\\cclserver\DATA\Q%202020\CCL%20STRENGTHENING\Dubai\2022\R1.5399.22%20Nakheel%20Mall%20Redevelopment" TargetMode="External"/><Relationship Id="rId442" Type="http://schemas.openxmlformats.org/officeDocument/2006/relationships/hyperlink" Target="file:///\\cclserver\DATA\P%202020\03%20CR%20Projects\06-22-CR-014%20Saudi%20German%20Hospital%20Mirdif" TargetMode="External"/><Relationship Id="rId484" Type="http://schemas.openxmlformats.org/officeDocument/2006/relationships/hyperlink" Target="file:///\\cclserver\DATA\Q%202020\CCL%20STRENGTHENING\Dubai\2022\R1.5399.22%20Nakheel%20Mall%20Redevelopment" TargetMode="External"/><Relationship Id="rId137" Type="http://schemas.openxmlformats.org/officeDocument/2006/relationships/hyperlink" Target="file:///\\cclserver\DATA\P%202020\03%20CR%20Projects\06-22-CR-011%20Park%20Avenue%203%20(Azizi)" TargetMode="External"/><Relationship Id="rId302" Type="http://schemas.openxmlformats.org/officeDocument/2006/relationships/hyperlink" Target="file:///\\cclserver\DATA\Q%202020\CCL%20STRENGTHENING\Dubai\2023\R1.5550.23%20OFFICE%20ANNEX%20Str" TargetMode="External"/><Relationship Id="rId344" Type="http://schemas.openxmlformats.org/officeDocument/2006/relationships/hyperlink" Target="file:///\\cclserver\DATA\P%202020\03%20CR%20Projects\06-22-CR-004%20G+1%20Private%20Villa%20&amp;%20Majlis" TargetMode="External"/><Relationship Id="rId41" Type="http://schemas.openxmlformats.org/officeDocument/2006/relationships/hyperlink" Target="file:///\\cclserver\DATA\P%202020\03%20CR%20Projects\06-22-CR-011%20Park%20Avenue%203%20(Azizi)" TargetMode="External"/><Relationship Id="rId83" Type="http://schemas.openxmlformats.org/officeDocument/2006/relationships/hyperlink" Target="file:///\\cclserver\DATA\P%202020\03%20CR%20Projects\06-22-CR-014%20Saudi%20German%20Hospital%20Mirdif" TargetMode="External"/><Relationship Id="rId179" Type="http://schemas.openxmlformats.org/officeDocument/2006/relationships/hyperlink" Target="file:///\\cclserver\DATA\Q%202020\CCL%20STRENGTHENING\Dubai\2023\R1.5567.23%20CP03-005" TargetMode="External"/><Relationship Id="rId386" Type="http://schemas.openxmlformats.org/officeDocument/2006/relationships/hyperlink" Target="file:///\\cclserver\DATA\P%202020\03%20CR%20Projects\06-22-CR-009%20Profile%20Residence" TargetMode="External"/><Relationship Id="rId551" Type="http://schemas.openxmlformats.org/officeDocument/2006/relationships/hyperlink" Target="file:///\\cclserver\DATA\P%202020\01%20Dubai\06-14-BU-004%20Profile%20Residence\Construction%20Phase\CR\" TargetMode="External"/><Relationship Id="rId593" Type="http://schemas.openxmlformats.org/officeDocument/2006/relationships/hyperlink" Target="file:///\\cclserver\DATA\P%202020\03%20CR%20Projects\06-22-CR-011%20Park%20Avenue%203%20(Azizi)" TargetMode="External"/><Relationship Id="rId607" Type="http://schemas.openxmlformats.org/officeDocument/2006/relationships/hyperlink" Target="file:///\\cclserver\DATA\P%202020\03%20CR%20Projects\06-22-CR-014%20Saudi%20German%20Hospital%20Mirdif" TargetMode="External"/><Relationship Id="rId649" Type="http://schemas.openxmlformats.org/officeDocument/2006/relationships/hyperlink" Target="file:///\\cclserver\DATA\P%202020\03%20CR%20Projects\06-22-CR-004%20G+1%20Private%20Villa%20&amp;%20Majlis" TargetMode="External"/><Relationship Id="rId190" Type="http://schemas.openxmlformats.org/officeDocument/2006/relationships/hyperlink" Target="file:///\\cclserver\DATA\P%202020\03%20CR%20Projects\06-21-CR-005%20Marsa%20Al%20Arab\Construction%20phase" TargetMode="External"/><Relationship Id="rId204" Type="http://schemas.openxmlformats.org/officeDocument/2006/relationships/hyperlink" Target="file:///\\cclserver\DATA\P%202020\03%20CR%20Projects\06-22-CR-009%20Profile%20Residence" TargetMode="External"/><Relationship Id="rId246" Type="http://schemas.openxmlformats.org/officeDocument/2006/relationships/hyperlink" Target="file:///\\cclserver\DATA\P%202020\03%20CR%20Projects\06-22-CR-011%20Park%20Avenue%203%20(Azizi)" TargetMode="External"/><Relationship Id="rId288" Type="http://schemas.openxmlformats.org/officeDocument/2006/relationships/hyperlink" Target="file:///\\cclserver\DATA\P%202020\03%20CR%20Projects\06-22-CR-017%20Addax%20Tower" TargetMode="External"/><Relationship Id="rId411" Type="http://schemas.openxmlformats.org/officeDocument/2006/relationships/hyperlink" Target="file:///\\cclserver\DATA\Q%202020\CCL%20STRENGTHENING\Dubai\2022\R1.5399.22%20Nakheel%20Mall%20Redevelopment" TargetMode="External"/><Relationship Id="rId453" Type="http://schemas.openxmlformats.org/officeDocument/2006/relationships/hyperlink" Target="file:///\\cclserver\DATA\P%202020\03%20CR%20Projects\06-21-CR-005%20Marsa%20Al%20Arab\Construction%20phase" TargetMode="External"/><Relationship Id="rId509" Type="http://schemas.openxmlformats.org/officeDocument/2006/relationships/hyperlink" Target="file:///\\cclserver\DATA\Q%202020\CCL%20STRENGTHENING\Dubai\2023\R1.5525.23%20Damac%20Waters%20Edge" TargetMode="External"/><Relationship Id="rId106" Type="http://schemas.openxmlformats.org/officeDocument/2006/relationships/hyperlink" Target="file:///\\cclserver\DATA\P%202020\03%20CR%20Projects\06-22-CR-009%20Profile%20Residence" TargetMode="External"/><Relationship Id="rId313" Type="http://schemas.openxmlformats.org/officeDocument/2006/relationships/hyperlink" Target="file:///\\cclserver\DATA\Q%202020\CCL%20STRENGTHENING\Dubai\2022\R1.5399.22%20Nakheel%20Mall%20Redevelopment" TargetMode="External"/><Relationship Id="rId495" Type="http://schemas.openxmlformats.org/officeDocument/2006/relationships/hyperlink" Target="file:///\\cclserver\DATA\P%202020\03%20CR%20Projects\06-22-CR-017%20Addax%20Tower" TargetMode="External"/><Relationship Id="rId10" Type="http://schemas.openxmlformats.org/officeDocument/2006/relationships/hyperlink" Target="file:///\\cclserver\DATA\P%202020\03%20CR%20Projects\06-20-CR-002%20MEDORE%20Tower\Construction%20Phase\" TargetMode="External"/><Relationship Id="rId52" Type="http://schemas.openxmlformats.org/officeDocument/2006/relationships/hyperlink" Target="file:///\\cclserver\DATA\P%202020\03%20CR%20Projects\06-22-CR-009%20Profile%20Residence" TargetMode="External"/><Relationship Id="rId94" Type="http://schemas.openxmlformats.org/officeDocument/2006/relationships/hyperlink" Target="file:///\\cclserver\DATA\P%202020\03%20CR%20Projects\06-22-CR-011%20Park%20Avenue%203%20(Azizi)" TargetMode="External"/><Relationship Id="rId148" Type="http://schemas.openxmlformats.org/officeDocument/2006/relationships/hyperlink" Target="file:///\\cclserver\DATA\P%202020\03%20CR%20Projects\06-21-CR-005%20Marsa%20Al%20Arab\Construction%20phase" TargetMode="External"/><Relationship Id="rId355" Type="http://schemas.openxmlformats.org/officeDocument/2006/relationships/hyperlink" Target="file:///\\cclserver\DATA\P%202020\03%20CR%20Projects\06-21-CR-005%20Marsa%20Al%20Arab\Construction%20phase" TargetMode="External"/><Relationship Id="rId397" Type="http://schemas.openxmlformats.org/officeDocument/2006/relationships/hyperlink" Target="file:///\\cclserver\DATA\Q%202020\CCL%20STRENGTHENING\Dubai\2023\R1.5537.23%20Astoria%20Tower%20Habtoor%20City" TargetMode="External"/><Relationship Id="rId520" Type="http://schemas.openxmlformats.org/officeDocument/2006/relationships/hyperlink" Target="file:///\\cclserver\DATA\P%202020\03%20CR%20Projects\06-21-CR-005%20Marsa%20Al%20Arab\Construction%20phase" TargetMode="External"/><Relationship Id="rId562" Type="http://schemas.openxmlformats.org/officeDocument/2006/relationships/hyperlink" Target="file:///\\cclserver\DATA\P%202020\03%20CR%20Projects\06-20-CR-002%20MEDORE%20Tower\Construction%20Phase\" TargetMode="External"/><Relationship Id="rId618" Type="http://schemas.openxmlformats.org/officeDocument/2006/relationships/hyperlink" Target="file:///\\cclserver\DATA\P%202020\03%20CR%20Projects\06-22-CR-017%20Addax%20Tower" TargetMode="External"/><Relationship Id="rId215" Type="http://schemas.openxmlformats.org/officeDocument/2006/relationships/hyperlink" Target="file:///\\cclserver\DATA\P%202020\03%20CR%20Projects\06-21-CR-005%20Marsa%20Al%20Arab\Construction%20phase" TargetMode="External"/><Relationship Id="rId257" Type="http://schemas.openxmlformats.org/officeDocument/2006/relationships/hyperlink" Target="file:///\\cclserver\DATA\P%202020\03%20CR%20Projects\06-20-CR-002%20MEDORE%20Tower\Construction%20Phase\" TargetMode="External"/><Relationship Id="rId422" Type="http://schemas.openxmlformats.org/officeDocument/2006/relationships/hyperlink" Target="file:///\\cclserver\DATA\Q%202020\CCL%20STRENGTHENING\Dubai\2022\R1.5399.22%20Nakheel%20Mall%20Redevelopment" TargetMode="External"/><Relationship Id="rId464" Type="http://schemas.openxmlformats.org/officeDocument/2006/relationships/hyperlink" Target="file:///\\cclserver\DATA\Q%202020\CCL%20STRENGTHENING\Dubai\2021\R1.5261.21%20Al%20Wasl%20Tower" TargetMode="External"/><Relationship Id="rId299" Type="http://schemas.openxmlformats.org/officeDocument/2006/relationships/hyperlink" Target="file:///\\cclserver\DATA\P%202020\03%20CR%20Projects\06-22-CR-009%20Profile%20Residence" TargetMode="External"/><Relationship Id="rId63" Type="http://schemas.openxmlformats.org/officeDocument/2006/relationships/hyperlink" Target="file:///\\cclserver\DATA\P%202020\03%20CR%20Projects\06-21-CR-005%20Marsa%20Al%20Arab\Construction%20phase" TargetMode="External"/><Relationship Id="rId159" Type="http://schemas.openxmlformats.org/officeDocument/2006/relationships/hyperlink" Target="file:///\\cclserver\DATA\P%202020\03%20CR%20Projects\06-22-CR-004%20G+1%20Private%20Villa%20&amp;%20Majlis" TargetMode="External"/><Relationship Id="rId366" Type="http://schemas.openxmlformats.org/officeDocument/2006/relationships/hyperlink" Target="file:///\\cclserver\DATA\Q%202020\CCL%20STRENGTHENING\Dubai\2023\R1.5546.23%20CP03%20-%2002%20&amp;%20003" TargetMode="External"/><Relationship Id="rId573" Type="http://schemas.openxmlformats.org/officeDocument/2006/relationships/hyperlink" Target="file:///\\cclserver\DATA\P%202020\03%20CR%20Projects\06-22-CR-017%20Addax%20Tower" TargetMode="External"/><Relationship Id="rId226" Type="http://schemas.openxmlformats.org/officeDocument/2006/relationships/hyperlink" Target="file:///\\cclserver\DATA\P%202020\03%20CR%20Projects\06-21-CR-005%20Marsa%20Al%20Arab\Construction%20phase" TargetMode="External"/><Relationship Id="rId433" Type="http://schemas.openxmlformats.org/officeDocument/2006/relationships/hyperlink" Target="file:///\\cclserver\DATA\P%202020\03%20CR%20Projects\06-22-CR-004%20G+1%20Private%20Villa%20&amp;%20Majlis" TargetMode="External"/><Relationship Id="rId640" Type="http://schemas.openxmlformats.org/officeDocument/2006/relationships/hyperlink" Target="file:///\\cclserver\DATA\P%202020\03%20CR%20Projects\06-20-CR-002%20MEDORE%20Tower\Construction%20Phase\" TargetMode="External"/><Relationship Id="rId74" Type="http://schemas.openxmlformats.org/officeDocument/2006/relationships/hyperlink" Target="file:///\\cclserver\DATA\Q%202020\CCL%20STRENGTHENING\Dubai\2021\R1.5261.21%20Al%20Wasl%20Tower" TargetMode="External"/><Relationship Id="rId377" Type="http://schemas.openxmlformats.org/officeDocument/2006/relationships/hyperlink" Target="file:///\\cclserver\DATA\P%202020\03%20CR%20Projects\06-22-CR-004%20G+1%20Private%20Villa%20&amp;%20Majlis" TargetMode="External"/><Relationship Id="rId500" Type="http://schemas.openxmlformats.org/officeDocument/2006/relationships/hyperlink" Target="file:///\\cclserver\DATA\P%202020\03%20CR%20Projects\06-22-CR-017%20Addax%20Tower" TargetMode="External"/><Relationship Id="rId584" Type="http://schemas.openxmlformats.org/officeDocument/2006/relationships/hyperlink" Target="file:///\\cclserver\DATA\P%202020\03%20CR%20Projects\06-22-CR-017%20Addax%20Tower" TargetMode="External"/><Relationship Id="rId5" Type="http://schemas.openxmlformats.org/officeDocument/2006/relationships/hyperlink" Target="file:///\\cclserver\DATA\P%202020\03%20CR%20Projects\06-23-CR-004%20CP01-13%20Riviera%20(Azizi)" TargetMode="External"/><Relationship Id="rId237" Type="http://schemas.openxmlformats.org/officeDocument/2006/relationships/hyperlink" Target="file:///\\cclserver\DATA\P%202020\03%20CR%20Projects\06-21-CR-005%20Marsa%20Al%20Arab\Construction%20phase" TargetMode="External"/><Relationship Id="rId444" Type="http://schemas.openxmlformats.org/officeDocument/2006/relationships/hyperlink" Target="file:///\\cclserver\DATA\Q%202020\CCL%20STRENGTHENING\Dubai\2022\R1.5399.22%20Nakheel%20Mall%20Redevelopment" TargetMode="External"/><Relationship Id="rId651" Type="http://schemas.openxmlformats.org/officeDocument/2006/relationships/hyperlink" Target="file:///\\cclserver\DATA\P%202020\03%20CR%20Projects\06-22-CR-011%20Park%20Avenue%203%20(Azizi)" TargetMode="External"/><Relationship Id="rId290" Type="http://schemas.openxmlformats.org/officeDocument/2006/relationships/hyperlink" Target="file:///\\cclserver\DATA\Q%202020\CCL%20STRENGTHENING\Dubai\2023\R1.5550.23%20OFFICE%20ANNEX%20Str" TargetMode="External"/><Relationship Id="rId304" Type="http://schemas.openxmlformats.org/officeDocument/2006/relationships/hyperlink" Target="file:///\\cclserver\DATA\Q%202020\CCL%20STRENGTHENING\Dubai\2023\R1.5530.23%20SARI%20Villa%20Al%20Awir" TargetMode="External"/><Relationship Id="rId388" Type="http://schemas.openxmlformats.org/officeDocument/2006/relationships/hyperlink" Target="file:///\\cclserver\DATA\P%202020\03%20CR%20Projects\06-20-CR-002%20MEDORE%20Tower\Construction%20Phase\" TargetMode="External"/><Relationship Id="rId511" Type="http://schemas.openxmlformats.org/officeDocument/2006/relationships/hyperlink" Target="file:///\\cclserver\DATA\Q%202020\CCL%20STRENGTHENING\Dubai\2022\R1.5399.22%20Nakheel%20Mall%20Redevelopment" TargetMode="External"/><Relationship Id="rId609" Type="http://schemas.openxmlformats.org/officeDocument/2006/relationships/hyperlink" Target="file:///\\cclserver\DATA\P%202020\03%20CR%20Projects\06-22-CR-004%20G+1%20Private%20Villa%20&amp;%20Majlis" TargetMode="External"/><Relationship Id="rId85" Type="http://schemas.openxmlformats.org/officeDocument/2006/relationships/hyperlink" Target="file:///\\cclserver\DATA\P%202020\03%20CR%20Projects\06-22-CR-009%20Profile%20Residence" TargetMode="External"/><Relationship Id="rId150" Type="http://schemas.openxmlformats.org/officeDocument/2006/relationships/hyperlink" Target="file:///\\cclserver\DATA\P%202020\03%20CR%20Projects\06-21-CR-005%20Marsa%20Al%20Arab\Construction%20phase" TargetMode="External"/><Relationship Id="rId595" Type="http://schemas.openxmlformats.org/officeDocument/2006/relationships/hyperlink" Target="file:///\\cclserver\DATA\P%202020\03%20CR%20Projects\06-20-CR-002%20MEDORE%20Tower\Construction%20Phase\" TargetMode="External"/><Relationship Id="rId248" Type="http://schemas.openxmlformats.org/officeDocument/2006/relationships/hyperlink" Target="file:///\\cclserver\DATA\Q%202020\CCL%20STRENGTHENING\Dubai\2023\R1.5550.23%20OFFICE%20ANNEX%20Str" TargetMode="External"/><Relationship Id="rId455" Type="http://schemas.openxmlformats.org/officeDocument/2006/relationships/hyperlink" Target="file:///\\cclserver\DATA\P%202020\03%20CR%20Projects\06-22-CR-011%20Park%20Avenue%203%20(Azizi)" TargetMode="External"/><Relationship Id="rId12" Type="http://schemas.openxmlformats.org/officeDocument/2006/relationships/hyperlink" Target="file:///\\cclserver\DATA\Q%202020\CCL%20STRENGTHENING\Dubai\2021\R1.5261.21%20Al%20Wasl%20Tower" TargetMode="External"/><Relationship Id="rId108" Type="http://schemas.openxmlformats.org/officeDocument/2006/relationships/hyperlink" Target="file:///\\cclserver\DATA\P%202020\03%20CR%20Projects\06-22-CR-011%20Park%20Avenue%203%20(Azizi)" TargetMode="External"/><Relationship Id="rId315" Type="http://schemas.openxmlformats.org/officeDocument/2006/relationships/hyperlink" Target="file:///\\cclserver\DATA\P%202020\03%20CR%20Projects\06-22-CR-011%20Park%20Avenue%203%20(Azizi)" TargetMode="External"/><Relationship Id="rId522" Type="http://schemas.openxmlformats.org/officeDocument/2006/relationships/hyperlink" Target="file:///\\cclserver\DATA\P%202020\03%20CR%20Projects\06-22-CR-017%20Addax%20Tower" TargetMode="External"/><Relationship Id="rId96" Type="http://schemas.openxmlformats.org/officeDocument/2006/relationships/hyperlink" Target="file:///\\cclserver\DATA\Q%202020\CCL%20STRENGTHENING\Dubai\2023\R1.5574.23%20Palm%20Beach%20Towers" TargetMode="External"/><Relationship Id="rId161" Type="http://schemas.openxmlformats.org/officeDocument/2006/relationships/hyperlink" Target="file:///\\cclserver\DATA\P%202020\03%20CR%20Projects\06-22-CR-009%20Profile%20Residence" TargetMode="External"/><Relationship Id="rId399" Type="http://schemas.openxmlformats.org/officeDocument/2006/relationships/hyperlink" Target="file:///\\cclserver\DATA\Q%202020\CCL%20STRENGTHENING\Dubai\2023\R1.5541.23%20Mina%20Bldg%20Al-Baha%20(Raffa)" TargetMode="External"/><Relationship Id="rId259" Type="http://schemas.openxmlformats.org/officeDocument/2006/relationships/hyperlink" Target="file:///\\cclserver\DATA\P%202020\03%20CR%20Projects\06-21-CR-005%20Marsa%20Al%20Arab\Construction%20phase" TargetMode="External"/><Relationship Id="rId466" Type="http://schemas.openxmlformats.org/officeDocument/2006/relationships/hyperlink" Target="file:///\\cclserver\DATA\P%202020\03%20CR%20Projects\06-21-CR-005%20Marsa%20Al%20Arab\Construction%20phase" TargetMode="External"/><Relationship Id="rId23" Type="http://schemas.openxmlformats.org/officeDocument/2006/relationships/hyperlink" Target="file:///\\cclserver\DATA\P%202020\03%20CR%20Projects\06-21-CR-005%20Marsa%20Al%20Arab\Construction%20phase" TargetMode="External"/><Relationship Id="rId119" Type="http://schemas.openxmlformats.org/officeDocument/2006/relationships/hyperlink" Target="file:///\\cclserver\DATA\Q%202020\CCL%20STRENGTHENING\Dubai\2021\R1.5261.21%20Al%20Wasl%20Tower" TargetMode="External"/><Relationship Id="rId326" Type="http://schemas.openxmlformats.org/officeDocument/2006/relationships/hyperlink" Target="file:///\\cclserver\DATA\P%202020\03%20CR%20Projects\06-22-CR-009%20Profile%20Residence" TargetMode="External"/><Relationship Id="rId533" Type="http://schemas.openxmlformats.org/officeDocument/2006/relationships/hyperlink" Target="file:///\\cclserver\DATA\P%202020\03%20CR%20Projects\06-22-CR-011%20Park%20Avenue%203%20(Azizi)" TargetMode="External"/><Relationship Id="rId172" Type="http://schemas.openxmlformats.org/officeDocument/2006/relationships/hyperlink" Target="file:///\\cclserver\DATA\P%202020\03%20CR%20Projects\06-22-CR-006%20Prayer%20hall%20Al-Quoz%20(Towers%20United)" TargetMode="External"/><Relationship Id="rId477" Type="http://schemas.openxmlformats.org/officeDocument/2006/relationships/hyperlink" Target="file:///\\cclserver\DATA\Q%202020\CCL%20STRENGTHENING\Dubai\2023\R1.5526.23%20Damac%20Cour%20Jardin" TargetMode="External"/><Relationship Id="rId600" Type="http://schemas.openxmlformats.org/officeDocument/2006/relationships/hyperlink" Target="file:///\\cclserver\DATA\P%202020\01%20Dubai\06-14-BU-004%20Profile%20Residence\Construction%20Phase\CR\" TargetMode="External"/><Relationship Id="rId337" Type="http://schemas.openxmlformats.org/officeDocument/2006/relationships/hyperlink" Target="file:///\\cclserver\DATA\P%202020\03%20CR%20Projects\06-22-CR-017%20Addax%20Tower" TargetMode="External"/><Relationship Id="rId34" Type="http://schemas.openxmlformats.org/officeDocument/2006/relationships/hyperlink" Target="file:///\\cclserver\DATA\P%202020\03%20CR%20Projects\06-20-CR-002%20MEDORE%20Tower\Construction%20Phase\" TargetMode="External"/><Relationship Id="rId544" Type="http://schemas.openxmlformats.org/officeDocument/2006/relationships/hyperlink" Target="file:///\\cclserver\DATA\P%202020\03%20CR%20Projects\06-20-CR-002%20MEDORE%20Tower\Construction%20Phase\" TargetMode="External"/><Relationship Id="rId183" Type="http://schemas.openxmlformats.org/officeDocument/2006/relationships/hyperlink" Target="file:///\\cclserver\DATA\P%202020\03%20CR%20Projects\06-21-CR-005%20Marsa%20Al%20Arab\Construction%20phase" TargetMode="External"/><Relationship Id="rId390" Type="http://schemas.openxmlformats.org/officeDocument/2006/relationships/hyperlink" Target="file:///\\cclserver\DATA\Q%202020\CCL%20STRENGTHENING\Dubai\2023\R1.5514.23%20Private%20Palace%20Jumeirah" TargetMode="External"/><Relationship Id="rId404" Type="http://schemas.openxmlformats.org/officeDocument/2006/relationships/hyperlink" Target="file:///\\cclserver\DATA\P%202020\03%20CR%20Projects\06-22-CR-014%20Saudi%20German%20Hospital%20Mirdif" TargetMode="External"/><Relationship Id="rId611" Type="http://schemas.openxmlformats.org/officeDocument/2006/relationships/hyperlink" Target="file:///\\cclserver\DATA\P%202020\03%20CR%20Projects\06-20-CR-002%20MEDORE%20Tower\Construction%20Phase\" TargetMode="External"/><Relationship Id="rId250" Type="http://schemas.openxmlformats.org/officeDocument/2006/relationships/hyperlink" Target="file:///\\cclserver\DATA\P%202020\03%20CR%20Projects\06-22-CR-006%20Prayer%20hall%20Al-Quoz%20(Towers%20United)" TargetMode="External"/><Relationship Id="rId488" Type="http://schemas.openxmlformats.org/officeDocument/2006/relationships/hyperlink" Target="file:///\\cclserver\DATA\Q%202020\CCL%20STRENGTHENING\Dubai\2023\R1.5526.23%20Damac%20Cour%20Jardin" TargetMode="External"/><Relationship Id="rId45" Type="http://schemas.openxmlformats.org/officeDocument/2006/relationships/hyperlink" Target="file:///\\cclserver\DATA\P%202020\03%20CR%20Projects\06-21-CR-005%20Marsa%20Al%20Arab\Construction%20phase" TargetMode="External"/><Relationship Id="rId110" Type="http://schemas.openxmlformats.org/officeDocument/2006/relationships/hyperlink" Target="file:///\\cclserver\DATA\Q%202020\CCL%20STRENGTHENING\Dubai\2023\R1.5561.23%20CP01-13%20Meydan%20One" TargetMode="External"/><Relationship Id="rId348" Type="http://schemas.openxmlformats.org/officeDocument/2006/relationships/hyperlink" Target="file:///\\cclserver\DATA\P%202020\03%20CR%20Projects\06-22-CR-011%20Park%20Avenue%203%20(Azizi)" TargetMode="External"/><Relationship Id="rId555" Type="http://schemas.openxmlformats.org/officeDocument/2006/relationships/hyperlink" Target="file:///\\cclserver\DATA\P%202020\03%20CR%20Projects\06-22-CR-017%20Addax%20Tower" TargetMode="External"/><Relationship Id="rId194" Type="http://schemas.openxmlformats.org/officeDocument/2006/relationships/hyperlink" Target="file:///\\cclserver\DATA\Q%202020\CCL%20STRENGTHENING\Dubai\2021\R1.5261.21%20Al%20Wasl%20Tower" TargetMode="External"/><Relationship Id="rId208" Type="http://schemas.openxmlformats.org/officeDocument/2006/relationships/hyperlink" Target="file:///\\cclserver\DATA\Q%202020\CCL%20STRENGTHENING\Dubai\2023\R1.5562.23%20Park%20Tower" TargetMode="External"/><Relationship Id="rId415" Type="http://schemas.openxmlformats.org/officeDocument/2006/relationships/hyperlink" Target="file:///\\cclserver\DATA\P%202020\03%20CR%20Projects\06-22-CR-014%20Saudi%20German%20Hospital%20Mirdif" TargetMode="External"/><Relationship Id="rId622" Type="http://schemas.openxmlformats.org/officeDocument/2006/relationships/hyperlink" Target="file:///\\cclserver\DATA\P%202020\01%20Dubai\06-14-BU-004%20Profile%20Residence\Construction%20Phase\CR\" TargetMode="External"/><Relationship Id="rId261" Type="http://schemas.openxmlformats.org/officeDocument/2006/relationships/hyperlink" Target="file:///\\cclserver\DATA\Q%202020\CCL%20STRENGTHENING\Dubai\2023\R1.5516.23%20Burjuman%20Mall%20Refurbishment" TargetMode="External"/><Relationship Id="rId499" Type="http://schemas.openxmlformats.org/officeDocument/2006/relationships/hyperlink" Target="file:///\\cclserver\DATA\P%202020\03%20CR%20Projects\06-20-CR-002%20MEDORE%20Tower\Construction%20Phase\" TargetMode="External"/><Relationship Id="rId56" Type="http://schemas.openxmlformats.org/officeDocument/2006/relationships/hyperlink" Target="file:///\\cclserver\DATA\Q%202020\CCL%20STRENGTHENING\Dubai\2021\R1.5261.21%20Al%20Wasl%20Tower" TargetMode="External"/><Relationship Id="rId359" Type="http://schemas.openxmlformats.org/officeDocument/2006/relationships/hyperlink" Target="file:///\\cclserver\DATA\P%202020\03%20CR%20Projects\06-22-CR-017%20Addax%20Tower" TargetMode="External"/><Relationship Id="rId566" Type="http://schemas.openxmlformats.org/officeDocument/2006/relationships/hyperlink" Target="file:///\\cclserver\DATA\P%202020\03%20CR%20Projects\06-21-CR-005%20Marsa%20Al%20Arab\Construction%20phase" TargetMode="External"/><Relationship Id="rId121" Type="http://schemas.openxmlformats.org/officeDocument/2006/relationships/hyperlink" Target="file:///\\cclserver\DATA\P%202020\03%20CR%20Projects\06-21-CR-005%20Marsa%20Al%20Arab\Construction%20phase" TargetMode="External"/><Relationship Id="rId219" Type="http://schemas.openxmlformats.org/officeDocument/2006/relationships/hyperlink" Target="file:///\\cclserver\DATA\Q%202020\CCL%20STRENGTHENING\Dubai\2023\R1.5562.23%20Park%20Tower" TargetMode="External"/><Relationship Id="rId426" Type="http://schemas.openxmlformats.org/officeDocument/2006/relationships/hyperlink" Target="file:///\\cclserver\DATA\P%202020\03%20CR%20Projects\06-22-CR-014%20Saudi%20German%20Hospital%20Mirdif" TargetMode="External"/><Relationship Id="rId633" Type="http://schemas.openxmlformats.org/officeDocument/2006/relationships/hyperlink" Target="file:///\\cclserver\DATA\P%202020\03%20CR%20Projects\06-22-CR-017%20Addax%20Tower" TargetMode="External"/><Relationship Id="rId67" Type="http://schemas.openxmlformats.org/officeDocument/2006/relationships/hyperlink" Target="file:///\\cclserver\DATA\P%202020\03%20CR%20Projects\06-20-CR-002%20MEDORE%20Tower\Construction%20Phase\" TargetMode="External"/><Relationship Id="rId272" Type="http://schemas.openxmlformats.org/officeDocument/2006/relationships/hyperlink" Target="file:///\\cclserver\DATA\P%202020\03%20CR%20Projects\06-22-CR-017%20Addax%20Tower" TargetMode="External"/><Relationship Id="rId577" Type="http://schemas.openxmlformats.org/officeDocument/2006/relationships/hyperlink" Target="file:///\\cclserver\DATA\P%202020\03%20CR%20Projects\06-19-CR-007%20Latifa%20Tower" TargetMode="External"/><Relationship Id="rId132" Type="http://schemas.openxmlformats.org/officeDocument/2006/relationships/hyperlink" Target="file:///\\cclserver\DATA\Q%202020\CCL%20STRENGTHENING\Dubai\2023\R1.5574.23%20Palm%20Beach%20Towers" TargetMode="External"/><Relationship Id="rId437" Type="http://schemas.openxmlformats.org/officeDocument/2006/relationships/hyperlink" Target="file:///\\cclserver\DATA\P%202020\03%20CR%20Projects\06-22-CR-011%20Park%20Avenue%203%20(Azizi)" TargetMode="External"/><Relationship Id="rId644" Type="http://schemas.openxmlformats.org/officeDocument/2006/relationships/hyperlink" Target="file:///\\cclserver\DATA\P%202020\03%20CR%20Projects\06-22-CR-013%20CP03-09%20and%20CP03-13%20(Azizi)" TargetMode="External"/><Relationship Id="rId283" Type="http://schemas.openxmlformats.org/officeDocument/2006/relationships/hyperlink" Target="file:///\\cclserver\DATA\Q%202020\CCL%20STRENGTHENING\Dubai\2023\R1.5550.23%20OFFICE%20ANNEX%20Str" TargetMode="External"/><Relationship Id="rId490" Type="http://schemas.openxmlformats.org/officeDocument/2006/relationships/hyperlink" Target="file:///\\cclserver\DATA\P%202020\03%20CR%20Projects\06-22-CR-017%20Addax%20Tower" TargetMode="External"/><Relationship Id="rId504" Type="http://schemas.openxmlformats.org/officeDocument/2006/relationships/hyperlink" Target="file:///\\cclserver\DATA\P%202020\03%20CR%20Projects\06-22-CR-004%20G+1%20Private%20Villa%20&amp;%20Majlis" TargetMode="External"/><Relationship Id="rId78" Type="http://schemas.openxmlformats.org/officeDocument/2006/relationships/hyperlink" Target="file:///\\cclserver\DATA\P%202020\03%20CR%20Projects\06-21-CR-005%20Marsa%20Al%20Arab\Construction%20phase" TargetMode="External"/><Relationship Id="rId143" Type="http://schemas.openxmlformats.org/officeDocument/2006/relationships/hyperlink" Target="file:///\\cclserver\DATA\P%202020\03%20CR%20Projects\06-21-CR-005%20Marsa%20Al%20Arab\Construction%20phase" TargetMode="External"/><Relationship Id="rId350" Type="http://schemas.openxmlformats.org/officeDocument/2006/relationships/hyperlink" Target="file:///\\cclserver\DATA\P%202020\03%20CR%20Projects\06-22-CR-017%20Addax%20Tower" TargetMode="External"/><Relationship Id="rId588" Type="http://schemas.openxmlformats.org/officeDocument/2006/relationships/hyperlink" Target="file:///\\cclserver\DATA\P%202020\03%20CR%20Projects\06-22-CR-006%20Prayer%20hall%20Al-Quoz%20(Towers%20United)" TargetMode="External"/><Relationship Id="rId9" Type="http://schemas.openxmlformats.org/officeDocument/2006/relationships/hyperlink" Target="file:///\\cclserver\DATA\Q%202020\CCL%20STRENGTHENING\Dubai\2023\R1.5583.23%20Gold%20Souk%20Dubai%20mall" TargetMode="External"/><Relationship Id="rId210" Type="http://schemas.openxmlformats.org/officeDocument/2006/relationships/hyperlink" Target="file:///\\cclserver\DATA\Q%202020\CCL%20STRENGTHENING\Dubai\2023\R1.5514.23%20Private%20Palace%20Jumeirah" TargetMode="External"/><Relationship Id="rId448" Type="http://schemas.openxmlformats.org/officeDocument/2006/relationships/hyperlink" Target="file:///\\cclserver\DATA\P%202020\03%20CR%20Projects\06-22-CR-004%20G+1%20Private%20Villa%20&amp;%20Majlis" TargetMode="External"/><Relationship Id="rId655" Type="http://schemas.openxmlformats.org/officeDocument/2006/relationships/hyperlink" Target="file:///\\cclserver\DATA\P%202020\03%20CR%20Projects\06-20-CR-002%20MEDORE%20Tower\Construction%20Phase\" TargetMode="External"/><Relationship Id="rId294" Type="http://schemas.openxmlformats.org/officeDocument/2006/relationships/hyperlink" Target="file:///\\cclserver\DATA\P%202020\03%20CR%20Projects\06-22-CR-009%20Profile%20Residence" TargetMode="External"/><Relationship Id="rId308" Type="http://schemas.openxmlformats.org/officeDocument/2006/relationships/hyperlink" Target="file:///\\cclserver\DATA\Q%202020\CCL%20STRENGTHENING\Dubai\2023\R1.5516.23%20Burjuman%20Mall%20Refurbishment" TargetMode="External"/><Relationship Id="rId515" Type="http://schemas.openxmlformats.org/officeDocument/2006/relationships/hyperlink" Target="file:///\\cclserver\DATA\Q%202020\CCL%20STRENGTHENING\Dubai\2023\R1.5525.23%20Damac%20Waters%20Edge" TargetMode="External"/><Relationship Id="rId89" Type="http://schemas.openxmlformats.org/officeDocument/2006/relationships/hyperlink" Target="file:///\\cclserver\DATA\Q%202020\CCL%20STRENGTHENING\Dubai\2023\R1.5574.23%20Palm%20Beach%20Towers" TargetMode="External"/><Relationship Id="rId154" Type="http://schemas.openxmlformats.org/officeDocument/2006/relationships/hyperlink" Target="file:///\\cclserver\DATA\P%202020\03%20CR%20Projects\06-21-CR-005%20Marsa%20Al%20Arab\Construction%20phase" TargetMode="External"/><Relationship Id="rId361" Type="http://schemas.openxmlformats.org/officeDocument/2006/relationships/hyperlink" Target="file:///\\cclserver\DATA\P%202020\03%20CR%20Projects\06-22-CR-014%20Saudi%20German%20Hospital%20Mirdif" TargetMode="External"/><Relationship Id="rId599" Type="http://schemas.openxmlformats.org/officeDocument/2006/relationships/hyperlink" Target="file:///\\cclserver\DATA\Q%202020\CCL%20STRENGTHENING\Dubai\2023\R1.5516.23%20Burjuman%20Mall%20Refurbishment" TargetMode="External"/><Relationship Id="rId459" Type="http://schemas.openxmlformats.org/officeDocument/2006/relationships/hyperlink" Target="file:///\\cclserver\DATA\P%202020\03%20CR%20Projects\06-22-CR-004%20G+1%20Private%20Villa%20&amp;%20Majlis" TargetMode="External"/><Relationship Id="rId16" Type="http://schemas.openxmlformats.org/officeDocument/2006/relationships/hyperlink" Target="file:///\\cclserver\DATA\P%202020\03%20CR%20Projects\06-21-CR-005%20Marsa%20Al%20Arab\Construction%20phase" TargetMode="External"/><Relationship Id="rId221" Type="http://schemas.openxmlformats.org/officeDocument/2006/relationships/hyperlink" Target="file:///\\cclserver\DATA\P%202020\03%20CR%20Projects\06-22-CR-009%20Profile%20Residence" TargetMode="External"/><Relationship Id="rId319" Type="http://schemas.openxmlformats.org/officeDocument/2006/relationships/hyperlink" Target="file:///\\cclserver\DATA\P%202020\03%20CR%20Projects\06-22-CR-009%20Profile%20Residence" TargetMode="External"/><Relationship Id="rId526" Type="http://schemas.openxmlformats.org/officeDocument/2006/relationships/hyperlink" Target="file:///\\cclserver\DATA\P%202020\03%20CR%20Projects\06-22-CR-014%20Saudi%20German%20Hospital%20Mirdi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file:///D:\OPERATIONS\1.%20ARCHIVES\20.%20Concrete%20Repair%20Works\Articles%20&amp;%20Books" TargetMode="External"/><Relationship Id="rId1" Type="http://schemas.openxmlformats.org/officeDocument/2006/relationships/hyperlink" Target="file:///D:\OPERATIONS\1.%20ARCHIVES\20.%20Concrete%20Repair%20Works\Notes_D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file:///\\cclserver\DATA\P%202020\03%20CR%20Projects\06-21-CR-002-%20Hotel%20Apartment%20JVC\Construction%20Phase" TargetMode="External"/><Relationship Id="rId7"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3\R1.5516.23%20Burjuman%20Mall%20Refurbishment" TargetMode="External"/><Relationship Id="rId6" Type="http://schemas.openxmlformats.org/officeDocument/2006/relationships/hyperlink" Target="file:///\\cclserver\DATA\Q%202020\CCL%20STRENGTHENING\Dubai\2023\R1.5516.23%20Burjuman%20Mall%20Refurbishment" TargetMode="External"/><Relationship Id="rId5" Type="http://schemas.openxmlformats.org/officeDocument/2006/relationships/hyperlink" Target="file:///\\cclserver\DATA\P%202020\03%20CR%20Projects\06-22-CR-011%20Park%20Avenue%203%20(Azizi)" TargetMode="External"/><Relationship Id="rId4" Type="http://schemas.openxmlformats.org/officeDocument/2006/relationships/hyperlink" Target="file:///\\cclserver\DATA\P%202020\03%20CR%20Projects\06-23-CR-004%20CP01-13%20Riviera%20(Azizi)" TargetMode="Externa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file:///\\cclserver\DATA\P%202020\03%20CR%20Projects\06-20-CR-002%20MEDORE%20Tower\Construction%20Phase\" TargetMode="External"/><Relationship Id="rId7" Type="http://schemas.openxmlformats.org/officeDocument/2006/relationships/hyperlink" Target="file:///\\cclserver\DATA\P%202020\03%20CR%20Projects\06-20-CR-002%20MEDORE%20Tower\Construction%20Phase\SUBMITTALS\2.%20Technical%20Submittals\22.%20GF%20Canopy%20Submittal\0_RAW%20DATA\3.%20Method%20Statement\Data" TargetMode="External"/><Relationship Id="rId2" Type="http://schemas.openxmlformats.org/officeDocument/2006/relationships/hyperlink" Target="file:///\\cclserver\DATA\P%202020\03%20CR%20Projects\06-22-CR-011%20Park%20Avenue%203%20(Azizi)" TargetMode="External"/><Relationship Id="rId1" Type="http://schemas.openxmlformats.org/officeDocument/2006/relationships/hyperlink" Target="file:///\\cclserver\DATA\Q%202020\CCL%20STRENGTHENING\Dubai\2023\R1.5516.23%20Burjuman%20Mall%20Refurbishment" TargetMode="External"/><Relationship Id="rId6" Type="http://schemas.openxmlformats.org/officeDocument/2006/relationships/hyperlink" Target="file:///\\cclserver\DATA\P%202020\03%20CR%20Projects\06-22-CR-011%20Park%20Avenue%203%20(Azizi)" TargetMode="External"/><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P%202020\03%20CR%20Projects\06-21-CR-002-%20Hotel%20Apartment%20JVC\Construction%20Phase"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P%202020\03%20CR%20Projects\06-22-CR-011%20Park%20Avenue%203%20(Azizi)" TargetMode="External"/><Relationship Id="rId1" Type="http://schemas.openxmlformats.org/officeDocument/2006/relationships/hyperlink" Target="file:///\\cclserver\DATA\Q%202020\CCL%20STRENGTHENING\Dubai\2023\R1.5516.23%20Burjuman%20Mall%20Refurbishment" TargetMode="Externa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3\R1.5516.23%20Burjuman%20Mall%20Refurbishment" TargetMode="External"/><Relationship Id="rId5" Type="http://schemas.openxmlformats.org/officeDocument/2006/relationships/printerSettings" Target="../printerSettings/printerSettings12.bin"/><Relationship Id="rId4" Type="http://schemas.openxmlformats.org/officeDocument/2006/relationships/hyperlink" Target="file:///\\cclserver\DATA\Q%202020\CCL%20STRENGTHENING\BAHRAIN\1.%20Dilmunia%20Mall" TargetMode="External"/></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hyperlink" Target="file:///\\cclserver\DATA\Q%202020\CCL%20STRENGTHENING\BAHRAIN\1.%20Dilmunia%20Mall" TargetMode="External"/><Relationship Id="rId7" Type="http://schemas.openxmlformats.org/officeDocument/2006/relationships/hyperlink" Target="file:///\\cclserver\DATA\P%202020\03%20CR%20Projects\06-23-CR-004%20CP01-13%20Riviera%20(Azizi)"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3\R1.5516.23%20Burjuman%20Mall%20Refurbishment" TargetMode="External"/><Relationship Id="rId6" Type="http://schemas.openxmlformats.org/officeDocument/2006/relationships/hyperlink" Target="file:///\\cclserver\DATA\P%202020\03%20CR%20Projects\06-21-CR-005%20Marsa%20Al%20Arab\Construction%20phase" TargetMode="External"/><Relationship Id="rId5" Type="http://schemas.openxmlformats.org/officeDocument/2006/relationships/hyperlink" Target="file:///\\cclserver\DATA\P%202020\03%20CR%20Projects\06-20-CR-002%20MEDORE%20Tower\Construction%20Phase\" TargetMode="External"/><Relationship Id="rId4" Type="http://schemas.openxmlformats.org/officeDocument/2006/relationships/hyperlink" Target="file:///\\cclserver\DATA\Q%202020\CCL%20STRENGTHENING\Dubai\2021\R1.5261.21%20Al%20Wasl%20Tower"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file:///\\cclserver\DATA\Q%202020\CCL%20STRENGTHENING\Dubai\2023\R1.5516.23%20Burjuman%20Mall%20Refurbishment" TargetMode="External"/><Relationship Id="rId2" Type="http://schemas.openxmlformats.org/officeDocument/2006/relationships/hyperlink" Target="file:///\\cclserver\DATA\P%202020\03%20CR%20Projects\06-23-CR-004%20CP01-13%20Riviera%20(Azizi)" TargetMode="External"/><Relationship Id="rId1" Type="http://schemas.openxmlformats.org/officeDocument/2006/relationships/hyperlink" Target="file:///\\cclserver\DATA\Q%202020\CCL%20STRENGTHENING\Dubai\2021\R1.5261.21%20Al%20Wasl%20Tower" TargetMode="External"/><Relationship Id="rId6" Type="http://schemas.openxmlformats.org/officeDocument/2006/relationships/printerSettings" Target="../printerSettings/printerSettings14.bin"/><Relationship Id="rId5" Type="http://schemas.openxmlformats.org/officeDocument/2006/relationships/hyperlink" Target="file:///\\cclserver\DATA\Q%202020\CCL%20STRENGTHENING\BAHRAIN\1.%20Dilmunia%20Mall" TargetMode="External"/><Relationship Id="rId4" Type="http://schemas.openxmlformats.org/officeDocument/2006/relationships/hyperlink" Target="file:///\\cclserver\DATA\P%202020\03%20CR%20Projects\06-20-CR-002%20MEDORE%20Tower\Construction%20Phase\"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file:///\\cclserver\DATA\P%202020\03%20CR%20Projects\06-23-CR-004%20CP01-13%20Riviera%20(Azizi)" TargetMode="External"/><Relationship Id="rId7" Type="http://schemas.openxmlformats.org/officeDocument/2006/relationships/printerSettings" Target="../printerSettings/printerSettings15.bin"/><Relationship Id="rId2" Type="http://schemas.openxmlformats.org/officeDocument/2006/relationships/hyperlink" Target="file:///\\cclserver\DATA\P%202020\03%20CR%20Projects\06-23-CR-004%20CP01-13%20Riviera%20(Azizi)" TargetMode="External"/><Relationship Id="rId1" Type="http://schemas.openxmlformats.org/officeDocument/2006/relationships/hyperlink" Target="file:///\\cclserver\DATA\Q%202020\CCL%20STRENGTHENING\Dubai\2021\R1.5261.21%20Al%20Wasl%20Tower" TargetMode="External"/><Relationship Id="rId6" Type="http://schemas.openxmlformats.org/officeDocument/2006/relationships/hyperlink" Target="file:///\\cclserver\DATA\P%202020\03%20CR%20Projects\06-20-CR-002%20MEDORE%20Tower\Construction%20Phase\" TargetMode="External"/><Relationship Id="rId5" Type="http://schemas.openxmlformats.org/officeDocument/2006/relationships/hyperlink" Target="file:///\\cclserver\DATA\P%202020\03%20CR%20Projects\06-22-CR-011%20Park%20Avenue%203%20(Azizi)" TargetMode="External"/><Relationship Id="rId4" Type="http://schemas.openxmlformats.org/officeDocument/2006/relationships/hyperlink" Target="file:///\\cclserver\DATA\Q%202020\CCL%20STRENGTHENING\Dubai\2023\R1.5516.23%20Burjuman%20Mall%20Refurbishment"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file:///\\cclserver\DATA\P%202020\03%20CR%20Projects\06-23-CR-004%20CP01-13%20Riviera%20(Azizi)"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1\R1.5261.21%20Al%20Wasl%20Tower" TargetMode="External"/><Relationship Id="rId4"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hyperlink" Target="file:///\\cclserver\DATA\Q%202020\CCL%20STRENGTHENING\Dubai\2023\R1.5574.23%20Palm%20Beach%20Towers" TargetMode="External"/><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printerSettings" Target="../printerSettings/printerSettings17.bin"/><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P%202020\03%20CR%20Projects\06-23-CR-004%20CP01-13%20Riviera%20(Azizi)"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7" Type="http://schemas.openxmlformats.org/officeDocument/2006/relationships/printerSettings" Target="../printerSettings/printerSettings18.bin"/><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hyperlink" Target="file:///\\cclserver\DATA\P%202020\03%20CR%20Projects\06-20-CR-002%20MEDORE%20Tower\Construction%20Phase\" TargetMode="External"/><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Q%202020\CCL%20STRENGTHENING\Dubai\2023\R1.5574.23%20Palm%20Beach%20Towers"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printerSettings" Target="../printerSettings/printerSettings19.bin"/><Relationship Id="rId5" Type="http://schemas.openxmlformats.org/officeDocument/2006/relationships/hyperlink" Target="file:///\\cclserver\DATA\Q%202020\CCL%20STRENGTHENING\Dubai\2023\R1.5574.23%20Palm%20Beach%20Towers" TargetMode="External"/><Relationship Id="rId4" Type="http://schemas.openxmlformats.org/officeDocument/2006/relationships/hyperlink" Target="file:///\\cclserver\DATA\P%202020\03%20CR%20Projects\06-22-CR-011%20Park%20Avenue%203%20(Aziz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064C4-8262-4F94-B7F0-43C973A62F90}">
  <sheetPr codeName="Sheet538"/>
  <dimension ref="A2:O2121"/>
  <sheetViews>
    <sheetView zoomScaleNormal="100" workbookViewId="0">
      <selection activeCell="C7" sqref="C7"/>
    </sheetView>
  </sheetViews>
  <sheetFormatPr defaultRowHeight="12.75" x14ac:dyDescent="0.2"/>
  <cols>
    <col min="1" max="1" width="3.42578125" style="21" customWidth="1"/>
    <col min="2" max="2" width="8.5703125" style="24" bestFit="1" customWidth="1"/>
    <col min="3" max="3" width="27.5703125" bestFit="1" customWidth="1"/>
    <col min="4" max="4" width="11" bestFit="1" customWidth="1"/>
    <col min="5" max="5" width="22.85546875" bestFit="1" customWidth="1"/>
    <col min="6" max="6" width="17.42578125" bestFit="1" customWidth="1"/>
    <col min="7" max="7" width="30.42578125" customWidth="1"/>
    <col min="8" max="8" width="32" customWidth="1"/>
    <col min="9" max="9" width="17.140625" style="22" customWidth="1"/>
    <col min="10" max="10" width="3.7109375" bestFit="1" customWidth="1"/>
    <col min="11" max="11" width="6.28515625" bestFit="1" customWidth="1"/>
    <col min="12" max="12" width="3" bestFit="1" customWidth="1"/>
    <col min="13" max="13" width="13.5703125" customWidth="1"/>
    <col min="14" max="14" width="9.7109375" bestFit="1" customWidth="1"/>
    <col min="15" max="15" width="10.7109375" customWidth="1"/>
  </cols>
  <sheetData>
    <row r="2" spans="1:15" x14ac:dyDescent="0.2">
      <c r="I2" s="22" t="s">
        <v>2103</v>
      </c>
      <c r="J2" s="25" t="s">
        <v>2104</v>
      </c>
      <c r="K2" s="25" t="s">
        <v>2105</v>
      </c>
      <c r="M2" s="25" t="s">
        <v>2107</v>
      </c>
      <c r="N2" s="25" t="s">
        <v>2109</v>
      </c>
      <c r="O2" s="25" t="s">
        <v>2108</v>
      </c>
    </row>
    <row r="3" spans="1:15" x14ac:dyDescent="0.2">
      <c r="A3" s="21" t="str">
        <f>IF(LEFT(B3,2)&gt;12,"y","-")</f>
        <v>y</v>
      </c>
      <c r="B3" s="24" t="s">
        <v>1606</v>
      </c>
      <c r="C3" t="s">
        <v>38</v>
      </c>
      <c r="D3" t="s">
        <v>13</v>
      </c>
      <c r="E3" t="s">
        <v>43</v>
      </c>
      <c r="F3" t="s">
        <v>2</v>
      </c>
      <c r="H3" t="s">
        <v>1946</v>
      </c>
      <c r="I3" s="22" t="str">
        <f>IF(K3="yes",TEXT(B3,"YYYY-DD-MM"),TEXT(B3,"YYYY-MM-DD"))</f>
        <v>2021-01-13</v>
      </c>
      <c r="J3" s="23" t="str">
        <f>LEFT(B3,2)</f>
        <v>13</v>
      </c>
      <c r="K3" t="str">
        <f>IF(L3&gt;31,"yes","no")</f>
        <v>no</v>
      </c>
      <c r="L3">
        <v>13</v>
      </c>
      <c r="M3" t="str">
        <f>I3</f>
        <v>2021-01-13</v>
      </c>
      <c r="N3" s="20">
        <f>IF(F3="DONE",M3,M3+1)</f>
        <v>44210</v>
      </c>
      <c r="O3" t="str">
        <f>TEXT(N3,"YYYY-MM-DD")</f>
        <v>2021-01-14</v>
      </c>
    </row>
    <row r="4" spans="1:15" x14ac:dyDescent="0.2">
      <c r="A4" s="21" t="str">
        <f t="shared" ref="A4:A67" si="0">IF(LEFT(B4,2)&gt;12,"y","-")</f>
        <v>y</v>
      </c>
      <c r="B4" s="24" t="s">
        <v>1606</v>
      </c>
      <c r="C4" t="s">
        <v>145</v>
      </c>
      <c r="D4" t="s">
        <v>13</v>
      </c>
      <c r="E4" t="s">
        <v>27</v>
      </c>
      <c r="F4" t="s">
        <v>2</v>
      </c>
      <c r="G4" t="s">
        <v>1601</v>
      </c>
      <c r="H4" t="s">
        <v>1947</v>
      </c>
      <c r="I4" s="22" t="str">
        <f t="shared" ref="I4:I67" si="1">IF(K4="yes",TEXT(B4,"YYYY-DD-MM"),TEXT(B4,"YYYY-MM-DD"))</f>
        <v>2021-01-13</v>
      </c>
      <c r="J4" s="23" t="str">
        <f t="shared" ref="J4:J67" si="2">LEFT(B4,2)</f>
        <v>13</v>
      </c>
      <c r="K4" t="str">
        <f t="shared" ref="K4:K67" si="3">IF(L4&gt;31,"yes","no")</f>
        <v>no</v>
      </c>
      <c r="L4">
        <v>13</v>
      </c>
      <c r="M4" t="str">
        <f t="shared" ref="M4:M67" si="4">I4</f>
        <v>2021-01-13</v>
      </c>
      <c r="N4" s="20">
        <f t="shared" ref="N4:N67" si="5">IF(F4="DONE",M4,M4+1)</f>
        <v>44210</v>
      </c>
      <c r="O4" t="str">
        <f t="shared" ref="O4:O67" si="6">TEXT(N4,"YYYY-MM-DD")</f>
        <v>2021-01-14</v>
      </c>
    </row>
    <row r="5" spans="1:15" x14ac:dyDescent="0.2">
      <c r="A5" s="21" t="str">
        <f t="shared" si="0"/>
        <v>y</v>
      </c>
      <c r="B5" s="24" t="s">
        <v>1606</v>
      </c>
      <c r="C5" t="s">
        <v>1064</v>
      </c>
      <c r="D5" t="s">
        <v>13</v>
      </c>
      <c r="E5" t="s">
        <v>8</v>
      </c>
      <c r="F5" t="s">
        <v>2</v>
      </c>
      <c r="G5" t="s">
        <v>1603</v>
      </c>
      <c r="H5" t="s">
        <v>1948</v>
      </c>
      <c r="I5" s="22" t="str">
        <f t="shared" si="1"/>
        <v>2021-01-13</v>
      </c>
      <c r="J5" s="23" t="str">
        <f t="shared" si="2"/>
        <v>13</v>
      </c>
      <c r="K5" t="str">
        <f t="shared" si="3"/>
        <v>no</v>
      </c>
      <c r="L5">
        <v>13</v>
      </c>
      <c r="M5" t="str">
        <f t="shared" si="4"/>
        <v>2021-01-13</v>
      </c>
      <c r="N5" s="20">
        <f t="shared" si="5"/>
        <v>44210</v>
      </c>
      <c r="O5" t="str">
        <f t="shared" si="6"/>
        <v>2021-01-14</v>
      </c>
    </row>
    <row r="6" spans="1:15" x14ac:dyDescent="0.2">
      <c r="A6" s="21" t="str">
        <f t="shared" si="0"/>
        <v>y</v>
      </c>
      <c r="B6" s="24" t="s">
        <v>1606</v>
      </c>
      <c r="C6" t="s">
        <v>1423</v>
      </c>
      <c r="D6" t="s">
        <v>13</v>
      </c>
      <c r="E6" t="s">
        <v>27</v>
      </c>
      <c r="F6" t="s">
        <v>2</v>
      </c>
      <c r="H6" t="s">
        <v>1949</v>
      </c>
      <c r="I6" s="22" t="str">
        <f t="shared" si="1"/>
        <v>2021-01-13</v>
      </c>
      <c r="J6" s="23" t="str">
        <f t="shared" si="2"/>
        <v>13</v>
      </c>
      <c r="K6" t="str">
        <f t="shared" si="3"/>
        <v>no</v>
      </c>
      <c r="L6">
        <v>13</v>
      </c>
      <c r="M6" t="str">
        <f t="shared" si="4"/>
        <v>2021-01-13</v>
      </c>
      <c r="N6" s="20">
        <f t="shared" si="5"/>
        <v>44210</v>
      </c>
      <c r="O6" t="str">
        <f t="shared" si="6"/>
        <v>2021-01-14</v>
      </c>
    </row>
    <row r="7" spans="1:15" x14ac:dyDescent="0.2">
      <c r="A7" s="21" t="str">
        <f t="shared" si="0"/>
        <v>y</v>
      </c>
      <c r="B7" s="24" t="s">
        <v>1606</v>
      </c>
      <c r="C7" t="s">
        <v>1529</v>
      </c>
      <c r="D7" t="s">
        <v>13</v>
      </c>
      <c r="E7" t="s">
        <v>27</v>
      </c>
      <c r="F7" t="s">
        <v>2</v>
      </c>
      <c r="H7" t="s">
        <v>1950</v>
      </c>
      <c r="I7" s="22" t="str">
        <f t="shared" si="1"/>
        <v>2021-01-13</v>
      </c>
      <c r="J7" s="23" t="str">
        <f t="shared" si="2"/>
        <v>13</v>
      </c>
      <c r="K7" t="str">
        <f t="shared" si="3"/>
        <v>no</v>
      </c>
      <c r="L7">
        <v>13</v>
      </c>
      <c r="M7" t="str">
        <f t="shared" si="4"/>
        <v>2021-01-13</v>
      </c>
      <c r="N7" s="20">
        <f t="shared" si="5"/>
        <v>44210</v>
      </c>
      <c r="O7" t="str">
        <f t="shared" si="6"/>
        <v>2021-01-14</v>
      </c>
    </row>
    <row r="8" spans="1:15" x14ac:dyDescent="0.2">
      <c r="A8" s="21" t="str">
        <f t="shared" si="0"/>
        <v>y</v>
      </c>
      <c r="B8" s="24" t="s">
        <v>1606</v>
      </c>
      <c r="C8" t="s">
        <v>1591</v>
      </c>
      <c r="D8" t="s">
        <v>13</v>
      </c>
      <c r="E8" t="s">
        <v>27</v>
      </c>
      <c r="F8" t="s">
        <v>2</v>
      </c>
      <c r="H8" t="s">
        <v>1951</v>
      </c>
      <c r="I8" s="22" t="str">
        <f t="shared" si="1"/>
        <v>2021-01-13</v>
      </c>
      <c r="J8" s="23" t="str">
        <f t="shared" si="2"/>
        <v>13</v>
      </c>
      <c r="K8" t="str">
        <f t="shared" si="3"/>
        <v>no</v>
      </c>
      <c r="L8">
        <v>13</v>
      </c>
      <c r="M8" t="str">
        <f t="shared" si="4"/>
        <v>2021-01-13</v>
      </c>
      <c r="N8" s="20">
        <f t="shared" si="5"/>
        <v>44210</v>
      </c>
      <c r="O8" t="str">
        <f t="shared" si="6"/>
        <v>2021-01-14</v>
      </c>
    </row>
    <row r="9" spans="1:15" x14ac:dyDescent="0.2">
      <c r="A9" s="21" t="str">
        <f t="shared" si="0"/>
        <v>y</v>
      </c>
      <c r="B9" s="24">
        <v>44531</v>
      </c>
      <c r="C9" t="s">
        <v>38</v>
      </c>
      <c r="D9" t="s">
        <v>13</v>
      </c>
      <c r="E9" t="s">
        <v>43</v>
      </c>
      <c r="F9" t="s">
        <v>2</v>
      </c>
      <c r="G9" t="s">
        <v>1604</v>
      </c>
      <c r="H9" t="s">
        <v>1946</v>
      </c>
      <c r="I9" s="22" t="str">
        <f t="shared" si="1"/>
        <v>2021-01-12</v>
      </c>
      <c r="J9" s="23" t="str">
        <f t="shared" si="2"/>
        <v>44</v>
      </c>
      <c r="K9" t="str">
        <f t="shared" si="3"/>
        <v>yes</v>
      </c>
      <c r="L9">
        <v>44</v>
      </c>
      <c r="M9" t="str">
        <f t="shared" si="4"/>
        <v>2021-01-12</v>
      </c>
      <c r="N9" s="20">
        <f t="shared" si="5"/>
        <v>44209</v>
      </c>
      <c r="O9" t="str">
        <f t="shared" si="6"/>
        <v>2021-01-13</v>
      </c>
    </row>
    <row r="10" spans="1:15" x14ac:dyDescent="0.2">
      <c r="A10" s="21" t="str">
        <f t="shared" si="0"/>
        <v>y</v>
      </c>
      <c r="B10" s="24">
        <v>44531</v>
      </c>
      <c r="C10" t="s">
        <v>235</v>
      </c>
      <c r="D10" t="s">
        <v>13</v>
      </c>
      <c r="E10" t="s">
        <v>34</v>
      </c>
      <c r="F10" t="s">
        <v>29</v>
      </c>
      <c r="G10" t="s">
        <v>1602</v>
      </c>
      <c r="H10" t="s">
        <v>1952</v>
      </c>
      <c r="I10" s="22" t="str">
        <f t="shared" si="1"/>
        <v>2021-01-12</v>
      </c>
      <c r="J10" s="23" t="str">
        <f t="shared" si="2"/>
        <v>44</v>
      </c>
      <c r="K10" t="str">
        <f t="shared" si="3"/>
        <v>yes</v>
      </c>
      <c r="L10">
        <v>44</v>
      </c>
      <c r="M10" t="str">
        <f t="shared" si="4"/>
        <v>2021-01-12</v>
      </c>
      <c r="N10" s="20" t="str">
        <f t="shared" si="5"/>
        <v>2021-01-12</v>
      </c>
      <c r="O10" t="str">
        <f t="shared" si="6"/>
        <v>2021-01-12</v>
      </c>
    </row>
    <row r="11" spans="1:15" x14ac:dyDescent="0.2">
      <c r="A11" s="21" t="str">
        <f t="shared" si="0"/>
        <v>y</v>
      </c>
      <c r="B11" s="24">
        <v>44531</v>
      </c>
      <c r="C11" t="s">
        <v>145</v>
      </c>
      <c r="D11" t="s">
        <v>13</v>
      </c>
      <c r="E11" t="s">
        <v>27</v>
      </c>
      <c r="F11" t="s">
        <v>2</v>
      </c>
      <c r="G11" t="s">
        <v>1601</v>
      </c>
      <c r="H11" t="s">
        <v>1947</v>
      </c>
      <c r="I11" s="22" t="str">
        <f t="shared" si="1"/>
        <v>2021-01-12</v>
      </c>
      <c r="J11" s="23" t="str">
        <f t="shared" si="2"/>
        <v>44</v>
      </c>
      <c r="K11" t="str">
        <f t="shared" si="3"/>
        <v>yes</v>
      </c>
      <c r="L11">
        <v>44</v>
      </c>
      <c r="M11" t="str">
        <f t="shared" si="4"/>
        <v>2021-01-12</v>
      </c>
      <c r="N11" s="20">
        <f t="shared" si="5"/>
        <v>44209</v>
      </c>
      <c r="O11" t="str">
        <f t="shared" si="6"/>
        <v>2021-01-13</v>
      </c>
    </row>
    <row r="12" spans="1:15" x14ac:dyDescent="0.2">
      <c r="A12" s="21" t="str">
        <f t="shared" si="0"/>
        <v>y</v>
      </c>
      <c r="B12" s="24">
        <v>44531</v>
      </c>
      <c r="C12" t="s">
        <v>701</v>
      </c>
      <c r="D12" t="s">
        <v>13</v>
      </c>
      <c r="E12" t="s">
        <v>34</v>
      </c>
      <c r="F12" t="s">
        <v>29</v>
      </c>
      <c r="G12" t="s">
        <v>1605</v>
      </c>
      <c r="H12" t="s">
        <v>1953</v>
      </c>
      <c r="I12" s="22" t="str">
        <f t="shared" si="1"/>
        <v>2021-01-12</v>
      </c>
      <c r="J12" s="23" t="str">
        <f t="shared" si="2"/>
        <v>44</v>
      </c>
      <c r="K12" t="str">
        <f t="shared" si="3"/>
        <v>yes</v>
      </c>
      <c r="L12">
        <v>44</v>
      </c>
      <c r="M12" t="str">
        <f t="shared" si="4"/>
        <v>2021-01-12</v>
      </c>
      <c r="N12" s="20" t="str">
        <f t="shared" si="5"/>
        <v>2021-01-12</v>
      </c>
      <c r="O12" t="str">
        <f t="shared" si="6"/>
        <v>2021-01-12</v>
      </c>
    </row>
    <row r="13" spans="1:15" x14ac:dyDescent="0.2">
      <c r="A13" s="21" t="str">
        <f t="shared" si="0"/>
        <v>y</v>
      </c>
      <c r="B13" s="24">
        <v>44531</v>
      </c>
      <c r="C13" t="s">
        <v>1064</v>
      </c>
      <c r="D13" t="s">
        <v>13</v>
      </c>
      <c r="E13" t="s">
        <v>8</v>
      </c>
      <c r="F13" t="s">
        <v>2</v>
      </c>
      <c r="G13" t="s">
        <v>1603</v>
      </c>
      <c r="H13" t="s">
        <v>1948</v>
      </c>
      <c r="I13" s="22" t="str">
        <f t="shared" si="1"/>
        <v>2021-01-12</v>
      </c>
      <c r="J13" s="23" t="str">
        <f t="shared" si="2"/>
        <v>44</v>
      </c>
      <c r="K13" t="str">
        <f t="shared" si="3"/>
        <v>yes</v>
      </c>
      <c r="L13">
        <v>44</v>
      </c>
      <c r="M13" t="str">
        <f t="shared" si="4"/>
        <v>2021-01-12</v>
      </c>
      <c r="N13" s="20">
        <f t="shared" si="5"/>
        <v>44209</v>
      </c>
      <c r="O13" t="str">
        <f t="shared" si="6"/>
        <v>2021-01-13</v>
      </c>
    </row>
    <row r="14" spans="1:15" x14ac:dyDescent="0.2">
      <c r="A14" s="21" t="str">
        <f t="shared" si="0"/>
        <v>y</v>
      </c>
      <c r="B14" s="24">
        <v>44501</v>
      </c>
      <c r="C14" t="s">
        <v>38</v>
      </c>
      <c r="D14" t="s">
        <v>13</v>
      </c>
      <c r="E14" t="s">
        <v>43</v>
      </c>
      <c r="F14" t="s">
        <v>2</v>
      </c>
      <c r="H14" t="s">
        <v>1946</v>
      </c>
      <c r="I14" s="22" t="str">
        <f t="shared" si="1"/>
        <v>2021-01-11</v>
      </c>
      <c r="J14" s="23" t="str">
        <f t="shared" si="2"/>
        <v>44</v>
      </c>
      <c r="K14" t="str">
        <f t="shared" si="3"/>
        <v>yes</v>
      </c>
      <c r="L14">
        <v>44</v>
      </c>
      <c r="M14" t="str">
        <f t="shared" si="4"/>
        <v>2021-01-11</v>
      </c>
      <c r="N14" s="20">
        <f t="shared" si="5"/>
        <v>44208</v>
      </c>
      <c r="O14" t="str">
        <f t="shared" si="6"/>
        <v>2021-01-12</v>
      </c>
    </row>
    <row r="15" spans="1:15" x14ac:dyDescent="0.2">
      <c r="A15" s="21" t="str">
        <f t="shared" si="0"/>
        <v>y</v>
      </c>
      <c r="B15" s="24">
        <v>44501</v>
      </c>
      <c r="C15" t="s">
        <v>235</v>
      </c>
      <c r="D15" t="s">
        <v>13</v>
      </c>
      <c r="E15" t="s">
        <v>34</v>
      </c>
      <c r="F15" t="s">
        <v>2</v>
      </c>
      <c r="G15" t="s">
        <v>1602</v>
      </c>
      <c r="H15" t="s">
        <v>1952</v>
      </c>
      <c r="I15" s="22" t="str">
        <f t="shared" si="1"/>
        <v>2021-01-11</v>
      </c>
      <c r="J15" s="23" t="str">
        <f t="shared" si="2"/>
        <v>44</v>
      </c>
      <c r="K15" t="str">
        <f t="shared" si="3"/>
        <v>yes</v>
      </c>
      <c r="L15">
        <v>44</v>
      </c>
      <c r="M15" t="str">
        <f t="shared" si="4"/>
        <v>2021-01-11</v>
      </c>
      <c r="N15" s="20">
        <f t="shared" si="5"/>
        <v>44208</v>
      </c>
      <c r="O15" t="str">
        <f t="shared" si="6"/>
        <v>2021-01-12</v>
      </c>
    </row>
    <row r="16" spans="1:15" x14ac:dyDescent="0.2">
      <c r="A16" s="21" t="str">
        <f t="shared" si="0"/>
        <v>y</v>
      </c>
      <c r="B16" s="24">
        <v>44501</v>
      </c>
      <c r="C16" t="s">
        <v>145</v>
      </c>
      <c r="D16" t="s">
        <v>13</v>
      </c>
      <c r="E16" t="s">
        <v>27</v>
      </c>
      <c r="F16" t="s">
        <v>2</v>
      </c>
      <c r="G16" t="s">
        <v>1601</v>
      </c>
      <c r="H16" t="s">
        <v>1947</v>
      </c>
      <c r="I16" s="22" t="str">
        <f t="shared" si="1"/>
        <v>2021-01-11</v>
      </c>
      <c r="J16" s="23" t="str">
        <f t="shared" si="2"/>
        <v>44</v>
      </c>
      <c r="K16" t="str">
        <f t="shared" si="3"/>
        <v>yes</v>
      </c>
      <c r="L16">
        <v>44</v>
      </c>
      <c r="M16" t="str">
        <f t="shared" si="4"/>
        <v>2021-01-11</v>
      </c>
      <c r="N16" s="20">
        <f t="shared" si="5"/>
        <v>44208</v>
      </c>
      <c r="O16" t="str">
        <f t="shared" si="6"/>
        <v>2021-01-12</v>
      </c>
    </row>
    <row r="17" spans="1:15" x14ac:dyDescent="0.2">
      <c r="A17" s="21" t="str">
        <f t="shared" si="0"/>
        <v>y</v>
      </c>
      <c r="B17" s="24">
        <v>44470</v>
      </c>
      <c r="C17" t="s">
        <v>38</v>
      </c>
      <c r="D17" t="s">
        <v>13</v>
      </c>
      <c r="E17" t="s">
        <v>43</v>
      </c>
      <c r="F17" t="s">
        <v>2</v>
      </c>
      <c r="G17" t="s">
        <v>1583</v>
      </c>
      <c r="H17" t="s">
        <v>1946</v>
      </c>
      <c r="I17" s="22" t="str">
        <f t="shared" si="1"/>
        <v>2021-01-10</v>
      </c>
      <c r="J17" s="23" t="str">
        <f t="shared" si="2"/>
        <v>44</v>
      </c>
      <c r="K17" t="str">
        <f t="shared" si="3"/>
        <v>yes</v>
      </c>
      <c r="L17">
        <v>44</v>
      </c>
      <c r="M17" t="str">
        <f t="shared" si="4"/>
        <v>2021-01-10</v>
      </c>
      <c r="N17" s="20">
        <f t="shared" si="5"/>
        <v>44207</v>
      </c>
      <c r="O17" t="str">
        <f t="shared" si="6"/>
        <v>2021-01-11</v>
      </c>
    </row>
    <row r="18" spans="1:15" x14ac:dyDescent="0.2">
      <c r="A18" s="21" t="str">
        <f t="shared" si="0"/>
        <v>y</v>
      </c>
      <c r="B18" s="24">
        <v>44470</v>
      </c>
      <c r="C18" t="s">
        <v>1590</v>
      </c>
      <c r="D18" t="s">
        <v>13</v>
      </c>
      <c r="E18" t="s">
        <v>27</v>
      </c>
      <c r="F18" t="s">
        <v>29</v>
      </c>
      <c r="G18" t="s">
        <v>1600</v>
      </c>
      <c r="H18" t="s">
        <v>1954</v>
      </c>
      <c r="I18" s="22" t="str">
        <f t="shared" si="1"/>
        <v>2021-01-10</v>
      </c>
      <c r="J18" s="23" t="str">
        <f t="shared" si="2"/>
        <v>44</v>
      </c>
      <c r="K18" t="str">
        <f t="shared" si="3"/>
        <v>yes</v>
      </c>
      <c r="L18">
        <v>44</v>
      </c>
      <c r="M18" t="str">
        <f t="shared" si="4"/>
        <v>2021-01-10</v>
      </c>
      <c r="N18" s="20" t="str">
        <f t="shared" si="5"/>
        <v>2021-01-10</v>
      </c>
      <c r="O18" t="str">
        <f t="shared" si="6"/>
        <v>2021-01-10</v>
      </c>
    </row>
    <row r="19" spans="1:15" x14ac:dyDescent="0.2">
      <c r="A19" s="21" t="str">
        <f t="shared" si="0"/>
        <v>y</v>
      </c>
      <c r="B19" s="24">
        <v>44470</v>
      </c>
      <c r="C19" t="s">
        <v>1064</v>
      </c>
      <c r="D19" t="s">
        <v>13</v>
      </c>
      <c r="E19" t="s">
        <v>8</v>
      </c>
      <c r="F19" t="s">
        <v>2</v>
      </c>
      <c r="G19" t="s">
        <v>1597</v>
      </c>
      <c r="H19" t="s">
        <v>1948</v>
      </c>
      <c r="I19" s="22" t="str">
        <f t="shared" si="1"/>
        <v>2021-01-10</v>
      </c>
      <c r="J19" s="23" t="str">
        <f t="shared" si="2"/>
        <v>44</v>
      </c>
      <c r="K19" t="str">
        <f t="shared" si="3"/>
        <v>yes</v>
      </c>
      <c r="L19">
        <v>44</v>
      </c>
      <c r="M19" t="str">
        <f t="shared" si="4"/>
        <v>2021-01-10</v>
      </c>
      <c r="N19" s="20">
        <f t="shared" si="5"/>
        <v>44207</v>
      </c>
      <c r="O19" t="str">
        <f t="shared" si="6"/>
        <v>2021-01-11</v>
      </c>
    </row>
    <row r="20" spans="1:15" x14ac:dyDescent="0.2">
      <c r="A20" s="21" t="str">
        <f t="shared" si="0"/>
        <v>y</v>
      </c>
      <c r="B20" s="24">
        <v>44470</v>
      </c>
      <c r="C20" t="s">
        <v>1591</v>
      </c>
      <c r="D20" t="s">
        <v>13</v>
      </c>
      <c r="E20" t="s">
        <v>27</v>
      </c>
      <c r="F20" t="s">
        <v>29</v>
      </c>
      <c r="G20" t="s">
        <v>1598</v>
      </c>
      <c r="H20" t="s">
        <v>1951</v>
      </c>
      <c r="I20" s="22" t="str">
        <f t="shared" si="1"/>
        <v>2021-01-10</v>
      </c>
      <c r="J20" s="23" t="str">
        <f t="shared" si="2"/>
        <v>44</v>
      </c>
      <c r="K20" t="str">
        <f t="shared" si="3"/>
        <v>yes</v>
      </c>
      <c r="L20">
        <v>44</v>
      </c>
      <c r="M20" t="str">
        <f t="shared" si="4"/>
        <v>2021-01-10</v>
      </c>
      <c r="N20" s="20" t="str">
        <f t="shared" si="5"/>
        <v>2021-01-10</v>
      </c>
      <c r="O20" t="str">
        <f t="shared" si="6"/>
        <v>2021-01-10</v>
      </c>
    </row>
    <row r="21" spans="1:15" x14ac:dyDescent="0.2">
      <c r="A21" s="21" t="str">
        <f t="shared" si="0"/>
        <v>y</v>
      </c>
      <c r="B21" s="24">
        <v>44470</v>
      </c>
      <c r="C21" t="s">
        <v>235</v>
      </c>
      <c r="D21" t="s">
        <v>13</v>
      </c>
      <c r="E21" t="s">
        <v>34</v>
      </c>
      <c r="F21" t="s">
        <v>2</v>
      </c>
      <c r="G21" t="s">
        <v>1599</v>
      </c>
      <c r="H21" t="s">
        <v>1952</v>
      </c>
      <c r="I21" s="22" t="str">
        <f t="shared" si="1"/>
        <v>2021-01-10</v>
      </c>
      <c r="J21" s="23" t="str">
        <f t="shared" si="2"/>
        <v>44</v>
      </c>
      <c r="K21" t="str">
        <f t="shared" si="3"/>
        <v>yes</v>
      </c>
      <c r="L21">
        <v>44</v>
      </c>
      <c r="M21" t="str">
        <f t="shared" si="4"/>
        <v>2021-01-10</v>
      </c>
      <c r="N21" s="20">
        <f t="shared" si="5"/>
        <v>44207</v>
      </c>
      <c r="O21" t="str">
        <f t="shared" si="6"/>
        <v>2021-01-11</v>
      </c>
    </row>
    <row r="22" spans="1:15" x14ac:dyDescent="0.2">
      <c r="A22" s="21" t="str">
        <f t="shared" si="0"/>
        <v>y</v>
      </c>
      <c r="B22" s="24">
        <v>44378</v>
      </c>
      <c r="C22" t="s">
        <v>38</v>
      </c>
      <c r="D22" t="s">
        <v>13</v>
      </c>
      <c r="E22" t="s">
        <v>43</v>
      </c>
      <c r="F22" t="s">
        <v>2</v>
      </c>
      <c r="G22" t="s">
        <v>1583</v>
      </c>
      <c r="H22" t="s">
        <v>1946</v>
      </c>
      <c r="I22" s="22" t="str">
        <f t="shared" si="1"/>
        <v>2021-01-07</v>
      </c>
      <c r="J22" s="23" t="str">
        <f t="shared" si="2"/>
        <v>44</v>
      </c>
      <c r="K22" t="str">
        <f t="shared" si="3"/>
        <v>yes</v>
      </c>
      <c r="L22">
        <v>44</v>
      </c>
      <c r="M22" t="str">
        <f t="shared" si="4"/>
        <v>2021-01-07</v>
      </c>
      <c r="N22" s="20">
        <f t="shared" si="5"/>
        <v>44204</v>
      </c>
      <c r="O22" t="str">
        <f t="shared" si="6"/>
        <v>2021-01-08</v>
      </c>
    </row>
    <row r="23" spans="1:15" x14ac:dyDescent="0.2">
      <c r="A23" s="21" t="str">
        <f t="shared" si="0"/>
        <v>y</v>
      </c>
      <c r="B23" s="24">
        <v>44378</v>
      </c>
      <c r="C23" t="s">
        <v>1590</v>
      </c>
      <c r="D23" t="s">
        <v>13</v>
      </c>
      <c r="E23" t="s">
        <v>27</v>
      </c>
      <c r="F23" t="s">
        <v>2</v>
      </c>
      <c r="H23" t="s">
        <v>1955</v>
      </c>
      <c r="I23" s="22" t="str">
        <f t="shared" si="1"/>
        <v>2021-01-07</v>
      </c>
      <c r="J23" s="23" t="str">
        <f t="shared" si="2"/>
        <v>44</v>
      </c>
      <c r="K23" t="str">
        <f t="shared" si="3"/>
        <v>yes</v>
      </c>
      <c r="L23">
        <v>44</v>
      </c>
      <c r="M23" t="str">
        <f t="shared" si="4"/>
        <v>2021-01-07</v>
      </c>
      <c r="N23" s="20">
        <f t="shared" si="5"/>
        <v>44204</v>
      </c>
      <c r="O23" t="str">
        <f t="shared" si="6"/>
        <v>2021-01-08</v>
      </c>
    </row>
    <row r="24" spans="1:15" x14ac:dyDescent="0.2">
      <c r="A24" s="21" t="str">
        <f t="shared" si="0"/>
        <v>y</v>
      </c>
      <c r="B24" s="24">
        <v>44348</v>
      </c>
      <c r="C24" t="s">
        <v>38</v>
      </c>
      <c r="D24" t="s">
        <v>13</v>
      </c>
      <c r="E24" t="s">
        <v>43</v>
      </c>
      <c r="F24" t="s">
        <v>2</v>
      </c>
      <c r="G24" t="s">
        <v>1583</v>
      </c>
      <c r="H24" t="s">
        <v>1946</v>
      </c>
      <c r="I24" s="22" t="str">
        <f t="shared" si="1"/>
        <v>2021-01-06</v>
      </c>
      <c r="J24" s="23" t="str">
        <f t="shared" si="2"/>
        <v>44</v>
      </c>
      <c r="K24" t="str">
        <f t="shared" si="3"/>
        <v>yes</v>
      </c>
      <c r="L24">
        <v>44</v>
      </c>
      <c r="M24" t="str">
        <f t="shared" si="4"/>
        <v>2021-01-06</v>
      </c>
      <c r="N24" s="20">
        <f t="shared" si="5"/>
        <v>44203</v>
      </c>
      <c r="O24" t="str">
        <f t="shared" si="6"/>
        <v>2021-01-07</v>
      </c>
    </row>
    <row r="25" spans="1:15" x14ac:dyDescent="0.2">
      <c r="A25" s="21" t="str">
        <f t="shared" si="0"/>
        <v>y</v>
      </c>
      <c r="B25" s="24">
        <v>44348</v>
      </c>
      <c r="C25" t="s">
        <v>1590</v>
      </c>
      <c r="D25" t="s">
        <v>13</v>
      </c>
      <c r="E25" t="s">
        <v>27</v>
      </c>
      <c r="F25" t="s">
        <v>2</v>
      </c>
      <c r="H25" t="s">
        <v>1955</v>
      </c>
      <c r="I25" s="22" t="str">
        <f t="shared" si="1"/>
        <v>2021-01-06</v>
      </c>
      <c r="J25" s="23" t="str">
        <f t="shared" si="2"/>
        <v>44</v>
      </c>
      <c r="K25" t="str">
        <f t="shared" si="3"/>
        <v>yes</v>
      </c>
      <c r="L25">
        <v>44</v>
      </c>
      <c r="M25" t="str">
        <f t="shared" si="4"/>
        <v>2021-01-06</v>
      </c>
      <c r="N25" s="20">
        <f t="shared" si="5"/>
        <v>44203</v>
      </c>
      <c r="O25" t="str">
        <f t="shared" si="6"/>
        <v>2021-01-07</v>
      </c>
    </row>
    <row r="26" spans="1:15" x14ac:dyDescent="0.2">
      <c r="A26" s="21" t="str">
        <f t="shared" si="0"/>
        <v>y</v>
      </c>
      <c r="B26" s="24">
        <v>44348</v>
      </c>
      <c r="C26" t="s">
        <v>1064</v>
      </c>
      <c r="D26" t="s">
        <v>13</v>
      </c>
      <c r="E26" t="s">
        <v>8</v>
      </c>
      <c r="F26" t="s">
        <v>29</v>
      </c>
      <c r="G26" t="s">
        <v>1597</v>
      </c>
      <c r="H26" t="s">
        <v>1956</v>
      </c>
      <c r="I26" s="22" t="str">
        <f t="shared" si="1"/>
        <v>2021-01-06</v>
      </c>
      <c r="J26" s="23" t="str">
        <f t="shared" si="2"/>
        <v>44</v>
      </c>
      <c r="K26" t="str">
        <f t="shared" si="3"/>
        <v>yes</v>
      </c>
      <c r="L26">
        <v>44</v>
      </c>
      <c r="M26" t="str">
        <f t="shared" si="4"/>
        <v>2021-01-06</v>
      </c>
      <c r="N26" s="20" t="str">
        <f t="shared" si="5"/>
        <v>2021-01-06</v>
      </c>
      <c r="O26" t="str">
        <f t="shared" si="6"/>
        <v>2021-01-06</v>
      </c>
    </row>
    <row r="27" spans="1:15" x14ac:dyDescent="0.2">
      <c r="A27" s="21" t="str">
        <f t="shared" si="0"/>
        <v>y</v>
      </c>
      <c r="B27" s="24">
        <v>44348</v>
      </c>
      <c r="C27" t="s">
        <v>1591</v>
      </c>
      <c r="D27" t="s">
        <v>13</v>
      </c>
      <c r="E27" t="s">
        <v>27</v>
      </c>
      <c r="F27" t="s">
        <v>29</v>
      </c>
      <c r="G27" t="s">
        <v>1596</v>
      </c>
      <c r="H27" t="s">
        <v>1957</v>
      </c>
      <c r="I27" s="22" t="str">
        <f t="shared" si="1"/>
        <v>2021-01-06</v>
      </c>
      <c r="J27" s="23" t="str">
        <f t="shared" si="2"/>
        <v>44</v>
      </c>
      <c r="K27" t="str">
        <f t="shared" si="3"/>
        <v>yes</v>
      </c>
      <c r="L27">
        <v>44</v>
      </c>
      <c r="M27" t="str">
        <f t="shared" si="4"/>
        <v>2021-01-06</v>
      </c>
      <c r="N27" s="20" t="str">
        <f t="shared" si="5"/>
        <v>2021-01-06</v>
      </c>
      <c r="O27" t="str">
        <f t="shared" si="6"/>
        <v>2021-01-06</v>
      </c>
    </row>
    <row r="28" spans="1:15" x14ac:dyDescent="0.2">
      <c r="A28" s="21" t="str">
        <f t="shared" si="0"/>
        <v>y</v>
      </c>
      <c r="B28" s="24">
        <v>44317</v>
      </c>
      <c r="C28" t="s">
        <v>235</v>
      </c>
      <c r="D28" t="s">
        <v>13</v>
      </c>
      <c r="E28" t="s">
        <v>34</v>
      </c>
      <c r="F28" t="s">
        <v>29</v>
      </c>
      <c r="G28" t="s">
        <v>1594</v>
      </c>
      <c r="H28" t="s">
        <v>1958</v>
      </c>
      <c r="I28" s="22" t="str">
        <f t="shared" si="1"/>
        <v>2021-01-05</v>
      </c>
      <c r="J28" s="23" t="str">
        <f t="shared" si="2"/>
        <v>44</v>
      </c>
      <c r="K28" t="str">
        <f t="shared" si="3"/>
        <v>yes</v>
      </c>
      <c r="L28">
        <v>44</v>
      </c>
      <c r="M28" t="str">
        <f t="shared" si="4"/>
        <v>2021-01-05</v>
      </c>
      <c r="N28" s="20" t="str">
        <f t="shared" si="5"/>
        <v>2021-01-05</v>
      </c>
      <c r="O28" t="str">
        <f t="shared" si="6"/>
        <v>2021-01-05</v>
      </c>
    </row>
    <row r="29" spans="1:15" x14ac:dyDescent="0.2">
      <c r="A29" s="21" t="str">
        <f t="shared" si="0"/>
        <v>y</v>
      </c>
      <c r="B29" s="24">
        <v>44317</v>
      </c>
      <c r="C29" t="s">
        <v>235</v>
      </c>
      <c r="D29" t="s">
        <v>13</v>
      </c>
      <c r="E29" t="s">
        <v>34</v>
      </c>
      <c r="F29" t="s">
        <v>29</v>
      </c>
      <c r="G29" t="s">
        <v>1585</v>
      </c>
      <c r="H29" t="s">
        <v>1946</v>
      </c>
      <c r="I29" s="22" t="str">
        <f t="shared" si="1"/>
        <v>2021-01-05</v>
      </c>
      <c r="J29" s="23" t="str">
        <f t="shared" si="2"/>
        <v>44</v>
      </c>
      <c r="K29" t="str">
        <f t="shared" si="3"/>
        <v>yes</v>
      </c>
      <c r="L29">
        <v>44</v>
      </c>
      <c r="M29" t="str">
        <f t="shared" si="4"/>
        <v>2021-01-05</v>
      </c>
      <c r="N29" s="20" t="str">
        <f t="shared" si="5"/>
        <v>2021-01-05</v>
      </c>
      <c r="O29" t="str">
        <f t="shared" si="6"/>
        <v>2021-01-05</v>
      </c>
    </row>
    <row r="30" spans="1:15" x14ac:dyDescent="0.2">
      <c r="A30" s="21" t="str">
        <f t="shared" si="0"/>
        <v>y</v>
      </c>
      <c r="B30" s="24">
        <v>44317</v>
      </c>
      <c r="C30" t="s">
        <v>38</v>
      </c>
      <c r="D30" t="s">
        <v>13</v>
      </c>
      <c r="E30" t="s">
        <v>43</v>
      </c>
      <c r="F30" t="s">
        <v>2</v>
      </c>
      <c r="G30" t="s">
        <v>1583</v>
      </c>
      <c r="H30" t="s">
        <v>1958</v>
      </c>
      <c r="I30" s="22" t="str">
        <f t="shared" si="1"/>
        <v>2021-01-05</v>
      </c>
      <c r="J30" s="23" t="str">
        <f t="shared" si="2"/>
        <v>44</v>
      </c>
      <c r="K30" t="str">
        <f t="shared" si="3"/>
        <v>yes</v>
      </c>
      <c r="L30">
        <v>44</v>
      </c>
      <c r="M30" t="str">
        <f t="shared" si="4"/>
        <v>2021-01-05</v>
      </c>
      <c r="N30" s="20">
        <f t="shared" si="5"/>
        <v>44202</v>
      </c>
      <c r="O30" t="str">
        <f t="shared" si="6"/>
        <v>2021-01-06</v>
      </c>
    </row>
    <row r="31" spans="1:15" x14ac:dyDescent="0.2">
      <c r="A31" s="21" t="str">
        <f t="shared" si="0"/>
        <v>y</v>
      </c>
      <c r="B31" s="24">
        <v>44317</v>
      </c>
      <c r="C31" t="s">
        <v>1590</v>
      </c>
      <c r="D31" t="s">
        <v>13</v>
      </c>
      <c r="E31" t="s">
        <v>27</v>
      </c>
      <c r="F31" t="s">
        <v>2</v>
      </c>
      <c r="H31" t="s">
        <v>1955</v>
      </c>
      <c r="I31" s="22" t="str">
        <f t="shared" si="1"/>
        <v>2021-01-05</v>
      </c>
      <c r="J31" s="23" t="str">
        <f t="shared" si="2"/>
        <v>44</v>
      </c>
      <c r="K31" t="str">
        <f t="shared" si="3"/>
        <v>yes</v>
      </c>
      <c r="L31">
        <v>44</v>
      </c>
      <c r="M31" t="str">
        <f t="shared" si="4"/>
        <v>2021-01-05</v>
      </c>
      <c r="N31" s="20">
        <f t="shared" si="5"/>
        <v>44202</v>
      </c>
      <c r="O31" t="str">
        <f t="shared" si="6"/>
        <v>2021-01-06</v>
      </c>
    </row>
    <row r="32" spans="1:15" x14ac:dyDescent="0.2">
      <c r="A32" s="21" t="str">
        <f t="shared" si="0"/>
        <v>y</v>
      </c>
      <c r="B32" s="24">
        <v>44317</v>
      </c>
      <c r="C32" t="s">
        <v>1064</v>
      </c>
      <c r="D32" t="s">
        <v>13</v>
      </c>
      <c r="E32" t="s">
        <v>43</v>
      </c>
      <c r="F32" t="s">
        <v>2</v>
      </c>
      <c r="G32" t="s">
        <v>1593</v>
      </c>
      <c r="H32" t="s">
        <v>1956</v>
      </c>
      <c r="I32" s="22" t="str">
        <f t="shared" si="1"/>
        <v>2021-01-05</v>
      </c>
      <c r="J32" s="23" t="str">
        <f t="shared" si="2"/>
        <v>44</v>
      </c>
      <c r="K32" t="str">
        <f t="shared" si="3"/>
        <v>yes</v>
      </c>
      <c r="L32">
        <v>44</v>
      </c>
      <c r="M32" t="str">
        <f t="shared" si="4"/>
        <v>2021-01-05</v>
      </c>
      <c r="N32" s="20">
        <f t="shared" si="5"/>
        <v>44202</v>
      </c>
      <c r="O32" t="str">
        <f t="shared" si="6"/>
        <v>2021-01-06</v>
      </c>
    </row>
    <row r="33" spans="1:15" x14ac:dyDescent="0.2">
      <c r="A33" s="21" t="str">
        <f t="shared" si="0"/>
        <v>y</v>
      </c>
      <c r="B33" s="24">
        <v>44317</v>
      </c>
      <c r="C33" t="s">
        <v>1591</v>
      </c>
      <c r="D33" t="s">
        <v>13</v>
      </c>
      <c r="E33" t="s">
        <v>8</v>
      </c>
      <c r="F33" t="s">
        <v>2</v>
      </c>
      <c r="G33" t="s">
        <v>1595</v>
      </c>
      <c r="H33" t="s">
        <v>1957</v>
      </c>
      <c r="I33" s="22" t="str">
        <f t="shared" si="1"/>
        <v>2021-01-05</v>
      </c>
      <c r="J33" s="23" t="str">
        <f t="shared" si="2"/>
        <v>44</v>
      </c>
      <c r="K33" t="str">
        <f t="shared" si="3"/>
        <v>yes</v>
      </c>
      <c r="L33">
        <v>44</v>
      </c>
      <c r="M33" t="str">
        <f t="shared" si="4"/>
        <v>2021-01-05</v>
      </c>
      <c r="N33" s="20">
        <f t="shared" si="5"/>
        <v>44202</v>
      </c>
      <c r="O33" t="str">
        <f t="shared" si="6"/>
        <v>2021-01-06</v>
      </c>
    </row>
    <row r="34" spans="1:15" x14ac:dyDescent="0.2">
      <c r="A34" s="21" t="str">
        <f t="shared" si="0"/>
        <v>y</v>
      </c>
      <c r="B34" s="24">
        <v>44287</v>
      </c>
      <c r="C34" t="s">
        <v>235</v>
      </c>
      <c r="D34" t="s">
        <v>13</v>
      </c>
      <c r="E34" t="s">
        <v>34</v>
      </c>
      <c r="F34" t="s">
        <v>2</v>
      </c>
      <c r="G34" t="s">
        <v>1584</v>
      </c>
      <c r="H34" t="s">
        <v>1958</v>
      </c>
      <c r="I34" s="22" t="str">
        <f t="shared" si="1"/>
        <v>2021-01-04</v>
      </c>
      <c r="J34" s="23" t="str">
        <f t="shared" si="2"/>
        <v>44</v>
      </c>
      <c r="K34" t="str">
        <f t="shared" si="3"/>
        <v>yes</v>
      </c>
      <c r="L34">
        <v>44</v>
      </c>
      <c r="M34" t="str">
        <f t="shared" si="4"/>
        <v>2021-01-04</v>
      </c>
      <c r="N34" s="20">
        <f t="shared" si="5"/>
        <v>44201</v>
      </c>
      <c r="O34" t="str">
        <f t="shared" si="6"/>
        <v>2021-01-05</v>
      </c>
    </row>
    <row r="35" spans="1:15" x14ac:dyDescent="0.2">
      <c r="A35" s="21" t="str">
        <f t="shared" si="0"/>
        <v>y</v>
      </c>
      <c r="B35" s="24">
        <v>44287</v>
      </c>
      <c r="C35" t="s">
        <v>235</v>
      </c>
      <c r="D35" t="s">
        <v>13</v>
      </c>
      <c r="E35" t="s">
        <v>115</v>
      </c>
      <c r="F35" t="s">
        <v>29</v>
      </c>
      <c r="G35" t="s">
        <v>1586</v>
      </c>
      <c r="H35" t="s">
        <v>1946</v>
      </c>
      <c r="I35" s="22" t="str">
        <f t="shared" si="1"/>
        <v>2021-01-04</v>
      </c>
      <c r="J35" s="23" t="str">
        <f t="shared" si="2"/>
        <v>44</v>
      </c>
      <c r="K35" t="str">
        <f t="shared" si="3"/>
        <v>yes</v>
      </c>
      <c r="L35">
        <v>44</v>
      </c>
      <c r="M35" t="str">
        <f t="shared" si="4"/>
        <v>2021-01-04</v>
      </c>
      <c r="N35" s="20" t="str">
        <f t="shared" si="5"/>
        <v>2021-01-04</v>
      </c>
      <c r="O35" t="str">
        <f t="shared" si="6"/>
        <v>2021-01-04</v>
      </c>
    </row>
    <row r="36" spans="1:15" x14ac:dyDescent="0.2">
      <c r="A36" s="21" t="str">
        <f t="shared" si="0"/>
        <v>y</v>
      </c>
      <c r="B36" s="24">
        <v>44287</v>
      </c>
      <c r="C36" t="s">
        <v>235</v>
      </c>
      <c r="D36" t="s">
        <v>13</v>
      </c>
      <c r="E36" t="s">
        <v>34</v>
      </c>
      <c r="F36" t="s">
        <v>2</v>
      </c>
      <c r="G36" t="s">
        <v>1585</v>
      </c>
      <c r="H36" t="s">
        <v>1958</v>
      </c>
      <c r="I36" s="22" t="str">
        <f t="shared" si="1"/>
        <v>2021-01-04</v>
      </c>
      <c r="J36" s="23" t="str">
        <f t="shared" si="2"/>
        <v>44</v>
      </c>
      <c r="K36" t="str">
        <f t="shared" si="3"/>
        <v>yes</v>
      </c>
      <c r="L36">
        <v>44</v>
      </c>
      <c r="M36" t="str">
        <f t="shared" si="4"/>
        <v>2021-01-04</v>
      </c>
      <c r="N36" s="20">
        <f t="shared" si="5"/>
        <v>44201</v>
      </c>
      <c r="O36" t="str">
        <f t="shared" si="6"/>
        <v>2021-01-05</v>
      </c>
    </row>
    <row r="37" spans="1:15" x14ac:dyDescent="0.2">
      <c r="A37" s="21" t="str">
        <f t="shared" si="0"/>
        <v>y</v>
      </c>
      <c r="B37" s="24">
        <v>44287</v>
      </c>
      <c r="C37" t="s">
        <v>38</v>
      </c>
      <c r="D37" t="s">
        <v>13</v>
      </c>
      <c r="E37" t="s">
        <v>43</v>
      </c>
      <c r="F37" t="s">
        <v>2</v>
      </c>
      <c r="G37" t="s">
        <v>1583</v>
      </c>
      <c r="H37" t="s">
        <v>1958</v>
      </c>
      <c r="I37" s="22" t="str">
        <f t="shared" si="1"/>
        <v>2021-01-04</v>
      </c>
      <c r="J37" s="23" t="str">
        <f t="shared" si="2"/>
        <v>44</v>
      </c>
      <c r="K37" t="str">
        <f t="shared" si="3"/>
        <v>yes</v>
      </c>
      <c r="L37">
        <v>44</v>
      </c>
      <c r="M37" t="str">
        <f t="shared" si="4"/>
        <v>2021-01-04</v>
      </c>
      <c r="N37" s="20">
        <f t="shared" si="5"/>
        <v>44201</v>
      </c>
      <c r="O37" t="str">
        <f t="shared" si="6"/>
        <v>2021-01-05</v>
      </c>
    </row>
    <row r="38" spans="1:15" x14ac:dyDescent="0.2">
      <c r="A38" s="21" t="str">
        <f t="shared" si="0"/>
        <v>y</v>
      </c>
      <c r="B38" s="24">
        <v>44287</v>
      </c>
      <c r="C38" t="s">
        <v>1423</v>
      </c>
      <c r="D38" t="s">
        <v>13</v>
      </c>
      <c r="E38" t="s">
        <v>34</v>
      </c>
      <c r="F38" t="s">
        <v>29</v>
      </c>
      <c r="G38" t="s">
        <v>1589</v>
      </c>
      <c r="H38" t="s">
        <v>1959</v>
      </c>
      <c r="I38" s="22" t="str">
        <f t="shared" si="1"/>
        <v>2021-01-04</v>
      </c>
      <c r="J38" s="23" t="str">
        <f t="shared" si="2"/>
        <v>44</v>
      </c>
      <c r="K38" t="str">
        <f t="shared" si="3"/>
        <v>yes</v>
      </c>
      <c r="L38">
        <v>44</v>
      </c>
      <c r="M38" t="str">
        <f t="shared" si="4"/>
        <v>2021-01-04</v>
      </c>
      <c r="N38" s="20" t="str">
        <f t="shared" si="5"/>
        <v>2021-01-04</v>
      </c>
      <c r="O38" t="str">
        <f t="shared" si="6"/>
        <v>2021-01-04</v>
      </c>
    </row>
    <row r="39" spans="1:15" x14ac:dyDescent="0.2">
      <c r="A39" s="21" t="str">
        <f t="shared" si="0"/>
        <v>y</v>
      </c>
      <c r="B39" s="24">
        <v>44287</v>
      </c>
      <c r="C39" t="s">
        <v>145</v>
      </c>
      <c r="D39" t="s">
        <v>13</v>
      </c>
      <c r="E39" t="s">
        <v>27</v>
      </c>
      <c r="F39" t="s">
        <v>29</v>
      </c>
      <c r="G39" t="s">
        <v>1587</v>
      </c>
      <c r="H39" t="s">
        <v>1960</v>
      </c>
      <c r="I39" s="22" t="str">
        <f t="shared" si="1"/>
        <v>2021-01-04</v>
      </c>
      <c r="J39" s="23" t="str">
        <f t="shared" si="2"/>
        <v>44</v>
      </c>
      <c r="K39" t="str">
        <f t="shared" si="3"/>
        <v>yes</v>
      </c>
      <c r="L39">
        <v>44</v>
      </c>
      <c r="M39" t="str">
        <f t="shared" si="4"/>
        <v>2021-01-04</v>
      </c>
      <c r="N39" s="20" t="str">
        <f t="shared" si="5"/>
        <v>2021-01-04</v>
      </c>
      <c r="O39" t="str">
        <f t="shared" si="6"/>
        <v>2021-01-04</v>
      </c>
    </row>
    <row r="40" spans="1:15" x14ac:dyDescent="0.2">
      <c r="A40" s="21" t="str">
        <f t="shared" si="0"/>
        <v>y</v>
      </c>
      <c r="B40" s="24">
        <v>44287</v>
      </c>
      <c r="C40" t="s">
        <v>1529</v>
      </c>
      <c r="D40" t="s">
        <v>13</v>
      </c>
      <c r="E40" t="s">
        <v>27</v>
      </c>
      <c r="F40" t="s">
        <v>29</v>
      </c>
      <c r="G40" t="s">
        <v>1588</v>
      </c>
      <c r="H40" t="s">
        <v>1961</v>
      </c>
      <c r="I40" s="22" t="str">
        <f t="shared" si="1"/>
        <v>2021-01-04</v>
      </c>
      <c r="J40" s="23" t="str">
        <f t="shared" si="2"/>
        <v>44</v>
      </c>
      <c r="K40" t="str">
        <f t="shared" si="3"/>
        <v>yes</v>
      </c>
      <c r="L40">
        <v>44</v>
      </c>
      <c r="M40" t="str">
        <f t="shared" si="4"/>
        <v>2021-01-04</v>
      </c>
      <c r="N40" s="20" t="str">
        <f t="shared" si="5"/>
        <v>2021-01-04</v>
      </c>
      <c r="O40" t="str">
        <f t="shared" si="6"/>
        <v>2021-01-04</v>
      </c>
    </row>
    <row r="41" spans="1:15" x14ac:dyDescent="0.2">
      <c r="A41" s="21" t="str">
        <f t="shared" si="0"/>
        <v>y</v>
      </c>
      <c r="B41" s="24">
        <v>44287</v>
      </c>
      <c r="C41" t="s">
        <v>1590</v>
      </c>
      <c r="D41" t="s">
        <v>13</v>
      </c>
      <c r="E41" t="s">
        <v>27</v>
      </c>
      <c r="F41" t="s">
        <v>2</v>
      </c>
      <c r="H41" t="s">
        <v>1955</v>
      </c>
      <c r="I41" s="22" t="str">
        <f t="shared" si="1"/>
        <v>2021-01-04</v>
      </c>
      <c r="J41" s="23" t="str">
        <f t="shared" si="2"/>
        <v>44</v>
      </c>
      <c r="K41" t="str">
        <f t="shared" si="3"/>
        <v>yes</v>
      </c>
      <c r="L41">
        <v>44</v>
      </c>
      <c r="M41" t="str">
        <f t="shared" si="4"/>
        <v>2021-01-04</v>
      </c>
      <c r="N41" s="20">
        <f t="shared" si="5"/>
        <v>44201</v>
      </c>
      <c r="O41" t="str">
        <f t="shared" si="6"/>
        <v>2021-01-05</v>
      </c>
    </row>
    <row r="42" spans="1:15" x14ac:dyDescent="0.2">
      <c r="A42" s="21" t="str">
        <f t="shared" si="0"/>
        <v>y</v>
      </c>
      <c r="B42" s="24">
        <v>44287</v>
      </c>
      <c r="C42" t="s">
        <v>1591</v>
      </c>
      <c r="D42" t="s">
        <v>13</v>
      </c>
      <c r="E42" t="s">
        <v>8</v>
      </c>
      <c r="F42" t="s">
        <v>2</v>
      </c>
      <c r="G42" t="s">
        <v>1592</v>
      </c>
      <c r="H42" t="s">
        <v>1957</v>
      </c>
      <c r="I42" s="22" t="str">
        <f t="shared" si="1"/>
        <v>2021-01-04</v>
      </c>
      <c r="J42" s="23" t="str">
        <f t="shared" si="2"/>
        <v>44</v>
      </c>
      <c r="K42" t="str">
        <f t="shared" si="3"/>
        <v>yes</v>
      </c>
      <c r="L42">
        <v>44</v>
      </c>
      <c r="M42" t="str">
        <f t="shared" si="4"/>
        <v>2021-01-04</v>
      </c>
      <c r="N42" s="20">
        <f t="shared" si="5"/>
        <v>44201</v>
      </c>
      <c r="O42" t="str">
        <f t="shared" si="6"/>
        <v>2021-01-05</v>
      </c>
    </row>
    <row r="43" spans="1:15" x14ac:dyDescent="0.2">
      <c r="A43" s="21" t="str">
        <f t="shared" si="0"/>
        <v>y</v>
      </c>
      <c r="B43" s="24">
        <v>44256</v>
      </c>
      <c r="C43" t="s">
        <v>235</v>
      </c>
      <c r="D43" t="s">
        <v>13</v>
      </c>
      <c r="E43" t="s">
        <v>115</v>
      </c>
      <c r="F43" t="s">
        <v>29</v>
      </c>
      <c r="G43" t="s">
        <v>1582</v>
      </c>
      <c r="H43" t="s">
        <v>1958</v>
      </c>
      <c r="I43" s="22" t="str">
        <f t="shared" si="1"/>
        <v>2021-01-03</v>
      </c>
      <c r="J43" s="23" t="str">
        <f t="shared" si="2"/>
        <v>44</v>
      </c>
      <c r="K43" t="str">
        <f t="shared" si="3"/>
        <v>yes</v>
      </c>
      <c r="L43">
        <v>44</v>
      </c>
      <c r="M43" t="str">
        <f t="shared" si="4"/>
        <v>2021-01-03</v>
      </c>
      <c r="N43" s="20" t="str">
        <f t="shared" si="5"/>
        <v>2021-01-03</v>
      </c>
      <c r="O43" t="str">
        <f t="shared" si="6"/>
        <v>2021-01-03</v>
      </c>
    </row>
    <row r="44" spans="1:15" x14ac:dyDescent="0.2">
      <c r="A44" s="21" t="str">
        <f t="shared" si="0"/>
        <v>y</v>
      </c>
      <c r="B44" s="24">
        <v>44256</v>
      </c>
      <c r="C44" t="s">
        <v>38</v>
      </c>
      <c r="D44" t="s">
        <v>13</v>
      </c>
      <c r="E44" t="s">
        <v>43</v>
      </c>
      <c r="F44" t="s">
        <v>2</v>
      </c>
      <c r="G44" t="s">
        <v>1583</v>
      </c>
      <c r="H44" t="s">
        <v>1946</v>
      </c>
      <c r="I44" s="22" t="str">
        <f t="shared" si="1"/>
        <v>2021-01-03</v>
      </c>
      <c r="J44" s="23" t="str">
        <f t="shared" si="2"/>
        <v>44</v>
      </c>
      <c r="K44" t="str">
        <f t="shared" si="3"/>
        <v>yes</v>
      </c>
      <c r="L44">
        <v>44</v>
      </c>
      <c r="M44" t="str">
        <f t="shared" si="4"/>
        <v>2021-01-03</v>
      </c>
      <c r="N44" s="20">
        <f t="shared" si="5"/>
        <v>44200</v>
      </c>
      <c r="O44" t="str">
        <f t="shared" si="6"/>
        <v>2021-01-04</v>
      </c>
    </row>
    <row r="45" spans="1:15" x14ac:dyDescent="0.2">
      <c r="A45" s="21" t="str">
        <f t="shared" si="0"/>
        <v>y</v>
      </c>
      <c r="B45" s="24" t="s">
        <v>1607</v>
      </c>
      <c r="C45" t="s">
        <v>964</v>
      </c>
      <c r="D45" t="s">
        <v>13</v>
      </c>
      <c r="E45" t="s">
        <v>27</v>
      </c>
      <c r="F45" t="s">
        <v>2</v>
      </c>
      <c r="H45" t="s">
        <v>1962</v>
      </c>
      <c r="I45" s="22" t="str">
        <f t="shared" si="1"/>
        <v>2020-12-31</v>
      </c>
      <c r="J45" s="23" t="str">
        <f t="shared" si="2"/>
        <v>31</v>
      </c>
      <c r="K45" t="str">
        <f t="shared" si="3"/>
        <v>no</v>
      </c>
      <c r="L45">
        <v>31</v>
      </c>
      <c r="M45" t="str">
        <f t="shared" si="4"/>
        <v>2020-12-31</v>
      </c>
      <c r="N45" s="20">
        <f t="shared" si="5"/>
        <v>44197</v>
      </c>
      <c r="O45" t="str">
        <f t="shared" si="6"/>
        <v>2021-01-01</v>
      </c>
    </row>
    <row r="46" spans="1:15" x14ac:dyDescent="0.2">
      <c r="A46" s="21" t="str">
        <f t="shared" si="0"/>
        <v>y</v>
      </c>
      <c r="B46" s="24" t="s">
        <v>1607</v>
      </c>
      <c r="C46" t="s">
        <v>1064</v>
      </c>
      <c r="D46" t="s">
        <v>13</v>
      </c>
      <c r="E46" t="s">
        <v>69</v>
      </c>
      <c r="F46" t="s">
        <v>29</v>
      </c>
      <c r="G46" t="s">
        <v>1581</v>
      </c>
      <c r="H46" t="s">
        <v>1958</v>
      </c>
      <c r="I46" s="22" t="str">
        <f t="shared" si="1"/>
        <v>2020-12-31</v>
      </c>
      <c r="J46" s="23" t="str">
        <f t="shared" si="2"/>
        <v>31</v>
      </c>
      <c r="K46" t="str">
        <f t="shared" si="3"/>
        <v>no</v>
      </c>
      <c r="L46">
        <v>31</v>
      </c>
      <c r="M46" t="str">
        <f t="shared" si="4"/>
        <v>2020-12-31</v>
      </c>
      <c r="N46" s="20" t="str">
        <f t="shared" si="5"/>
        <v>2020-12-31</v>
      </c>
      <c r="O46" t="str">
        <f t="shared" si="6"/>
        <v>2020-12-31</v>
      </c>
    </row>
    <row r="47" spans="1:15" x14ac:dyDescent="0.2">
      <c r="A47" s="21" t="str">
        <f t="shared" si="0"/>
        <v>y</v>
      </c>
      <c r="B47" s="24" t="s">
        <v>1607</v>
      </c>
      <c r="C47" t="s">
        <v>1064</v>
      </c>
      <c r="D47" t="s">
        <v>13</v>
      </c>
      <c r="E47" t="s">
        <v>8</v>
      </c>
      <c r="F47" t="s">
        <v>29</v>
      </c>
      <c r="G47" t="s">
        <v>1580</v>
      </c>
      <c r="H47" t="s">
        <v>1946</v>
      </c>
      <c r="I47" s="22" t="str">
        <f t="shared" si="1"/>
        <v>2020-12-31</v>
      </c>
      <c r="J47" s="23" t="str">
        <f t="shared" si="2"/>
        <v>31</v>
      </c>
      <c r="K47" t="str">
        <f t="shared" si="3"/>
        <v>no</v>
      </c>
      <c r="L47">
        <v>31</v>
      </c>
      <c r="M47" t="str">
        <f t="shared" si="4"/>
        <v>2020-12-31</v>
      </c>
      <c r="N47" s="20" t="str">
        <f t="shared" si="5"/>
        <v>2020-12-31</v>
      </c>
      <c r="O47" t="str">
        <f t="shared" si="6"/>
        <v>2020-12-31</v>
      </c>
    </row>
    <row r="48" spans="1:15" x14ac:dyDescent="0.2">
      <c r="A48" s="21" t="str">
        <f t="shared" si="0"/>
        <v>y</v>
      </c>
      <c r="B48" s="24" t="s">
        <v>1607</v>
      </c>
      <c r="C48" t="s">
        <v>235</v>
      </c>
      <c r="D48" t="s">
        <v>13</v>
      </c>
      <c r="E48" t="s">
        <v>34</v>
      </c>
      <c r="F48" t="s">
        <v>2</v>
      </c>
      <c r="H48" t="s">
        <v>1956</v>
      </c>
      <c r="I48" s="22" t="str">
        <f t="shared" si="1"/>
        <v>2020-12-31</v>
      </c>
      <c r="J48" s="23" t="str">
        <f t="shared" si="2"/>
        <v>31</v>
      </c>
      <c r="K48" t="str">
        <f t="shared" si="3"/>
        <v>no</v>
      </c>
      <c r="L48">
        <v>31</v>
      </c>
      <c r="M48" t="str">
        <f t="shared" si="4"/>
        <v>2020-12-31</v>
      </c>
      <c r="N48" s="20">
        <f t="shared" si="5"/>
        <v>44197</v>
      </c>
      <c r="O48" t="str">
        <f t="shared" si="6"/>
        <v>2021-01-01</v>
      </c>
    </row>
    <row r="49" spans="1:15" x14ac:dyDescent="0.2">
      <c r="A49" s="21" t="str">
        <f t="shared" si="0"/>
        <v>y</v>
      </c>
      <c r="B49" s="24" t="s">
        <v>1607</v>
      </c>
      <c r="C49" t="s">
        <v>38</v>
      </c>
      <c r="D49" t="s">
        <v>13</v>
      </c>
      <c r="E49" t="s">
        <v>43</v>
      </c>
      <c r="F49" t="s">
        <v>2</v>
      </c>
      <c r="H49" t="s">
        <v>1956</v>
      </c>
      <c r="I49" s="22" t="str">
        <f t="shared" si="1"/>
        <v>2020-12-31</v>
      </c>
      <c r="J49" s="23" t="str">
        <f t="shared" si="2"/>
        <v>31</v>
      </c>
      <c r="K49" t="str">
        <f t="shared" si="3"/>
        <v>no</v>
      </c>
      <c r="L49">
        <v>31</v>
      </c>
      <c r="M49" t="str">
        <f t="shared" si="4"/>
        <v>2020-12-31</v>
      </c>
      <c r="N49" s="20">
        <f t="shared" si="5"/>
        <v>44197</v>
      </c>
      <c r="O49" t="str">
        <f t="shared" si="6"/>
        <v>2021-01-01</v>
      </c>
    </row>
    <row r="50" spans="1:15" x14ac:dyDescent="0.2">
      <c r="A50" s="21" t="str">
        <f t="shared" si="0"/>
        <v>y</v>
      </c>
      <c r="B50" s="24" t="s">
        <v>1608</v>
      </c>
      <c r="C50" t="s">
        <v>964</v>
      </c>
      <c r="D50" t="s">
        <v>13</v>
      </c>
      <c r="E50" t="s">
        <v>27</v>
      </c>
      <c r="F50" t="s">
        <v>2</v>
      </c>
      <c r="H50" t="s">
        <v>1962</v>
      </c>
      <c r="I50" s="22" t="str">
        <f t="shared" si="1"/>
        <v>2020-12-30</v>
      </c>
      <c r="J50" s="23" t="str">
        <f t="shared" si="2"/>
        <v>30</v>
      </c>
      <c r="K50" t="str">
        <f t="shared" si="3"/>
        <v>no</v>
      </c>
      <c r="L50">
        <v>30</v>
      </c>
      <c r="M50" t="str">
        <f t="shared" si="4"/>
        <v>2020-12-30</v>
      </c>
      <c r="N50" s="20">
        <f t="shared" si="5"/>
        <v>44196</v>
      </c>
      <c r="O50" t="str">
        <f t="shared" si="6"/>
        <v>2020-12-31</v>
      </c>
    </row>
    <row r="51" spans="1:15" x14ac:dyDescent="0.2">
      <c r="A51" s="21" t="str">
        <f t="shared" si="0"/>
        <v>y</v>
      </c>
      <c r="B51" s="24" t="s">
        <v>1608</v>
      </c>
      <c r="C51" t="s">
        <v>1064</v>
      </c>
      <c r="D51" t="s">
        <v>13</v>
      </c>
      <c r="E51" t="s">
        <v>8</v>
      </c>
      <c r="F51" t="s">
        <v>2</v>
      </c>
      <c r="H51" t="s">
        <v>1958</v>
      </c>
      <c r="I51" s="22" t="str">
        <f t="shared" si="1"/>
        <v>2020-12-30</v>
      </c>
      <c r="J51" s="23" t="str">
        <f t="shared" si="2"/>
        <v>30</v>
      </c>
      <c r="K51" t="str">
        <f t="shared" si="3"/>
        <v>no</v>
      </c>
      <c r="L51">
        <v>30</v>
      </c>
      <c r="M51" t="str">
        <f t="shared" si="4"/>
        <v>2020-12-30</v>
      </c>
      <c r="N51" s="20">
        <f t="shared" si="5"/>
        <v>44196</v>
      </c>
      <c r="O51" t="str">
        <f t="shared" si="6"/>
        <v>2020-12-31</v>
      </c>
    </row>
    <row r="52" spans="1:15" x14ac:dyDescent="0.2">
      <c r="A52" s="21" t="str">
        <f t="shared" si="0"/>
        <v>y</v>
      </c>
      <c r="B52" s="24" t="s">
        <v>1608</v>
      </c>
      <c r="C52" t="s">
        <v>235</v>
      </c>
      <c r="D52" t="s">
        <v>13</v>
      </c>
      <c r="E52" t="s">
        <v>34</v>
      </c>
      <c r="F52" t="s">
        <v>2</v>
      </c>
      <c r="H52" t="s">
        <v>1946</v>
      </c>
      <c r="I52" s="22" t="str">
        <f t="shared" si="1"/>
        <v>2020-12-30</v>
      </c>
      <c r="J52" s="23" t="str">
        <f t="shared" si="2"/>
        <v>30</v>
      </c>
      <c r="K52" t="str">
        <f t="shared" si="3"/>
        <v>no</v>
      </c>
      <c r="L52">
        <v>30</v>
      </c>
      <c r="M52" t="str">
        <f t="shared" si="4"/>
        <v>2020-12-30</v>
      </c>
      <c r="N52" s="20">
        <f t="shared" si="5"/>
        <v>44196</v>
      </c>
      <c r="O52" t="str">
        <f t="shared" si="6"/>
        <v>2020-12-31</v>
      </c>
    </row>
    <row r="53" spans="1:15" x14ac:dyDescent="0.2">
      <c r="A53" s="21" t="str">
        <f t="shared" si="0"/>
        <v>y</v>
      </c>
      <c r="B53" s="24" t="s">
        <v>1608</v>
      </c>
      <c r="C53" t="s">
        <v>38</v>
      </c>
      <c r="D53" t="s">
        <v>13</v>
      </c>
      <c r="E53" t="s">
        <v>43</v>
      </c>
      <c r="F53" t="s">
        <v>2</v>
      </c>
      <c r="H53" t="s">
        <v>1956</v>
      </c>
      <c r="I53" s="22" t="str">
        <f t="shared" si="1"/>
        <v>2020-12-30</v>
      </c>
      <c r="J53" s="23" t="str">
        <f t="shared" si="2"/>
        <v>30</v>
      </c>
      <c r="K53" t="str">
        <f t="shared" si="3"/>
        <v>no</v>
      </c>
      <c r="L53">
        <v>30</v>
      </c>
      <c r="M53" t="str">
        <f t="shared" si="4"/>
        <v>2020-12-30</v>
      </c>
      <c r="N53" s="20">
        <f t="shared" si="5"/>
        <v>44196</v>
      </c>
      <c r="O53" t="str">
        <f t="shared" si="6"/>
        <v>2020-12-31</v>
      </c>
    </row>
    <row r="54" spans="1:15" x14ac:dyDescent="0.2">
      <c r="A54" s="21" t="str">
        <f t="shared" si="0"/>
        <v>y</v>
      </c>
      <c r="B54" s="24" t="s">
        <v>1609</v>
      </c>
      <c r="C54" t="s">
        <v>964</v>
      </c>
      <c r="D54" t="s">
        <v>13</v>
      </c>
      <c r="E54" t="s">
        <v>27</v>
      </c>
      <c r="F54" t="s">
        <v>2</v>
      </c>
      <c r="G54" t="s">
        <v>1577</v>
      </c>
      <c r="H54" t="s">
        <v>1962</v>
      </c>
      <c r="I54" s="22" t="str">
        <f t="shared" si="1"/>
        <v>2020-12-29</v>
      </c>
      <c r="J54" s="23" t="str">
        <f t="shared" si="2"/>
        <v>29</v>
      </c>
      <c r="K54" t="str">
        <f t="shared" si="3"/>
        <v>no</v>
      </c>
      <c r="L54">
        <v>29</v>
      </c>
      <c r="M54" t="str">
        <f t="shared" si="4"/>
        <v>2020-12-29</v>
      </c>
      <c r="N54" s="20">
        <f t="shared" si="5"/>
        <v>44195</v>
      </c>
      <c r="O54" t="str">
        <f t="shared" si="6"/>
        <v>2020-12-30</v>
      </c>
    </row>
    <row r="55" spans="1:15" x14ac:dyDescent="0.2">
      <c r="A55" s="21" t="str">
        <f t="shared" si="0"/>
        <v>y</v>
      </c>
      <c r="B55" s="24" t="s">
        <v>1609</v>
      </c>
      <c r="C55" t="s">
        <v>1064</v>
      </c>
      <c r="D55" t="s">
        <v>13</v>
      </c>
      <c r="E55" t="s">
        <v>69</v>
      </c>
      <c r="F55" t="s">
        <v>29</v>
      </c>
      <c r="G55" t="s">
        <v>1578</v>
      </c>
      <c r="H55" t="s">
        <v>1956</v>
      </c>
      <c r="I55" s="22" t="str">
        <f t="shared" si="1"/>
        <v>2020-12-29</v>
      </c>
      <c r="J55" s="23" t="str">
        <f t="shared" si="2"/>
        <v>29</v>
      </c>
      <c r="K55" t="str">
        <f t="shared" si="3"/>
        <v>no</v>
      </c>
      <c r="L55">
        <v>29</v>
      </c>
      <c r="M55" t="str">
        <f t="shared" si="4"/>
        <v>2020-12-29</v>
      </c>
      <c r="N55" s="20" t="str">
        <f t="shared" si="5"/>
        <v>2020-12-29</v>
      </c>
      <c r="O55" t="str">
        <f t="shared" si="6"/>
        <v>2020-12-29</v>
      </c>
    </row>
    <row r="56" spans="1:15" x14ac:dyDescent="0.2">
      <c r="A56" s="21" t="str">
        <f t="shared" si="0"/>
        <v>y</v>
      </c>
      <c r="B56" s="24" t="s">
        <v>1609</v>
      </c>
      <c r="C56" t="s">
        <v>1064</v>
      </c>
      <c r="D56" t="s">
        <v>13</v>
      </c>
      <c r="E56" t="s">
        <v>8</v>
      </c>
      <c r="F56" t="s">
        <v>2</v>
      </c>
      <c r="H56" t="s">
        <v>1958</v>
      </c>
      <c r="I56" s="22" t="str">
        <f t="shared" si="1"/>
        <v>2020-12-29</v>
      </c>
      <c r="J56" s="23" t="str">
        <f t="shared" si="2"/>
        <v>29</v>
      </c>
      <c r="K56" t="str">
        <f t="shared" si="3"/>
        <v>no</v>
      </c>
      <c r="L56">
        <v>29</v>
      </c>
      <c r="M56" t="str">
        <f t="shared" si="4"/>
        <v>2020-12-29</v>
      </c>
      <c r="N56" s="20">
        <f t="shared" si="5"/>
        <v>44195</v>
      </c>
      <c r="O56" t="str">
        <f t="shared" si="6"/>
        <v>2020-12-30</v>
      </c>
    </row>
    <row r="57" spans="1:15" x14ac:dyDescent="0.2">
      <c r="A57" s="21" t="str">
        <f t="shared" si="0"/>
        <v>y</v>
      </c>
      <c r="B57" s="24" t="s">
        <v>1609</v>
      </c>
      <c r="C57" t="s">
        <v>235</v>
      </c>
      <c r="D57" t="s">
        <v>13</v>
      </c>
      <c r="E57" t="s">
        <v>34</v>
      </c>
      <c r="F57" t="s">
        <v>2</v>
      </c>
      <c r="H57" t="s">
        <v>1946</v>
      </c>
      <c r="I57" s="22" t="str">
        <f t="shared" si="1"/>
        <v>2020-12-29</v>
      </c>
      <c r="J57" s="23" t="str">
        <f t="shared" si="2"/>
        <v>29</v>
      </c>
      <c r="K57" t="str">
        <f t="shared" si="3"/>
        <v>no</v>
      </c>
      <c r="L57">
        <v>29</v>
      </c>
      <c r="M57" t="str">
        <f t="shared" si="4"/>
        <v>2020-12-29</v>
      </c>
      <c r="N57" s="20">
        <f t="shared" si="5"/>
        <v>44195</v>
      </c>
      <c r="O57" t="str">
        <f t="shared" si="6"/>
        <v>2020-12-30</v>
      </c>
    </row>
    <row r="58" spans="1:15" x14ac:dyDescent="0.2">
      <c r="A58" s="21" t="str">
        <f t="shared" si="0"/>
        <v>y</v>
      </c>
      <c r="B58" s="24" t="s">
        <v>1609</v>
      </c>
      <c r="C58" t="s">
        <v>38</v>
      </c>
      <c r="D58" t="s">
        <v>13</v>
      </c>
      <c r="E58" t="s">
        <v>43</v>
      </c>
      <c r="F58" t="s">
        <v>2</v>
      </c>
      <c r="G58" t="s">
        <v>1574</v>
      </c>
      <c r="H58" t="s">
        <v>1963</v>
      </c>
      <c r="I58" s="22" t="str">
        <f t="shared" si="1"/>
        <v>2020-12-29</v>
      </c>
      <c r="J58" s="23" t="str">
        <f t="shared" si="2"/>
        <v>29</v>
      </c>
      <c r="K58" t="str">
        <f t="shared" si="3"/>
        <v>no</v>
      </c>
      <c r="L58">
        <v>29</v>
      </c>
      <c r="M58" t="str">
        <f t="shared" si="4"/>
        <v>2020-12-29</v>
      </c>
      <c r="N58" s="20">
        <f t="shared" si="5"/>
        <v>44195</v>
      </c>
      <c r="O58" t="str">
        <f t="shared" si="6"/>
        <v>2020-12-30</v>
      </c>
    </row>
    <row r="59" spans="1:15" x14ac:dyDescent="0.2">
      <c r="A59" s="21" t="str">
        <f t="shared" si="0"/>
        <v>y</v>
      </c>
      <c r="B59" s="24" t="s">
        <v>1609</v>
      </c>
      <c r="C59" t="s">
        <v>1575</v>
      </c>
      <c r="D59" t="s">
        <v>13</v>
      </c>
      <c r="E59" t="s">
        <v>27</v>
      </c>
      <c r="F59" t="s">
        <v>29</v>
      </c>
      <c r="G59" t="s">
        <v>1579</v>
      </c>
      <c r="H59" t="s">
        <v>1956</v>
      </c>
      <c r="I59" s="22" t="str">
        <f t="shared" si="1"/>
        <v>2020-12-29</v>
      </c>
      <c r="J59" s="23" t="str">
        <f t="shared" si="2"/>
        <v>29</v>
      </c>
      <c r="K59" t="str">
        <f t="shared" si="3"/>
        <v>no</v>
      </c>
      <c r="L59">
        <v>29</v>
      </c>
      <c r="M59" t="str">
        <f t="shared" si="4"/>
        <v>2020-12-29</v>
      </c>
      <c r="N59" s="20" t="str">
        <f t="shared" si="5"/>
        <v>2020-12-29</v>
      </c>
      <c r="O59" t="str">
        <f t="shared" si="6"/>
        <v>2020-12-29</v>
      </c>
    </row>
    <row r="60" spans="1:15" x14ac:dyDescent="0.2">
      <c r="A60" s="21" t="str">
        <f t="shared" si="0"/>
        <v>y</v>
      </c>
      <c r="B60" s="24" t="s">
        <v>1610</v>
      </c>
      <c r="C60" t="s">
        <v>964</v>
      </c>
      <c r="D60" t="s">
        <v>13</v>
      </c>
      <c r="E60" t="s">
        <v>27</v>
      </c>
      <c r="F60" t="s">
        <v>2</v>
      </c>
      <c r="H60" t="s">
        <v>1962</v>
      </c>
      <c r="I60" s="22" t="str">
        <f t="shared" si="1"/>
        <v>2020-12-28</v>
      </c>
      <c r="J60" s="23" t="str">
        <f t="shared" si="2"/>
        <v>28</v>
      </c>
      <c r="K60" t="str">
        <f t="shared" si="3"/>
        <v>no</v>
      </c>
      <c r="L60">
        <v>28</v>
      </c>
      <c r="M60" t="str">
        <f t="shared" si="4"/>
        <v>2020-12-28</v>
      </c>
      <c r="N60" s="20">
        <f t="shared" si="5"/>
        <v>44194</v>
      </c>
      <c r="O60" t="str">
        <f t="shared" si="6"/>
        <v>2020-12-29</v>
      </c>
    </row>
    <row r="61" spans="1:15" x14ac:dyDescent="0.2">
      <c r="A61" s="21" t="str">
        <f t="shared" si="0"/>
        <v>y</v>
      </c>
      <c r="B61" s="24" t="s">
        <v>1610</v>
      </c>
      <c r="C61" t="s">
        <v>1064</v>
      </c>
      <c r="D61" t="s">
        <v>13</v>
      </c>
      <c r="E61" t="s">
        <v>8</v>
      </c>
      <c r="F61" t="s">
        <v>29</v>
      </c>
      <c r="G61" t="s">
        <v>1576</v>
      </c>
      <c r="H61" t="s">
        <v>1956</v>
      </c>
      <c r="I61" s="22" t="str">
        <f t="shared" si="1"/>
        <v>2020-12-28</v>
      </c>
      <c r="J61" s="23" t="str">
        <f t="shared" si="2"/>
        <v>28</v>
      </c>
      <c r="K61" t="str">
        <f t="shared" si="3"/>
        <v>no</v>
      </c>
      <c r="L61">
        <v>28</v>
      </c>
      <c r="M61" t="str">
        <f t="shared" si="4"/>
        <v>2020-12-28</v>
      </c>
      <c r="N61" s="20" t="str">
        <f t="shared" si="5"/>
        <v>2020-12-28</v>
      </c>
      <c r="O61" t="str">
        <f t="shared" si="6"/>
        <v>2020-12-28</v>
      </c>
    </row>
    <row r="62" spans="1:15" x14ac:dyDescent="0.2">
      <c r="A62" s="21" t="str">
        <f t="shared" si="0"/>
        <v>y</v>
      </c>
      <c r="B62" s="24" t="s">
        <v>1610</v>
      </c>
      <c r="C62" t="s">
        <v>235</v>
      </c>
      <c r="D62" t="s">
        <v>13</v>
      </c>
      <c r="E62" t="s">
        <v>34</v>
      </c>
      <c r="F62" t="s">
        <v>2</v>
      </c>
      <c r="H62" t="s">
        <v>1958</v>
      </c>
      <c r="I62" s="22" t="str">
        <f t="shared" si="1"/>
        <v>2020-12-28</v>
      </c>
      <c r="J62" s="23" t="str">
        <f t="shared" si="2"/>
        <v>28</v>
      </c>
      <c r="K62" t="str">
        <f t="shared" si="3"/>
        <v>no</v>
      </c>
      <c r="L62">
        <v>28</v>
      </c>
      <c r="M62" t="str">
        <f t="shared" si="4"/>
        <v>2020-12-28</v>
      </c>
      <c r="N62" s="20">
        <f t="shared" si="5"/>
        <v>44194</v>
      </c>
      <c r="O62" t="str">
        <f t="shared" si="6"/>
        <v>2020-12-29</v>
      </c>
    </row>
    <row r="63" spans="1:15" x14ac:dyDescent="0.2">
      <c r="A63" s="21" t="str">
        <f t="shared" si="0"/>
        <v>y</v>
      </c>
      <c r="B63" s="24" t="s">
        <v>1610</v>
      </c>
      <c r="C63" t="s">
        <v>38</v>
      </c>
      <c r="D63" t="s">
        <v>13</v>
      </c>
      <c r="E63" t="s">
        <v>43</v>
      </c>
      <c r="F63" t="s">
        <v>2</v>
      </c>
      <c r="G63" t="s">
        <v>1574</v>
      </c>
      <c r="H63" t="s">
        <v>1946</v>
      </c>
      <c r="I63" s="22" t="str">
        <f t="shared" si="1"/>
        <v>2020-12-28</v>
      </c>
      <c r="J63" s="23" t="str">
        <f t="shared" si="2"/>
        <v>28</v>
      </c>
      <c r="K63" t="str">
        <f t="shared" si="3"/>
        <v>no</v>
      </c>
      <c r="L63">
        <v>28</v>
      </c>
      <c r="M63" t="str">
        <f t="shared" si="4"/>
        <v>2020-12-28</v>
      </c>
      <c r="N63" s="20">
        <f t="shared" si="5"/>
        <v>44194</v>
      </c>
      <c r="O63" t="str">
        <f t="shared" si="6"/>
        <v>2020-12-29</v>
      </c>
    </row>
    <row r="64" spans="1:15" x14ac:dyDescent="0.2">
      <c r="A64" s="21" t="str">
        <f t="shared" si="0"/>
        <v>y</v>
      </c>
      <c r="B64" s="24" t="s">
        <v>1610</v>
      </c>
      <c r="C64" t="s">
        <v>1575</v>
      </c>
      <c r="D64" t="s">
        <v>13</v>
      </c>
      <c r="E64" t="s">
        <v>27</v>
      </c>
      <c r="F64" t="s">
        <v>2</v>
      </c>
      <c r="H64" t="s">
        <v>1963</v>
      </c>
      <c r="I64" s="22" t="str">
        <f t="shared" si="1"/>
        <v>2020-12-28</v>
      </c>
      <c r="J64" s="23" t="str">
        <f t="shared" si="2"/>
        <v>28</v>
      </c>
      <c r="K64" t="str">
        <f t="shared" si="3"/>
        <v>no</v>
      </c>
      <c r="L64">
        <v>28</v>
      </c>
      <c r="M64" t="str">
        <f t="shared" si="4"/>
        <v>2020-12-28</v>
      </c>
      <c r="N64" s="20">
        <f t="shared" si="5"/>
        <v>44194</v>
      </c>
      <c r="O64" t="str">
        <f t="shared" si="6"/>
        <v>2020-12-29</v>
      </c>
    </row>
    <row r="65" spans="1:15" x14ac:dyDescent="0.2">
      <c r="A65" s="21" t="str">
        <f t="shared" si="0"/>
        <v>y</v>
      </c>
      <c r="B65" s="24" t="s">
        <v>1611</v>
      </c>
      <c r="C65" t="s">
        <v>964</v>
      </c>
      <c r="D65" t="s">
        <v>13</v>
      </c>
      <c r="E65" t="s">
        <v>27</v>
      </c>
      <c r="F65" t="s">
        <v>2</v>
      </c>
      <c r="H65" t="s">
        <v>1962</v>
      </c>
      <c r="I65" s="22" t="str">
        <f t="shared" si="1"/>
        <v>2020-12-27</v>
      </c>
      <c r="J65" s="23" t="str">
        <f t="shared" si="2"/>
        <v>27</v>
      </c>
      <c r="K65" t="str">
        <f t="shared" si="3"/>
        <v>no</v>
      </c>
      <c r="L65">
        <v>27</v>
      </c>
      <c r="M65" t="str">
        <f t="shared" si="4"/>
        <v>2020-12-27</v>
      </c>
      <c r="N65" s="20">
        <f t="shared" si="5"/>
        <v>44193</v>
      </c>
      <c r="O65" t="str">
        <f t="shared" si="6"/>
        <v>2020-12-28</v>
      </c>
    </row>
    <row r="66" spans="1:15" x14ac:dyDescent="0.2">
      <c r="A66" s="21" t="str">
        <f t="shared" si="0"/>
        <v>y</v>
      </c>
      <c r="B66" s="24" t="s">
        <v>1611</v>
      </c>
      <c r="C66" t="s">
        <v>1064</v>
      </c>
      <c r="D66" t="s">
        <v>13</v>
      </c>
      <c r="E66" t="s">
        <v>8</v>
      </c>
      <c r="F66" t="s">
        <v>29</v>
      </c>
      <c r="G66" t="s">
        <v>1573</v>
      </c>
      <c r="H66" t="s">
        <v>1956</v>
      </c>
      <c r="I66" s="22" t="str">
        <f t="shared" si="1"/>
        <v>2020-12-27</v>
      </c>
      <c r="J66" s="23" t="str">
        <f t="shared" si="2"/>
        <v>27</v>
      </c>
      <c r="K66" t="str">
        <f t="shared" si="3"/>
        <v>no</v>
      </c>
      <c r="L66">
        <v>27</v>
      </c>
      <c r="M66" t="str">
        <f t="shared" si="4"/>
        <v>2020-12-27</v>
      </c>
      <c r="N66" s="20" t="str">
        <f t="shared" si="5"/>
        <v>2020-12-27</v>
      </c>
      <c r="O66" t="str">
        <f t="shared" si="6"/>
        <v>2020-12-27</v>
      </c>
    </row>
    <row r="67" spans="1:15" x14ac:dyDescent="0.2">
      <c r="A67" s="21" t="str">
        <f t="shared" si="0"/>
        <v>y</v>
      </c>
      <c r="B67" s="24" t="s">
        <v>1611</v>
      </c>
      <c r="C67" t="s">
        <v>235</v>
      </c>
      <c r="D67" t="s">
        <v>13</v>
      </c>
      <c r="E67" t="s">
        <v>34</v>
      </c>
      <c r="F67" t="s">
        <v>29</v>
      </c>
      <c r="G67" t="s">
        <v>1571</v>
      </c>
      <c r="H67" t="s">
        <v>1958</v>
      </c>
      <c r="I67" s="22" t="str">
        <f t="shared" si="1"/>
        <v>2020-12-27</v>
      </c>
      <c r="J67" s="23" t="str">
        <f t="shared" si="2"/>
        <v>27</v>
      </c>
      <c r="K67" t="str">
        <f t="shared" si="3"/>
        <v>no</v>
      </c>
      <c r="L67">
        <v>27</v>
      </c>
      <c r="M67" t="str">
        <f t="shared" si="4"/>
        <v>2020-12-27</v>
      </c>
      <c r="N67" s="20" t="str">
        <f t="shared" si="5"/>
        <v>2020-12-27</v>
      </c>
      <c r="O67" t="str">
        <f t="shared" si="6"/>
        <v>2020-12-27</v>
      </c>
    </row>
    <row r="68" spans="1:15" x14ac:dyDescent="0.2">
      <c r="A68" s="21" t="str">
        <f t="shared" ref="A68:A131" si="7">IF(LEFT(B68,2)&gt;12,"y","-")</f>
        <v>y</v>
      </c>
      <c r="B68" s="24" t="s">
        <v>1611</v>
      </c>
      <c r="C68" t="s">
        <v>235</v>
      </c>
      <c r="D68" t="s">
        <v>13</v>
      </c>
      <c r="E68" t="s">
        <v>34</v>
      </c>
      <c r="F68" t="s">
        <v>29</v>
      </c>
      <c r="G68" t="s">
        <v>1572</v>
      </c>
      <c r="H68" t="s">
        <v>1958</v>
      </c>
      <c r="I68" s="22" t="str">
        <f t="shared" ref="I68:I131" si="8">IF(K68="yes",TEXT(B68,"YYYY-DD-MM"),TEXT(B68,"YYYY-MM-DD"))</f>
        <v>2020-12-27</v>
      </c>
      <c r="J68" s="23" t="str">
        <f t="shared" ref="J68:J131" si="9">LEFT(B68,2)</f>
        <v>27</v>
      </c>
      <c r="K68" t="str">
        <f t="shared" ref="K68:K131" si="10">IF(L68&gt;31,"yes","no")</f>
        <v>no</v>
      </c>
      <c r="L68">
        <v>27</v>
      </c>
      <c r="M68" t="str">
        <f t="shared" ref="M68:M131" si="11">I68</f>
        <v>2020-12-27</v>
      </c>
      <c r="N68" s="20" t="str">
        <f t="shared" ref="N68:N131" si="12">IF(F68="DONE",M68,M68+1)</f>
        <v>2020-12-27</v>
      </c>
      <c r="O68" t="str">
        <f t="shared" ref="O68:O131" si="13">TEXT(N68,"YYYY-MM-DD")</f>
        <v>2020-12-27</v>
      </c>
    </row>
    <row r="69" spans="1:15" x14ac:dyDescent="0.2">
      <c r="A69" s="21" t="str">
        <f t="shared" si="7"/>
        <v>y</v>
      </c>
      <c r="B69" s="24" t="s">
        <v>1612</v>
      </c>
      <c r="C69" t="s">
        <v>964</v>
      </c>
      <c r="D69" t="s">
        <v>13</v>
      </c>
      <c r="E69" t="s">
        <v>27</v>
      </c>
      <c r="F69" t="s">
        <v>2</v>
      </c>
      <c r="H69" t="s">
        <v>1962</v>
      </c>
      <c r="I69" s="22" t="str">
        <f t="shared" si="8"/>
        <v>2020-12-24</v>
      </c>
      <c r="J69" s="23" t="str">
        <f t="shared" si="9"/>
        <v>24</v>
      </c>
      <c r="K69" t="str">
        <f t="shared" si="10"/>
        <v>no</v>
      </c>
      <c r="L69">
        <v>24</v>
      </c>
      <c r="M69" t="str">
        <f t="shared" si="11"/>
        <v>2020-12-24</v>
      </c>
      <c r="N69" s="20">
        <f t="shared" si="12"/>
        <v>44190</v>
      </c>
      <c r="O69" t="str">
        <f t="shared" si="13"/>
        <v>2020-12-25</v>
      </c>
    </row>
    <row r="70" spans="1:15" x14ac:dyDescent="0.2">
      <c r="A70" s="21" t="str">
        <f t="shared" si="7"/>
        <v>y</v>
      </c>
      <c r="B70" s="24" t="s">
        <v>1612</v>
      </c>
      <c r="C70" t="s">
        <v>235</v>
      </c>
      <c r="D70" t="s">
        <v>13</v>
      </c>
      <c r="E70" t="s">
        <v>34</v>
      </c>
      <c r="F70" t="s">
        <v>29</v>
      </c>
      <c r="G70" t="s">
        <v>1569</v>
      </c>
      <c r="H70" t="s">
        <v>1958</v>
      </c>
      <c r="I70" s="22" t="str">
        <f t="shared" si="8"/>
        <v>2020-12-24</v>
      </c>
      <c r="J70" s="23" t="str">
        <f t="shared" si="9"/>
        <v>24</v>
      </c>
      <c r="K70" t="str">
        <f t="shared" si="10"/>
        <v>no</v>
      </c>
      <c r="L70">
        <v>24</v>
      </c>
      <c r="M70" t="str">
        <f t="shared" si="11"/>
        <v>2020-12-24</v>
      </c>
      <c r="N70" s="20" t="str">
        <f t="shared" si="12"/>
        <v>2020-12-24</v>
      </c>
      <c r="O70" t="str">
        <f t="shared" si="13"/>
        <v>2020-12-24</v>
      </c>
    </row>
    <row r="71" spans="1:15" x14ac:dyDescent="0.2">
      <c r="A71" s="21" t="str">
        <f t="shared" si="7"/>
        <v>y</v>
      </c>
      <c r="B71" s="24" t="s">
        <v>1612</v>
      </c>
      <c r="C71" t="s">
        <v>1064</v>
      </c>
      <c r="D71" t="s">
        <v>13</v>
      </c>
      <c r="E71" t="s">
        <v>8</v>
      </c>
      <c r="F71" t="s">
        <v>2</v>
      </c>
      <c r="G71" t="s">
        <v>1570</v>
      </c>
      <c r="H71" t="s">
        <v>1956</v>
      </c>
      <c r="I71" s="22" t="str">
        <f t="shared" si="8"/>
        <v>2020-12-24</v>
      </c>
      <c r="J71" s="23" t="str">
        <f t="shared" si="9"/>
        <v>24</v>
      </c>
      <c r="K71" t="str">
        <f t="shared" si="10"/>
        <v>no</v>
      </c>
      <c r="L71">
        <v>24</v>
      </c>
      <c r="M71" t="str">
        <f t="shared" si="11"/>
        <v>2020-12-24</v>
      </c>
      <c r="N71" s="20">
        <f t="shared" si="12"/>
        <v>44190</v>
      </c>
      <c r="O71" t="str">
        <f t="shared" si="13"/>
        <v>2020-12-25</v>
      </c>
    </row>
    <row r="72" spans="1:15" x14ac:dyDescent="0.2">
      <c r="A72" s="21" t="str">
        <f t="shared" si="7"/>
        <v>y</v>
      </c>
      <c r="B72" s="24" t="s">
        <v>1613</v>
      </c>
      <c r="C72" t="s">
        <v>964</v>
      </c>
      <c r="D72" t="s">
        <v>13</v>
      </c>
      <c r="E72" t="s">
        <v>27</v>
      </c>
      <c r="F72" t="s">
        <v>2</v>
      </c>
      <c r="H72" t="s">
        <v>1962</v>
      </c>
      <c r="I72" s="22" t="str">
        <f t="shared" si="8"/>
        <v>2020-12-23</v>
      </c>
      <c r="J72" s="23" t="str">
        <f t="shared" si="9"/>
        <v>23</v>
      </c>
      <c r="K72" t="str">
        <f t="shared" si="10"/>
        <v>no</v>
      </c>
      <c r="L72">
        <v>23</v>
      </c>
      <c r="M72" t="str">
        <f t="shared" si="11"/>
        <v>2020-12-23</v>
      </c>
      <c r="N72" s="20">
        <f t="shared" si="12"/>
        <v>44189</v>
      </c>
      <c r="O72" t="str">
        <f t="shared" si="13"/>
        <v>2020-12-24</v>
      </c>
    </row>
    <row r="73" spans="1:15" x14ac:dyDescent="0.2">
      <c r="A73" s="21" t="str">
        <f t="shared" si="7"/>
        <v>y</v>
      </c>
      <c r="B73" s="24" t="s">
        <v>1613</v>
      </c>
      <c r="C73" t="s">
        <v>235</v>
      </c>
      <c r="D73" t="s">
        <v>13</v>
      </c>
      <c r="E73" t="s">
        <v>34</v>
      </c>
      <c r="F73" t="s">
        <v>2</v>
      </c>
      <c r="G73" t="s">
        <v>1568</v>
      </c>
      <c r="H73" t="s">
        <v>1958</v>
      </c>
      <c r="I73" s="22" t="str">
        <f t="shared" si="8"/>
        <v>2020-12-23</v>
      </c>
      <c r="J73" s="23" t="str">
        <f t="shared" si="9"/>
        <v>23</v>
      </c>
      <c r="K73" t="str">
        <f t="shared" si="10"/>
        <v>no</v>
      </c>
      <c r="L73">
        <v>23</v>
      </c>
      <c r="M73" t="str">
        <f t="shared" si="11"/>
        <v>2020-12-23</v>
      </c>
      <c r="N73" s="20">
        <f t="shared" si="12"/>
        <v>44189</v>
      </c>
      <c r="O73" t="str">
        <f t="shared" si="13"/>
        <v>2020-12-24</v>
      </c>
    </row>
    <row r="74" spans="1:15" x14ac:dyDescent="0.2">
      <c r="A74" s="21" t="str">
        <f t="shared" si="7"/>
        <v>y</v>
      </c>
      <c r="B74" s="24" t="s">
        <v>1613</v>
      </c>
      <c r="C74" t="s">
        <v>235</v>
      </c>
      <c r="D74" t="s">
        <v>13</v>
      </c>
      <c r="E74" t="s">
        <v>34</v>
      </c>
      <c r="F74" t="s">
        <v>29</v>
      </c>
      <c r="G74" t="s">
        <v>1567</v>
      </c>
      <c r="H74" t="s">
        <v>1958</v>
      </c>
      <c r="I74" s="22" t="str">
        <f t="shared" si="8"/>
        <v>2020-12-23</v>
      </c>
      <c r="J74" s="23" t="str">
        <f t="shared" si="9"/>
        <v>23</v>
      </c>
      <c r="K74" t="str">
        <f t="shared" si="10"/>
        <v>no</v>
      </c>
      <c r="L74">
        <v>23</v>
      </c>
      <c r="M74" t="str">
        <f t="shared" si="11"/>
        <v>2020-12-23</v>
      </c>
      <c r="N74" s="20" t="str">
        <f t="shared" si="12"/>
        <v>2020-12-23</v>
      </c>
      <c r="O74" t="str">
        <f t="shared" si="13"/>
        <v>2020-12-23</v>
      </c>
    </row>
    <row r="75" spans="1:15" x14ac:dyDescent="0.2">
      <c r="A75" s="21" t="str">
        <f t="shared" si="7"/>
        <v>y</v>
      </c>
      <c r="B75" s="24" t="s">
        <v>1614</v>
      </c>
      <c r="C75" t="s">
        <v>964</v>
      </c>
      <c r="D75" t="s">
        <v>13</v>
      </c>
      <c r="E75" t="s">
        <v>27</v>
      </c>
      <c r="F75" t="s">
        <v>2</v>
      </c>
      <c r="H75" t="s">
        <v>1962</v>
      </c>
      <c r="I75" s="22" t="str">
        <f t="shared" si="8"/>
        <v>2020-12-22</v>
      </c>
      <c r="J75" s="23" t="str">
        <f t="shared" si="9"/>
        <v>22</v>
      </c>
      <c r="K75" t="str">
        <f t="shared" si="10"/>
        <v>no</v>
      </c>
      <c r="L75">
        <v>22</v>
      </c>
      <c r="M75" t="str">
        <f t="shared" si="11"/>
        <v>2020-12-22</v>
      </c>
      <c r="N75" s="20">
        <f t="shared" si="12"/>
        <v>44188</v>
      </c>
      <c r="O75" t="str">
        <f t="shared" si="13"/>
        <v>2020-12-23</v>
      </c>
    </row>
    <row r="76" spans="1:15" x14ac:dyDescent="0.2">
      <c r="A76" s="21" t="str">
        <f t="shared" si="7"/>
        <v>y</v>
      </c>
      <c r="B76" s="24" t="s">
        <v>1614</v>
      </c>
      <c r="C76" t="s">
        <v>1064</v>
      </c>
      <c r="D76" t="s">
        <v>13</v>
      </c>
      <c r="E76" t="s">
        <v>34</v>
      </c>
      <c r="F76" t="s">
        <v>29</v>
      </c>
      <c r="G76" t="s">
        <v>1563</v>
      </c>
      <c r="H76" t="s">
        <v>1956</v>
      </c>
      <c r="I76" s="22" t="str">
        <f t="shared" si="8"/>
        <v>2020-12-22</v>
      </c>
      <c r="J76" s="23" t="str">
        <f t="shared" si="9"/>
        <v>22</v>
      </c>
      <c r="K76" t="str">
        <f t="shared" si="10"/>
        <v>no</v>
      </c>
      <c r="L76">
        <v>22</v>
      </c>
      <c r="M76" t="str">
        <f t="shared" si="11"/>
        <v>2020-12-22</v>
      </c>
      <c r="N76" s="20" t="str">
        <f t="shared" si="12"/>
        <v>2020-12-22</v>
      </c>
      <c r="O76" t="str">
        <f t="shared" si="13"/>
        <v>2020-12-22</v>
      </c>
    </row>
    <row r="77" spans="1:15" x14ac:dyDescent="0.2">
      <c r="A77" s="21" t="str">
        <f t="shared" si="7"/>
        <v>y</v>
      </c>
      <c r="B77" s="24" t="s">
        <v>1614</v>
      </c>
      <c r="C77" t="s">
        <v>1064</v>
      </c>
      <c r="D77" t="s">
        <v>13</v>
      </c>
      <c r="E77" t="s">
        <v>21</v>
      </c>
      <c r="F77" t="s">
        <v>29</v>
      </c>
      <c r="G77" t="s">
        <v>1564</v>
      </c>
      <c r="H77" t="s">
        <v>1958</v>
      </c>
      <c r="I77" s="22" t="str">
        <f t="shared" si="8"/>
        <v>2020-12-22</v>
      </c>
      <c r="J77" s="23" t="str">
        <f t="shared" si="9"/>
        <v>22</v>
      </c>
      <c r="K77" t="str">
        <f t="shared" si="10"/>
        <v>no</v>
      </c>
      <c r="L77">
        <v>22</v>
      </c>
      <c r="M77" t="str">
        <f t="shared" si="11"/>
        <v>2020-12-22</v>
      </c>
      <c r="N77" s="20" t="str">
        <f t="shared" si="12"/>
        <v>2020-12-22</v>
      </c>
      <c r="O77" t="str">
        <f t="shared" si="13"/>
        <v>2020-12-22</v>
      </c>
    </row>
    <row r="78" spans="1:15" x14ac:dyDescent="0.2">
      <c r="A78" s="21" t="str">
        <f t="shared" si="7"/>
        <v>y</v>
      </c>
      <c r="B78" s="24" t="s">
        <v>1614</v>
      </c>
      <c r="C78" t="s">
        <v>235</v>
      </c>
      <c r="D78" t="s">
        <v>13</v>
      </c>
      <c r="E78" t="s">
        <v>34</v>
      </c>
      <c r="F78" t="s">
        <v>2</v>
      </c>
      <c r="G78" t="s">
        <v>1565</v>
      </c>
      <c r="H78" t="s">
        <v>1956</v>
      </c>
      <c r="I78" s="22" t="str">
        <f t="shared" si="8"/>
        <v>2020-12-22</v>
      </c>
      <c r="J78" s="23" t="str">
        <f t="shared" si="9"/>
        <v>22</v>
      </c>
      <c r="K78" t="str">
        <f t="shared" si="10"/>
        <v>no</v>
      </c>
      <c r="L78">
        <v>22</v>
      </c>
      <c r="M78" t="str">
        <f t="shared" si="11"/>
        <v>2020-12-22</v>
      </c>
      <c r="N78" s="20">
        <f t="shared" si="12"/>
        <v>44188</v>
      </c>
      <c r="O78" t="str">
        <f t="shared" si="13"/>
        <v>2020-12-23</v>
      </c>
    </row>
    <row r="79" spans="1:15" x14ac:dyDescent="0.2">
      <c r="A79" s="21" t="str">
        <f t="shared" si="7"/>
        <v>y</v>
      </c>
      <c r="B79" s="24" t="s">
        <v>1615</v>
      </c>
      <c r="C79" t="s">
        <v>964</v>
      </c>
      <c r="D79" t="s">
        <v>13</v>
      </c>
      <c r="E79" t="s">
        <v>27</v>
      </c>
      <c r="F79" t="s">
        <v>2</v>
      </c>
      <c r="H79" t="s">
        <v>1962</v>
      </c>
      <c r="I79" s="22" t="str">
        <f t="shared" si="8"/>
        <v>2020-12-21</v>
      </c>
      <c r="J79" s="23" t="str">
        <f t="shared" si="9"/>
        <v>21</v>
      </c>
      <c r="K79" t="str">
        <f t="shared" si="10"/>
        <v>no</v>
      </c>
      <c r="L79">
        <v>21</v>
      </c>
      <c r="M79" t="str">
        <f t="shared" si="11"/>
        <v>2020-12-21</v>
      </c>
      <c r="N79" s="20">
        <f t="shared" si="12"/>
        <v>44187</v>
      </c>
      <c r="O79" t="str">
        <f t="shared" si="13"/>
        <v>2020-12-22</v>
      </c>
    </row>
    <row r="80" spans="1:15" x14ac:dyDescent="0.2">
      <c r="A80" s="21" t="str">
        <f t="shared" si="7"/>
        <v>y</v>
      </c>
      <c r="B80" s="24" t="s">
        <v>1615</v>
      </c>
      <c r="C80" t="s">
        <v>1423</v>
      </c>
      <c r="D80" t="s">
        <v>13</v>
      </c>
      <c r="E80" t="s">
        <v>27</v>
      </c>
      <c r="F80" t="s">
        <v>29</v>
      </c>
      <c r="G80" t="s">
        <v>1566</v>
      </c>
      <c r="H80" t="s">
        <v>1959</v>
      </c>
      <c r="I80" s="22" t="str">
        <f t="shared" si="8"/>
        <v>2020-12-21</v>
      </c>
      <c r="J80" s="23" t="str">
        <f t="shared" si="9"/>
        <v>21</v>
      </c>
      <c r="K80" t="str">
        <f t="shared" si="10"/>
        <v>no</v>
      </c>
      <c r="L80">
        <v>21</v>
      </c>
      <c r="M80" t="str">
        <f t="shared" si="11"/>
        <v>2020-12-21</v>
      </c>
      <c r="N80" s="20" t="str">
        <f t="shared" si="12"/>
        <v>2020-12-21</v>
      </c>
      <c r="O80" t="str">
        <f t="shared" si="13"/>
        <v>2020-12-21</v>
      </c>
    </row>
    <row r="81" spans="1:15" x14ac:dyDescent="0.2">
      <c r="A81" s="21" t="str">
        <f t="shared" si="7"/>
        <v>y</v>
      </c>
      <c r="B81" s="24" t="s">
        <v>1615</v>
      </c>
      <c r="C81" t="s">
        <v>1064</v>
      </c>
      <c r="D81" t="s">
        <v>13</v>
      </c>
      <c r="E81" t="s">
        <v>34</v>
      </c>
      <c r="F81" t="s">
        <v>2</v>
      </c>
      <c r="G81" t="s">
        <v>1562</v>
      </c>
      <c r="H81" t="s">
        <v>1956</v>
      </c>
      <c r="I81" s="22" t="str">
        <f t="shared" si="8"/>
        <v>2020-12-21</v>
      </c>
      <c r="J81" s="23" t="str">
        <f t="shared" si="9"/>
        <v>21</v>
      </c>
      <c r="K81" t="str">
        <f t="shared" si="10"/>
        <v>no</v>
      </c>
      <c r="L81">
        <v>21</v>
      </c>
      <c r="M81" t="str">
        <f t="shared" si="11"/>
        <v>2020-12-21</v>
      </c>
      <c r="N81" s="20">
        <f t="shared" si="12"/>
        <v>44187</v>
      </c>
      <c r="O81" t="str">
        <f t="shared" si="13"/>
        <v>2020-12-22</v>
      </c>
    </row>
    <row r="82" spans="1:15" x14ac:dyDescent="0.2">
      <c r="A82" s="21" t="str">
        <f t="shared" si="7"/>
        <v>y</v>
      </c>
      <c r="B82" s="24" t="s">
        <v>1615</v>
      </c>
      <c r="C82" t="s">
        <v>235</v>
      </c>
      <c r="D82" t="s">
        <v>13</v>
      </c>
      <c r="E82" t="s">
        <v>31</v>
      </c>
      <c r="F82" t="s">
        <v>2</v>
      </c>
      <c r="H82" t="s">
        <v>1958</v>
      </c>
      <c r="I82" s="22" t="str">
        <f t="shared" si="8"/>
        <v>2020-12-21</v>
      </c>
      <c r="J82" s="23" t="str">
        <f t="shared" si="9"/>
        <v>21</v>
      </c>
      <c r="K82" t="str">
        <f t="shared" si="10"/>
        <v>no</v>
      </c>
      <c r="L82">
        <v>21</v>
      </c>
      <c r="M82" t="str">
        <f t="shared" si="11"/>
        <v>2020-12-21</v>
      </c>
      <c r="N82" s="20">
        <f t="shared" si="12"/>
        <v>44187</v>
      </c>
      <c r="O82" t="str">
        <f t="shared" si="13"/>
        <v>2020-12-22</v>
      </c>
    </row>
    <row r="83" spans="1:15" x14ac:dyDescent="0.2">
      <c r="A83" s="21" t="str">
        <f t="shared" si="7"/>
        <v>y</v>
      </c>
      <c r="B83" s="24" t="s">
        <v>1616</v>
      </c>
      <c r="C83" t="s">
        <v>964</v>
      </c>
      <c r="D83" t="s">
        <v>13</v>
      </c>
      <c r="E83" t="s">
        <v>27</v>
      </c>
      <c r="F83" t="s">
        <v>2</v>
      </c>
      <c r="H83" t="s">
        <v>1962</v>
      </c>
      <c r="I83" s="22" t="str">
        <f t="shared" si="8"/>
        <v>2020-12-20</v>
      </c>
      <c r="J83" s="23" t="str">
        <f t="shared" si="9"/>
        <v>20</v>
      </c>
      <c r="K83" t="str">
        <f t="shared" si="10"/>
        <v>no</v>
      </c>
      <c r="L83">
        <v>20</v>
      </c>
      <c r="M83" t="str">
        <f t="shared" si="11"/>
        <v>2020-12-20</v>
      </c>
      <c r="N83" s="20">
        <f t="shared" si="12"/>
        <v>44186</v>
      </c>
      <c r="O83" t="str">
        <f t="shared" si="13"/>
        <v>2020-12-21</v>
      </c>
    </row>
    <row r="84" spans="1:15" x14ac:dyDescent="0.2">
      <c r="A84" s="21" t="str">
        <f t="shared" si="7"/>
        <v>y</v>
      </c>
      <c r="B84" s="24" t="s">
        <v>1616</v>
      </c>
      <c r="C84" t="s">
        <v>235</v>
      </c>
      <c r="D84" t="s">
        <v>13</v>
      </c>
      <c r="E84" t="s">
        <v>31</v>
      </c>
      <c r="F84" t="s">
        <v>29</v>
      </c>
      <c r="G84" t="s">
        <v>1557</v>
      </c>
      <c r="H84" t="s">
        <v>1958</v>
      </c>
      <c r="I84" s="22" t="str">
        <f t="shared" si="8"/>
        <v>2020-12-20</v>
      </c>
      <c r="J84" s="23" t="str">
        <f t="shared" si="9"/>
        <v>20</v>
      </c>
      <c r="K84" t="str">
        <f t="shared" si="10"/>
        <v>no</v>
      </c>
      <c r="L84">
        <v>20</v>
      </c>
      <c r="M84" t="str">
        <f t="shared" si="11"/>
        <v>2020-12-20</v>
      </c>
      <c r="N84" s="20" t="str">
        <f t="shared" si="12"/>
        <v>2020-12-20</v>
      </c>
      <c r="O84" t="str">
        <f t="shared" si="13"/>
        <v>2020-12-20</v>
      </c>
    </row>
    <row r="85" spans="1:15" x14ac:dyDescent="0.2">
      <c r="A85" s="21" t="str">
        <f t="shared" si="7"/>
        <v>y</v>
      </c>
      <c r="B85" s="24" t="s">
        <v>1616</v>
      </c>
      <c r="C85" t="s">
        <v>235</v>
      </c>
      <c r="D85" t="s">
        <v>13</v>
      </c>
      <c r="E85" t="s">
        <v>31</v>
      </c>
      <c r="F85" t="s">
        <v>29</v>
      </c>
      <c r="G85" t="s">
        <v>1558</v>
      </c>
      <c r="H85" t="s">
        <v>1959</v>
      </c>
      <c r="I85" s="22" t="str">
        <f t="shared" si="8"/>
        <v>2020-12-20</v>
      </c>
      <c r="J85" s="23" t="str">
        <f t="shared" si="9"/>
        <v>20</v>
      </c>
      <c r="K85" t="str">
        <f t="shared" si="10"/>
        <v>no</v>
      </c>
      <c r="L85">
        <v>20</v>
      </c>
      <c r="M85" t="str">
        <f t="shared" si="11"/>
        <v>2020-12-20</v>
      </c>
      <c r="N85" s="20" t="str">
        <f t="shared" si="12"/>
        <v>2020-12-20</v>
      </c>
      <c r="O85" t="str">
        <f t="shared" si="13"/>
        <v>2020-12-20</v>
      </c>
    </row>
    <row r="86" spans="1:15" x14ac:dyDescent="0.2">
      <c r="A86" s="21" t="str">
        <f t="shared" si="7"/>
        <v>y</v>
      </c>
      <c r="B86" s="24" t="s">
        <v>1616</v>
      </c>
      <c r="C86" t="s">
        <v>235</v>
      </c>
      <c r="D86" t="s">
        <v>13</v>
      </c>
      <c r="E86" t="s">
        <v>31</v>
      </c>
      <c r="F86" t="s">
        <v>29</v>
      </c>
      <c r="G86" t="s">
        <v>1559</v>
      </c>
      <c r="H86" t="s">
        <v>1964</v>
      </c>
      <c r="I86" s="22" t="str">
        <f t="shared" si="8"/>
        <v>2020-12-20</v>
      </c>
      <c r="J86" s="23" t="str">
        <f t="shared" si="9"/>
        <v>20</v>
      </c>
      <c r="K86" t="str">
        <f t="shared" si="10"/>
        <v>no</v>
      </c>
      <c r="L86">
        <v>20</v>
      </c>
      <c r="M86" t="str">
        <f t="shared" si="11"/>
        <v>2020-12-20</v>
      </c>
      <c r="N86" s="20" t="str">
        <f t="shared" si="12"/>
        <v>2020-12-20</v>
      </c>
      <c r="O86" t="str">
        <f t="shared" si="13"/>
        <v>2020-12-20</v>
      </c>
    </row>
    <row r="87" spans="1:15" x14ac:dyDescent="0.2">
      <c r="A87" s="21" t="str">
        <f t="shared" si="7"/>
        <v>y</v>
      </c>
      <c r="B87" s="24" t="s">
        <v>1616</v>
      </c>
      <c r="C87" t="s">
        <v>1423</v>
      </c>
      <c r="D87" t="s">
        <v>13</v>
      </c>
      <c r="E87" t="s">
        <v>27</v>
      </c>
      <c r="F87" t="s">
        <v>2</v>
      </c>
      <c r="G87" t="s">
        <v>1555</v>
      </c>
      <c r="H87" t="s">
        <v>1958</v>
      </c>
      <c r="I87" s="22" t="str">
        <f t="shared" si="8"/>
        <v>2020-12-20</v>
      </c>
      <c r="J87" s="23" t="str">
        <f t="shared" si="9"/>
        <v>20</v>
      </c>
      <c r="K87" t="str">
        <f t="shared" si="10"/>
        <v>no</v>
      </c>
      <c r="L87">
        <v>20</v>
      </c>
      <c r="M87" t="str">
        <f t="shared" si="11"/>
        <v>2020-12-20</v>
      </c>
      <c r="N87" s="20">
        <f t="shared" si="12"/>
        <v>44186</v>
      </c>
      <c r="O87" t="str">
        <f t="shared" si="13"/>
        <v>2020-12-21</v>
      </c>
    </row>
    <row r="88" spans="1:15" x14ac:dyDescent="0.2">
      <c r="A88" s="21" t="str">
        <f t="shared" si="7"/>
        <v>y</v>
      </c>
      <c r="B88" s="24" t="s">
        <v>1616</v>
      </c>
      <c r="C88" t="s">
        <v>345</v>
      </c>
      <c r="D88" t="s">
        <v>13</v>
      </c>
      <c r="E88" t="s">
        <v>8</v>
      </c>
      <c r="F88" t="s">
        <v>29</v>
      </c>
      <c r="G88" t="s">
        <v>1556</v>
      </c>
      <c r="H88" t="s">
        <v>1958</v>
      </c>
      <c r="I88" s="22" t="str">
        <f t="shared" si="8"/>
        <v>2020-12-20</v>
      </c>
      <c r="J88" s="23" t="str">
        <f t="shared" si="9"/>
        <v>20</v>
      </c>
      <c r="K88" t="str">
        <f t="shared" si="10"/>
        <v>no</v>
      </c>
      <c r="L88">
        <v>20</v>
      </c>
      <c r="M88" t="str">
        <f t="shared" si="11"/>
        <v>2020-12-20</v>
      </c>
      <c r="N88" s="20" t="str">
        <f t="shared" si="12"/>
        <v>2020-12-20</v>
      </c>
      <c r="O88" t="str">
        <f t="shared" si="13"/>
        <v>2020-12-20</v>
      </c>
    </row>
    <row r="89" spans="1:15" x14ac:dyDescent="0.2">
      <c r="A89" s="21" t="str">
        <f t="shared" si="7"/>
        <v>y</v>
      </c>
      <c r="B89" s="24" t="s">
        <v>1616</v>
      </c>
      <c r="C89" t="s">
        <v>1064</v>
      </c>
      <c r="D89" t="s">
        <v>13</v>
      </c>
      <c r="E89" t="s">
        <v>27</v>
      </c>
      <c r="F89" t="s">
        <v>2</v>
      </c>
      <c r="G89" t="s">
        <v>1560</v>
      </c>
      <c r="H89" t="s">
        <v>1956</v>
      </c>
      <c r="I89" s="22" t="str">
        <f t="shared" si="8"/>
        <v>2020-12-20</v>
      </c>
      <c r="J89" s="23" t="str">
        <f t="shared" si="9"/>
        <v>20</v>
      </c>
      <c r="K89" t="str">
        <f t="shared" si="10"/>
        <v>no</v>
      </c>
      <c r="L89">
        <v>20</v>
      </c>
      <c r="M89" t="str">
        <f t="shared" si="11"/>
        <v>2020-12-20</v>
      </c>
      <c r="N89" s="20">
        <f t="shared" si="12"/>
        <v>44186</v>
      </c>
      <c r="O89" t="str">
        <f t="shared" si="13"/>
        <v>2020-12-21</v>
      </c>
    </row>
    <row r="90" spans="1:15" x14ac:dyDescent="0.2">
      <c r="A90" s="21" t="str">
        <f t="shared" si="7"/>
        <v>y</v>
      </c>
      <c r="B90" s="24" t="s">
        <v>1616</v>
      </c>
      <c r="C90" t="s">
        <v>1064</v>
      </c>
      <c r="D90" t="s">
        <v>13</v>
      </c>
      <c r="E90" t="s">
        <v>27</v>
      </c>
      <c r="F90" t="s">
        <v>29</v>
      </c>
      <c r="G90" t="s">
        <v>1561</v>
      </c>
      <c r="H90" t="s">
        <v>1956</v>
      </c>
      <c r="I90" s="22" t="str">
        <f t="shared" si="8"/>
        <v>2020-12-20</v>
      </c>
      <c r="J90" s="23" t="str">
        <f t="shared" si="9"/>
        <v>20</v>
      </c>
      <c r="K90" t="str">
        <f t="shared" si="10"/>
        <v>no</v>
      </c>
      <c r="L90">
        <v>20</v>
      </c>
      <c r="M90" t="str">
        <f t="shared" si="11"/>
        <v>2020-12-20</v>
      </c>
      <c r="N90" s="20" t="str">
        <f t="shared" si="12"/>
        <v>2020-12-20</v>
      </c>
      <c r="O90" t="str">
        <f t="shared" si="13"/>
        <v>2020-12-20</v>
      </c>
    </row>
    <row r="91" spans="1:15" x14ac:dyDescent="0.2">
      <c r="A91" s="21" t="str">
        <f t="shared" si="7"/>
        <v>y</v>
      </c>
      <c r="B91" s="24" t="s">
        <v>1617</v>
      </c>
      <c r="C91" t="s">
        <v>964</v>
      </c>
      <c r="D91" t="s">
        <v>13</v>
      </c>
      <c r="E91" t="s">
        <v>27</v>
      </c>
      <c r="F91" t="s">
        <v>2</v>
      </c>
      <c r="G91" t="s">
        <v>1554</v>
      </c>
      <c r="H91" t="s">
        <v>1962</v>
      </c>
      <c r="I91" s="22" t="str">
        <f t="shared" si="8"/>
        <v>2020-12-17</v>
      </c>
      <c r="J91" s="23" t="str">
        <f t="shared" si="9"/>
        <v>17</v>
      </c>
      <c r="K91" t="str">
        <f t="shared" si="10"/>
        <v>no</v>
      </c>
      <c r="L91">
        <v>17</v>
      </c>
      <c r="M91" t="str">
        <f t="shared" si="11"/>
        <v>2020-12-17</v>
      </c>
      <c r="N91" s="20">
        <f t="shared" si="12"/>
        <v>44183</v>
      </c>
      <c r="O91" t="str">
        <f t="shared" si="13"/>
        <v>2020-12-18</v>
      </c>
    </row>
    <row r="92" spans="1:15" x14ac:dyDescent="0.2">
      <c r="A92" s="21" t="str">
        <f t="shared" si="7"/>
        <v>y</v>
      </c>
      <c r="B92" s="24" t="s">
        <v>1617</v>
      </c>
      <c r="C92" t="s">
        <v>235</v>
      </c>
      <c r="D92" t="s">
        <v>13</v>
      </c>
      <c r="E92" t="s">
        <v>34</v>
      </c>
      <c r="F92" t="s">
        <v>29</v>
      </c>
      <c r="G92" t="s">
        <v>1553</v>
      </c>
      <c r="H92" t="s">
        <v>1958</v>
      </c>
      <c r="I92" s="22" t="str">
        <f t="shared" si="8"/>
        <v>2020-12-17</v>
      </c>
      <c r="J92" s="23" t="str">
        <f t="shared" si="9"/>
        <v>17</v>
      </c>
      <c r="K92" t="str">
        <f t="shared" si="10"/>
        <v>no</v>
      </c>
      <c r="L92">
        <v>17</v>
      </c>
      <c r="M92" t="str">
        <f t="shared" si="11"/>
        <v>2020-12-17</v>
      </c>
      <c r="N92" s="20" t="str">
        <f t="shared" si="12"/>
        <v>2020-12-17</v>
      </c>
      <c r="O92" t="str">
        <f t="shared" si="13"/>
        <v>2020-12-17</v>
      </c>
    </row>
    <row r="93" spans="1:15" x14ac:dyDescent="0.2">
      <c r="A93" s="21" t="str">
        <f t="shared" si="7"/>
        <v>y</v>
      </c>
      <c r="B93" s="24" t="s">
        <v>1617</v>
      </c>
      <c r="C93" t="s">
        <v>235</v>
      </c>
      <c r="D93" t="s">
        <v>13</v>
      </c>
      <c r="E93" t="s">
        <v>34</v>
      </c>
      <c r="F93" t="s">
        <v>29</v>
      </c>
      <c r="G93" t="s">
        <v>1552</v>
      </c>
      <c r="H93" t="s">
        <v>1958</v>
      </c>
      <c r="I93" s="22" t="str">
        <f t="shared" si="8"/>
        <v>2020-12-17</v>
      </c>
      <c r="J93" s="23" t="str">
        <f t="shared" si="9"/>
        <v>17</v>
      </c>
      <c r="K93" t="str">
        <f t="shared" si="10"/>
        <v>no</v>
      </c>
      <c r="L93">
        <v>17</v>
      </c>
      <c r="M93" t="str">
        <f t="shared" si="11"/>
        <v>2020-12-17</v>
      </c>
      <c r="N93" s="20" t="str">
        <f t="shared" si="12"/>
        <v>2020-12-17</v>
      </c>
      <c r="O93" t="str">
        <f t="shared" si="13"/>
        <v>2020-12-17</v>
      </c>
    </row>
    <row r="94" spans="1:15" x14ac:dyDescent="0.2">
      <c r="A94" s="21" t="str">
        <f t="shared" si="7"/>
        <v>y</v>
      </c>
      <c r="B94" s="24" t="s">
        <v>1617</v>
      </c>
      <c r="C94" t="s">
        <v>1536</v>
      </c>
      <c r="D94" t="s">
        <v>13</v>
      </c>
      <c r="E94" t="s">
        <v>21</v>
      </c>
      <c r="F94" t="s">
        <v>29</v>
      </c>
      <c r="G94" t="s">
        <v>1551</v>
      </c>
      <c r="H94" t="s">
        <v>1965</v>
      </c>
      <c r="I94" s="22" t="str">
        <f t="shared" si="8"/>
        <v>2020-12-17</v>
      </c>
      <c r="J94" s="23" t="str">
        <f t="shared" si="9"/>
        <v>17</v>
      </c>
      <c r="K94" t="str">
        <f t="shared" si="10"/>
        <v>no</v>
      </c>
      <c r="L94">
        <v>17</v>
      </c>
      <c r="M94" t="str">
        <f t="shared" si="11"/>
        <v>2020-12-17</v>
      </c>
      <c r="N94" s="20" t="str">
        <f t="shared" si="12"/>
        <v>2020-12-17</v>
      </c>
      <c r="O94" t="str">
        <f t="shared" si="13"/>
        <v>2020-12-17</v>
      </c>
    </row>
    <row r="95" spans="1:15" x14ac:dyDescent="0.2">
      <c r="A95" s="21" t="str">
        <f t="shared" si="7"/>
        <v>y</v>
      </c>
      <c r="B95" s="24" t="s">
        <v>1618</v>
      </c>
      <c r="C95" t="s">
        <v>964</v>
      </c>
      <c r="D95" t="s">
        <v>13</v>
      </c>
      <c r="E95" t="s">
        <v>27</v>
      </c>
      <c r="F95" t="s">
        <v>2</v>
      </c>
      <c r="H95" t="s">
        <v>1962</v>
      </c>
      <c r="I95" s="22" t="str">
        <f t="shared" si="8"/>
        <v>2020-12-16</v>
      </c>
      <c r="J95" s="23" t="str">
        <f t="shared" si="9"/>
        <v>16</v>
      </c>
      <c r="K95" t="str">
        <f t="shared" si="10"/>
        <v>no</v>
      </c>
      <c r="L95">
        <v>16</v>
      </c>
      <c r="M95" t="str">
        <f t="shared" si="11"/>
        <v>2020-12-16</v>
      </c>
      <c r="N95" s="20">
        <f t="shared" si="12"/>
        <v>44182</v>
      </c>
      <c r="O95" t="str">
        <f t="shared" si="13"/>
        <v>2020-12-17</v>
      </c>
    </row>
    <row r="96" spans="1:15" x14ac:dyDescent="0.2">
      <c r="A96" s="21" t="str">
        <f t="shared" si="7"/>
        <v>y</v>
      </c>
      <c r="B96" s="24" t="s">
        <v>1618</v>
      </c>
      <c r="C96" t="s">
        <v>1064</v>
      </c>
      <c r="D96" t="s">
        <v>13</v>
      </c>
      <c r="E96" t="s">
        <v>27</v>
      </c>
      <c r="F96" t="s">
        <v>29</v>
      </c>
      <c r="G96" t="s">
        <v>1550</v>
      </c>
      <c r="H96" t="s">
        <v>1956</v>
      </c>
      <c r="I96" s="22" t="str">
        <f t="shared" si="8"/>
        <v>2020-12-16</v>
      </c>
      <c r="J96" s="23" t="str">
        <f t="shared" si="9"/>
        <v>16</v>
      </c>
      <c r="K96" t="str">
        <f t="shared" si="10"/>
        <v>no</v>
      </c>
      <c r="L96">
        <v>16</v>
      </c>
      <c r="M96" t="str">
        <f t="shared" si="11"/>
        <v>2020-12-16</v>
      </c>
      <c r="N96" s="20" t="str">
        <f t="shared" si="12"/>
        <v>2020-12-16</v>
      </c>
      <c r="O96" t="str">
        <f t="shared" si="13"/>
        <v>2020-12-16</v>
      </c>
    </row>
    <row r="97" spans="1:15" x14ac:dyDescent="0.2">
      <c r="A97" s="21" t="str">
        <f t="shared" si="7"/>
        <v>y</v>
      </c>
      <c r="B97" s="24" t="s">
        <v>1618</v>
      </c>
      <c r="C97" t="s">
        <v>235</v>
      </c>
      <c r="D97" t="s">
        <v>13</v>
      </c>
      <c r="E97" t="s">
        <v>34</v>
      </c>
      <c r="F97" t="s">
        <v>29</v>
      </c>
      <c r="G97" t="s">
        <v>1549</v>
      </c>
      <c r="H97" t="s">
        <v>1958</v>
      </c>
      <c r="I97" s="22" t="str">
        <f t="shared" si="8"/>
        <v>2020-12-16</v>
      </c>
      <c r="J97" s="23" t="str">
        <f t="shared" si="9"/>
        <v>16</v>
      </c>
      <c r="K97" t="str">
        <f t="shared" si="10"/>
        <v>no</v>
      </c>
      <c r="L97">
        <v>16</v>
      </c>
      <c r="M97" t="str">
        <f t="shared" si="11"/>
        <v>2020-12-16</v>
      </c>
      <c r="N97" s="20" t="str">
        <f t="shared" si="12"/>
        <v>2020-12-16</v>
      </c>
      <c r="O97" t="str">
        <f t="shared" si="13"/>
        <v>2020-12-16</v>
      </c>
    </row>
    <row r="98" spans="1:15" x14ac:dyDescent="0.2">
      <c r="A98" s="21" t="str">
        <f t="shared" si="7"/>
        <v>y</v>
      </c>
      <c r="B98" s="24" t="s">
        <v>1619</v>
      </c>
      <c r="C98" t="s">
        <v>964</v>
      </c>
      <c r="D98" t="s">
        <v>13</v>
      </c>
      <c r="E98" t="s">
        <v>27</v>
      </c>
      <c r="F98" t="s">
        <v>2</v>
      </c>
      <c r="H98" t="s">
        <v>1962</v>
      </c>
      <c r="I98" s="22" t="str">
        <f t="shared" si="8"/>
        <v>2020-12-15</v>
      </c>
      <c r="J98" s="23" t="str">
        <f t="shared" si="9"/>
        <v>15</v>
      </c>
      <c r="K98" t="str">
        <f t="shared" si="10"/>
        <v>no</v>
      </c>
      <c r="L98">
        <v>15</v>
      </c>
      <c r="M98" t="str">
        <f t="shared" si="11"/>
        <v>2020-12-15</v>
      </c>
      <c r="N98" s="20">
        <f t="shared" si="12"/>
        <v>44181</v>
      </c>
      <c r="O98" t="str">
        <f t="shared" si="13"/>
        <v>2020-12-16</v>
      </c>
    </row>
    <row r="99" spans="1:15" x14ac:dyDescent="0.2">
      <c r="A99" s="21" t="str">
        <f t="shared" si="7"/>
        <v>y</v>
      </c>
      <c r="B99" s="24" t="s">
        <v>1619</v>
      </c>
      <c r="C99" t="s">
        <v>1536</v>
      </c>
      <c r="D99" t="s">
        <v>13</v>
      </c>
      <c r="E99" t="s">
        <v>27</v>
      </c>
      <c r="F99" t="s">
        <v>29</v>
      </c>
      <c r="G99" t="s">
        <v>1548</v>
      </c>
      <c r="H99" t="s">
        <v>1965</v>
      </c>
      <c r="I99" s="22" t="str">
        <f t="shared" si="8"/>
        <v>2020-12-15</v>
      </c>
      <c r="J99" s="23" t="str">
        <f t="shared" si="9"/>
        <v>15</v>
      </c>
      <c r="K99" t="str">
        <f t="shared" si="10"/>
        <v>no</v>
      </c>
      <c r="L99">
        <v>15</v>
      </c>
      <c r="M99" t="str">
        <f t="shared" si="11"/>
        <v>2020-12-15</v>
      </c>
      <c r="N99" s="20" t="str">
        <f t="shared" si="12"/>
        <v>2020-12-15</v>
      </c>
      <c r="O99" t="str">
        <f t="shared" si="13"/>
        <v>2020-12-15</v>
      </c>
    </row>
    <row r="100" spans="1:15" x14ac:dyDescent="0.2">
      <c r="A100" s="21" t="str">
        <f t="shared" si="7"/>
        <v>y</v>
      </c>
      <c r="B100" s="24" t="s">
        <v>1619</v>
      </c>
      <c r="C100" t="s">
        <v>1064</v>
      </c>
      <c r="D100" t="s">
        <v>13</v>
      </c>
      <c r="E100" t="s">
        <v>8</v>
      </c>
      <c r="F100" t="s">
        <v>2</v>
      </c>
      <c r="H100" t="s">
        <v>1956</v>
      </c>
      <c r="I100" s="22" t="str">
        <f t="shared" si="8"/>
        <v>2020-12-15</v>
      </c>
      <c r="J100" s="23" t="str">
        <f t="shared" si="9"/>
        <v>15</v>
      </c>
      <c r="K100" t="str">
        <f t="shared" si="10"/>
        <v>no</v>
      </c>
      <c r="L100">
        <v>15</v>
      </c>
      <c r="M100" t="str">
        <f t="shared" si="11"/>
        <v>2020-12-15</v>
      </c>
      <c r="N100" s="20">
        <f t="shared" si="12"/>
        <v>44181</v>
      </c>
      <c r="O100" t="str">
        <f t="shared" si="13"/>
        <v>2020-12-16</v>
      </c>
    </row>
    <row r="101" spans="1:15" x14ac:dyDescent="0.2">
      <c r="A101" s="21" t="str">
        <f t="shared" si="7"/>
        <v>y</v>
      </c>
      <c r="B101" s="24" t="s">
        <v>1619</v>
      </c>
      <c r="C101" t="s">
        <v>235</v>
      </c>
      <c r="D101" t="s">
        <v>13</v>
      </c>
      <c r="E101" t="s">
        <v>34</v>
      </c>
      <c r="F101" t="s">
        <v>2</v>
      </c>
      <c r="H101" t="s">
        <v>1958</v>
      </c>
      <c r="I101" s="22" t="str">
        <f t="shared" si="8"/>
        <v>2020-12-15</v>
      </c>
      <c r="J101" s="23" t="str">
        <f t="shared" si="9"/>
        <v>15</v>
      </c>
      <c r="K101" t="str">
        <f t="shared" si="10"/>
        <v>no</v>
      </c>
      <c r="L101">
        <v>15</v>
      </c>
      <c r="M101" t="str">
        <f t="shared" si="11"/>
        <v>2020-12-15</v>
      </c>
      <c r="N101" s="20">
        <f t="shared" si="12"/>
        <v>44181</v>
      </c>
      <c r="O101" t="str">
        <f t="shared" si="13"/>
        <v>2020-12-16</v>
      </c>
    </row>
    <row r="102" spans="1:15" x14ac:dyDescent="0.2">
      <c r="A102" s="21" t="str">
        <f t="shared" si="7"/>
        <v>y</v>
      </c>
      <c r="B102" s="24" t="s">
        <v>1619</v>
      </c>
      <c r="C102" t="s">
        <v>235</v>
      </c>
      <c r="D102" t="s">
        <v>13</v>
      </c>
      <c r="E102" t="s">
        <v>22</v>
      </c>
      <c r="F102" t="s">
        <v>29</v>
      </c>
      <c r="G102" t="s">
        <v>1547</v>
      </c>
      <c r="H102" t="s">
        <v>1958</v>
      </c>
      <c r="I102" s="22" t="str">
        <f t="shared" si="8"/>
        <v>2020-12-15</v>
      </c>
      <c r="J102" s="23" t="str">
        <f t="shared" si="9"/>
        <v>15</v>
      </c>
      <c r="K102" t="str">
        <f t="shared" si="10"/>
        <v>no</v>
      </c>
      <c r="L102">
        <v>15</v>
      </c>
      <c r="M102" t="str">
        <f t="shared" si="11"/>
        <v>2020-12-15</v>
      </c>
      <c r="N102" s="20" t="str">
        <f t="shared" si="12"/>
        <v>2020-12-15</v>
      </c>
      <c r="O102" t="str">
        <f t="shared" si="13"/>
        <v>2020-12-15</v>
      </c>
    </row>
    <row r="103" spans="1:15" x14ac:dyDescent="0.2">
      <c r="A103" s="21" t="str">
        <f t="shared" si="7"/>
        <v>y</v>
      </c>
      <c r="B103" s="24" t="s">
        <v>1620</v>
      </c>
      <c r="C103" t="s">
        <v>964</v>
      </c>
      <c r="D103" t="s">
        <v>13</v>
      </c>
      <c r="E103" t="s">
        <v>27</v>
      </c>
      <c r="F103" t="s">
        <v>2</v>
      </c>
      <c r="G103" t="s">
        <v>1546</v>
      </c>
      <c r="H103" t="s">
        <v>1962</v>
      </c>
      <c r="I103" s="22" t="str">
        <f t="shared" si="8"/>
        <v>2020-12-14</v>
      </c>
      <c r="J103" s="23" t="str">
        <f t="shared" si="9"/>
        <v>14</v>
      </c>
      <c r="K103" t="str">
        <f t="shared" si="10"/>
        <v>no</v>
      </c>
      <c r="L103">
        <v>14</v>
      </c>
      <c r="M103" t="str">
        <f t="shared" si="11"/>
        <v>2020-12-14</v>
      </c>
      <c r="N103" s="20">
        <f t="shared" si="12"/>
        <v>44180</v>
      </c>
      <c r="O103" t="str">
        <f t="shared" si="13"/>
        <v>2020-12-15</v>
      </c>
    </row>
    <row r="104" spans="1:15" x14ac:dyDescent="0.2">
      <c r="A104" s="21" t="str">
        <f t="shared" si="7"/>
        <v>y</v>
      </c>
      <c r="B104" s="24" t="s">
        <v>1620</v>
      </c>
      <c r="C104" t="s">
        <v>1536</v>
      </c>
      <c r="D104" t="s">
        <v>13</v>
      </c>
      <c r="E104" t="s">
        <v>27</v>
      </c>
      <c r="F104" t="s">
        <v>2</v>
      </c>
      <c r="G104" t="s">
        <v>1544</v>
      </c>
      <c r="H104" t="s">
        <v>1965</v>
      </c>
      <c r="I104" s="22" t="str">
        <f t="shared" si="8"/>
        <v>2020-12-14</v>
      </c>
      <c r="J104" s="23" t="str">
        <f t="shared" si="9"/>
        <v>14</v>
      </c>
      <c r="K104" t="str">
        <f t="shared" si="10"/>
        <v>no</v>
      </c>
      <c r="L104">
        <v>14</v>
      </c>
      <c r="M104" t="str">
        <f t="shared" si="11"/>
        <v>2020-12-14</v>
      </c>
      <c r="N104" s="20">
        <f t="shared" si="12"/>
        <v>44180</v>
      </c>
      <c r="O104" t="str">
        <f t="shared" si="13"/>
        <v>2020-12-15</v>
      </c>
    </row>
    <row r="105" spans="1:15" x14ac:dyDescent="0.2">
      <c r="A105" s="21" t="str">
        <f t="shared" si="7"/>
        <v>y</v>
      </c>
      <c r="B105" s="24" t="s">
        <v>1620</v>
      </c>
      <c r="C105" t="s">
        <v>1064</v>
      </c>
      <c r="D105" t="s">
        <v>13</v>
      </c>
      <c r="E105" t="s">
        <v>8</v>
      </c>
      <c r="F105" t="s">
        <v>2</v>
      </c>
      <c r="G105" t="s">
        <v>1543</v>
      </c>
      <c r="H105" t="s">
        <v>1956</v>
      </c>
      <c r="I105" s="22" t="str">
        <f t="shared" si="8"/>
        <v>2020-12-14</v>
      </c>
      <c r="J105" s="23" t="str">
        <f t="shared" si="9"/>
        <v>14</v>
      </c>
      <c r="K105" t="str">
        <f t="shared" si="10"/>
        <v>no</v>
      </c>
      <c r="L105">
        <v>14</v>
      </c>
      <c r="M105" t="str">
        <f t="shared" si="11"/>
        <v>2020-12-14</v>
      </c>
      <c r="N105" s="20">
        <f t="shared" si="12"/>
        <v>44180</v>
      </c>
      <c r="O105" t="str">
        <f t="shared" si="13"/>
        <v>2020-12-15</v>
      </c>
    </row>
    <row r="106" spans="1:15" x14ac:dyDescent="0.2">
      <c r="A106" s="21" t="str">
        <f t="shared" si="7"/>
        <v>y</v>
      </c>
      <c r="B106" s="24" t="s">
        <v>1620</v>
      </c>
      <c r="C106" t="s">
        <v>235</v>
      </c>
      <c r="D106" t="s">
        <v>13</v>
      </c>
      <c r="E106" t="s">
        <v>34</v>
      </c>
      <c r="F106" t="s">
        <v>2</v>
      </c>
      <c r="G106" t="s">
        <v>1545</v>
      </c>
      <c r="H106" t="s">
        <v>1958</v>
      </c>
      <c r="I106" s="22" t="str">
        <f t="shared" si="8"/>
        <v>2020-12-14</v>
      </c>
      <c r="J106" s="23" t="str">
        <f t="shared" si="9"/>
        <v>14</v>
      </c>
      <c r="K106" t="str">
        <f t="shared" si="10"/>
        <v>no</v>
      </c>
      <c r="L106">
        <v>14</v>
      </c>
      <c r="M106" t="str">
        <f t="shared" si="11"/>
        <v>2020-12-14</v>
      </c>
      <c r="N106" s="20">
        <f t="shared" si="12"/>
        <v>44180</v>
      </c>
      <c r="O106" t="str">
        <f t="shared" si="13"/>
        <v>2020-12-15</v>
      </c>
    </row>
    <row r="107" spans="1:15" x14ac:dyDescent="0.2">
      <c r="A107" s="21" t="str">
        <f t="shared" si="7"/>
        <v>y</v>
      </c>
      <c r="B107" s="24" t="s">
        <v>1621</v>
      </c>
      <c r="C107" t="s">
        <v>235</v>
      </c>
      <c r="D107" t="s">
        <v>13</v>
      </c>
      <c r="E107" t="s">
        <v>34</v>
      </c>
      <c r="F107" t="s">
        <v>29</v>
      </c>
      <c r="G107" t="s">
        <v>1542</v>
      </c>
      <c r="H107" t="s">
        <v>1962</v>
      </c>
      <c r="I107" s="22" t="str">
        <f t="shared" si="8"/>
        <v>2020-12-13</v>
      </c>
      <c r="J107" s="23" t="str">
        <f t="shared" si="9"/>
        <v>13</v>
      </c>
      <c r="K107" t="str">
        <f t="shared" si="10"/>
        <v>no</v>
      </c>
      <c r="L107">
        <v>13</v>
      </c>
      <c r="M107" t="str">
        <f t="shared" si="11"/>
        <v>2020-12-13</v>
      </c>
      <c r="N107" s="20" t="str">
        <f t="shared" si="12"/>
        <v>2020-12-13</v>
      </c>
      <c r="O107" t="str">
        <f t="shared" si="13"/>
        <v>2020-12-13</v>
      </c>
    </row>
    <row r="108" spans="1:15" x14ac:dyDescent="0.2">
      <c r="A108" s="21" t="str">
        <f t="shared" si="7"/>
        <v>y</v>
      </c>
      <c r="B108" s="24" t="s">
        <v>1621</v>
      </c>
      <c r="C108" t="s">
        <v>964</v>
      </c>
      <c r="D108" t="s">
        <v>13</v>
      </c>
      <c r="E108" t="s">
        <v>27</v>
      </c>
      <c r="F108" t="s">
        <v>2</v>
      </c>
      <c r="H108" t="s">
        <v>1958</v>
      </c>
      <c r="I108" s="22" t="str">
        <f t="shared" si="8"/>
        <v>2020-12-13</v>
      </c>
      <c r="J108" s="23" t="str">
        <f t="shared" si="9"/>
        <v>13</v>
      </c>
      <c r="K108" t="str">
        <f t="shared" si="10"/>
        <v>no</v>
      </c>
      <c r="L108">
        <v>13</v>
      </c>
      <c r="M108" t="str">
        <f t="shared" si="11"/>
        <v>2020-12-13</v>
      </c>
      <c r="N108" s="20">
        <f t="shared" si="12"/>
        <v>44179</v>
      </c>
      <c r="O108" t="str">
        <f t="shared" si="13"/>
        <v>2020-12-14</v>
      </c>
    </row>
    <row r="109" spans="1:15" x14ac:dyDescent="0.2">
      <c r="A109" s="21" t="str">
        <f t="shared" si="7"/>
        <v>y</v>
      </c>
      <c r="B109" s="24" t="s">
        <v>1621</v>
      </c>
      <c r="C109" t="s">
        <v>1536</v>
      </c>
      <c r="D109" t="s">
        <v>13</v>
      </c>
      <c r="E109" t="s">
        <v>27</v>
      </c>
      <c r="F109" t="s">
        <v>2</v>
      </c>
      <c r="H109" t="s">
        <v>1965</v>
      </c>
      <c r="I109" s="22" t="str">
        <f t="shared" si="8"/>
        <v>2020-12-13</v>
      </c>
      <c r="J109" s="23" t="str">
        <f t="shared" si="9"/>
        <v>13</v>
      </c>
      <c r="K109" t="str">
        <f t="shared" si="10"/>
        <v>no</v>
      </c>
      <c r="L109">
        <v>13</v>
      </c>
      <c r="M109" t="str">
        <f t="shared" si="11"/>
        <v>2020-12-13</v>
      </c>
      <c r="N109" s="20">
        <f t="shared" si="12"/>
        <v>44179</v>
      </c>
      <c r="O109" t="str">
        <f t="shared" si="13"/>
        <v>2020-12-14</v>
      </c>
    </row>
    <row r="110" spans="1:15" x14ac:dyDescent="0.2">
      <c r="A110" s="21" t="str">
        <f t="shared" si="7"/>
        <v>y</v>
      </c>
      <c r="B110" s="24" t="s">
        <v>1621</v>
      </c>
      <c r="C110" t="s">
        <v>1064</v>
      </c>
      <c r="D110" t="s">
        <v>13</v>
      </c>
      <c r="E110" t="s">
        <v>8</v>
      </c>
      <c r="F110" t="s">
        <v>2</v>
      </c>
      <c r="H110" t="s">
        <v>1956</v>
      </c>
      <c r="I110" s="22" t="str">
        <f t="shared" si="8"/>
        <v>2020-12-13</v>
      </c>
      <c r="J110" s="23" t="str">
        <f t="shared" si="9"/>
        <v>13</v>
      </c>
      <c r="K110" t="str">
        <f t="shared" si="10"/>
        <v>no</v>
      </c>
      <c r="L110">
        <v>13</v>
      </c>
      <c r="M110" t="str">
        <f t="shared" si="11"/>
        <v>2020-12-13</v>
      </c>
      <c r="N110" s="20">
        <f t="shared" si="12"/>
        <v>44179</v>
      </c>
      <c r="O110" t="str">
        <f t="shared" si="13"/>
        <v>2020-12-14</v>
      </c>
    </row>
    <row r="111" spans="1:15" x14ac:dyDescent="0.2">
      <c r="A111" s="21" t="str">
        <f t="shared" si="7"/>
        <v>y</v>
      </c>
      <c r="B111" s="24">
        <v>44116</v>
      </c>
      <c r="C111" t="s">
        <v>235</v>
      </c>
      <c r="D111" t="s">
        <v>13</v>
      </c>
      <c r="E111" t="s">
        <v>34</v>
      </c>
      <c r="F111" t="s">
        <v>29</v>
      </c>
      <c r="G111" t="s">
        <v>1533</v>
      </c>
      <c r="H111" t="s">
        <v>1958</v>
      </c>
      <c r="I111" s="22" t="str">
        <f t="shared" si="8"/>
        <v>2020-12-10</v>
      </c>
      <c r="J111" s="23" t="str">
        <f t="shared" si="9"/>
        <v>44</v>
      </c>
      <c r="K111" t="str">
        <f t="shared" si="10"/>
        <v>yes</v>
      </c>
      <c r="L111">
        <v>44</v>
      </c>
      <c r="M111" t="str">
        <f t="shared" si="11"/>
        <v>2020-12-10</v>
      </c>
      <c r="N111" s="20" t="str">
        <f t="shared" si="12"/>
        <v>2020-12-10</v>
      </c>
      <c r="O111" t="str">
        <f t="shared" si="13"/>
        <v>2020-12-10</v>
      </c>
    </row>
    <row r="112" spans="1:15" x14ac:dyDescent="0.2">
      <c r="A112" s="21" t="str">
        <f t="shared" si="7"/>
        <v>y</v>
      </c>
      <c r="B112" s="24">
        <v>44116</v>
      </c>
      <c r="C112" t="s">
        <v>235</v>
      </c>
      <c r="D112" t="s">
        <v>13</v>
      </c>
      <c r="E112" t="s">
        <v>34</v>
      </c>
      <c r="F112" t="s">
        <v>2</v>
      </c>
      <c r="G112" t="s">
        <v>1534</v>
      </c>
      <c r="H112" t="s">
        <v>1962</v>
      </c>
      <c r="I112" s="22" t="str">
        <f t="shared" si="8"/>
        <v>2020-12-10</v>
      </c>
      <c r="J112" s="23" t="str">
        <f t="shared" si="9"/>
        <v>44</v>
      </c>
      <c r="K112" t="str">
        <f t="shared" si="10"/>
        <v>yes</v>
      </c>
      <c r="L112">
        <v>44</v>
      </c>
      <c r="M112" t="str">
        <f t="shared" si="11"/>
        <v>2020-12-10</v>
      </c>
      <c r="N112" s="20">
        <f t="shared" si="12"/>
        <v>44176</v>
      </c>
      <c r="O112" t="str">
        <f t="shared" si="13"/>
        <v>2020-12-11</v>
      </c>
    </row>
    <row r="113" spans="1:15" x14ac:dyDescent="0.2">
      <c r="A113" s="21" t="str">
        <f t="shared" si="7"/>
        <v>y</v>
      </c>
      <c r="B113" s="24">
        <v>44116</v>
      </c>
      <c r="C113" t="s">
        <v>235</v>
      </c>
      <c r="D113" t="s">
        <v>13</v>
      </c>
      <c r="E113" t="s">
        <v>34</v>
      </c>
      <c r="F113" t="s">
        <v>29</v>
      </c>
      <c r="G113" t="s">
        <v>1539</v>
      </c>
      <c r="H113" t="s">
        <v>1958</v>
      </c>
      <c r="I113" s="22" t="str">
        <f t="shared" si="8"/>
        <v>2020-12-10</v>
      </c>
      <c r="J113" s="23" t="str">
        <f t="shared" si="9"/>
        <v>44</v>
      </c>
      <c r="K113" t="str">
        <f t="shared" si="10"/>
        <v>yes</v>
      </c>
      <c r="L113">
        <v>44</v>
      </c>
      <c r="M113" t="str">
        <f t="shared" si="11"/>
        <v>2020-12-10</v>
      </c>
      <c r="N113" s="20" t="str">
        <f t="shared" si="12"/>
        <v>2020-12-10</v>
      </c>
      <c r="O113" t="str">
        <f t="shared" si="13"/>
        <v>2020-12-10</v>
      </c>
    </row>
    <row r="114" spans="1:15" x14ac:dyDescent="0.2">
      <c r="A114" s="21" t="str">
        <f t="shared" si="7"/>
        <v>y</v>
      </c>
      <c r="B114" s="24">
        <v>44116</v>
      </c>
      <c r="C114" t="s">
        <v>964</v>
      </c>
      <c r="D114" t="s">
        <v>13</v>
      </c>
      <c r="E114" t="s">
        <v>27</v>
      </c>
      <c r="F114" t="s">
        <v>2</v>
      </c>
      <c r="G114" t="s">
        <v>1538</v>
      </c>
      <c r="H114" t="s">
        <v>1958</v>
      </c>
      <c r="I114" s="22" t="str">
        <f t="shared" si="8"/>
        <v>2020-12-10</v>
      </c>
      <c r="J114" s="23" t="str">
        <f t="shared" si="9"/>
        <v>44</v>
      </c>
      <c r="K114" t="str">
        <f t="shared" si="10"/>
        <v>yes</v>
      </c>
      <c r="L114">
        <v>44</v>
      </c>
      <c r="M114" t="str">
        <f t="shared" si="11"/>
        <v>2020-12-10</v>
      </c>
      <c r="N114" s="20">
        <f t="shared" si="12"/>
        <v>44176</v>
      </c>
      <c r="O114" t="str">
        <f t="shared" si="13"/>
        <v>2020-12-11</v>
      </c>
    </row>
    <row r="115" spans="1:15" x14ac:dyDescent="0.2">
      <c r="A115" s="21" t="str">
        <f t="shared" si="7"/>
        <v>y</v>
      </c>
      <c r="B115" s="24">
        <v>44116</v>
      </c>
      <c r="C115" t="s">
        <v>1536</v>
      </c>
      <c r="D115" t="s">
        <v>13</v>
      </c>
      <c r="E115" t="s">
        <v>27</v>
      </c>
      <c r="F115" t="s">
        <v>2</v>
      </c>
      <c r="G115" t="s">
        <v>1537</v>
      </c>
      <c r="H115" t="s">
        <v>1965</v>
      </c>
      <c r="I115" s="22" t="str">
        <f t="shared" si="8"/>
        <v>2020-12-10</v>
      </c>
      <c r="J115" s="23" t="str">
        <f t="shared" si="9"/>
        <v>44</v>
      </c>
      <c r="K115" t="str">
        <f t="shared" si="10"/>
        <v>yes</v>
      </c>
      <c r="L115">
        <v>44</v>
      </c>
      <c r="M115" t="str">
        <f t="shared" si="11"/>
        <v>2020-12-10</v>
      </c>
      <c r="N115" s="20">
        <f t="shared" si="12"/>
        <v>44176</v>
      </c>
      <c r="O115" t="str">
        <f t="shared" si="13"/>
        <v>2020-12-11</v>
      </c>
    </row>
    <row r="116" spans="1:15" x14ac:dyDescent="0.2">
      <c r="A116" s="21" t="str">
        <f t="shared" si="7"/>
        <v>y</v>
      </c>
      <c r="B116" s="24">
        <v>44116</v>
      </c>
      <c r="C116" t="s">
        <v>1064</v>
      </c>
      <c r="D116" t="s">
        <v>13</v>
      </c>
      <c r="E116" t="s">
        <v>8</v>
      </c>
      <c r="F116" t="s">
        <v>2</v>
      </c>
      <c r="G116" t="s">
        <v>1541</v>
      </c>
      <c r="H116" t="s">
        <v>1956</v>
      </c>
      <c r="I116" s="22" t="str">
        <f t="shared" si="8"/>
        <v>2020-12-10</v>
      </c>
      <c r="J116" s="23" t="str">
        <f t="shared" si="9"/>
        <v>44</v>
      </c>
      <c r="K116" t="str">
        <f t="shared" si="10"/>
        <v>yes</v>
      </c>
      <c r="L116">
        <v>44</v>
      </c>
      <c r="M116" t="str">
        <f t="shared" si="11"/>
        <v>2020-12-10</v>
      </c>
      <c r="N116" s="20">
        <f t="shared" si="12"/>
        <v>44176</v>
      </c>
      <c r="O116" t="str">
        <f t="shared" si="13"/>
        <v>2020-12-11</v>
      </c>
    </row>
    <row r="117" spans="1:15" x14ac:dyDescent="0.2">
      <c r="A117" s="21" t="str">
        <f t="shared" si="7"/>
        <v>y</v>
      </c>
      <c r="B117" s="24">
        <v>44086</v>
      </c>
      <c r="C117" t="s">
        <v>235</v>
      </c>
      <c r="D117" t="s">
        <v>13</v>
      </c>
      <c r="E117" t="s">
        <v>34</v>
      </c>
      <c r="F117" t="s">
        <v>2</v>
      </c>
      <c r="G117" t="s">
        <v>1533</v>
      </c>
      <c r="H117" t="s">
        <v>1958</v>
      </c>
      <c r="I117" s="22" t="str">
        <f t="shared" si="8"/>
        <v>2020-12-09</v>
      </c>
      <c r="J117" s="23" t="str">
        <f t="shared" si="9"/>
        <v>44</v>
      </c>
      <c r="K117" t="str">
        <f t="shared" si="10"/>
        <v>yes</v>
      </c>
      <c r="L117">
        <v>44</v>
      </c>
      <c r="M117" t="str">
        <f t="shared" si="11"/>
        <v>2020-12-09</v>
      </c>
      <c r="N117" s="20">
        <f t="shared" si="12"/>
        <v>44175</v>
      </c>
      <c r="O117" t="str">
        <f t="shared" si="13"/>
        <v>2020-12-10</v>
      </c>
    </row>
    <row r="118" spans="1:15" x14ac:dyDescent="0.2">
      <c r="A118" s="21" t="str">
        <f t="shared" si="7"/>
        <v>y</v>
      </c>
      <c r="B118" s="24">
        <v>44086</v>
      </c>
      <c r="C118" t="s">
        <v>235</v>
      </c>
      <c r="D118" t="s">
        <v>13</v>
      </c>
      <c r="E118" t="s">
        <v>34</v>
      </c>
      <c r="F118" t="s">
        <v>2</v>
      </c>
      <c r="G118" t="s">
        <v>1534</v>
      </c>
      <c r="H118" t="s">
        <v>1962</v>
      </c>
      <c r="I118" s="22" t="str">
        <f t="shared" si="8"/>
        <v>2020-12-09</v>
      </c>
      <c r="J118" s="23" t="str">
        <f t="shared" si="9"/>
        <v>44</v>
      </c>
      <c r="K118" t="str">
        <f t="shared" si="10"/>
        <v>yes</v>
      </c>
      <c r="L118">
        <v>44</v>
      </c>
      <c r="M118" t="str">
        <f t="shared" si="11"/>
        <v>2020-12-09</v>
      </c>
      <c r="N118" s="20">
        <f t="shared" si="12"/>
        <v>44175</v>
      </c>
      <c r="O118" t="str">
        <f t="shared" si="13"/>
        <v>2020-12-10</v>
      </c>
    </row>
    <row r="119" spans="1:15" x14ac:dyDescent="0.2">
      <c r="A119" s="21" t="str">
        <f t="shared" si="7"/>
        <v>y</v>
      </c>
      <c r="B119" s="24">
        <v>44086</v>
      </c>
      <c r="C119" t="s">
        <v>235</v>
      </c>
      <c r="D119" t="s">
        <v>13</v>
      </c>
      <c r="E119" t="s">
        <v>34</v>
      </c>
      <c r="F119" t="s">
        <v>2</v>
      </c>
      <c r="G119" t="s">
        <v>1539</v>
      </c>
      <c r="H119" t="s">
        <v>1958</v>
      </c>
      <c r="I119" s="22" t="str">
        <f t="shared" si="8"/>
        <v>2020-12-09</v>
      </c>
      <c r="J119" s="23" t="str">
        <f t="shared" si="9"/>
        <v>44</v>
      </c>
      <c r="K119" t="str">
        <f t="shared" si="10"/>
        <v>yes</v>
      </c>
      <c r="L119">
        <v>44</v>
      </c>
      <c r="M119" t="str">
        <f t="shared" si="11"/>
        <v>2020-12-09</v>
      </c>
      <c r="N119" s="20">
        <f t="shared" si="12"/>
        <v>44175</v>
      </c>
      <c r="O119" t="str">
        <f t="shared" si="13"/>
        <v>2020-12-10</v>
      </c>
    </row>
    <row r="120" spans="1:15" x14ac:dyDescent="0.2">
      <c r="A120" s="21" t="str">
        <f t="shared" si="7"/>
        <v>y</v>
      </c>
      <c r="B120" s="24">
        <v>44086</v>
      </c>
      <c r="C120" t="s">
        <v>964</v>
      </c>
      <c r="D120" t="s">
        <v>13</v>
      </c>
      <c r="E120" t="s">
        <v>27</v>
      </c>
      <c r="F120" t="s">
        <v>2</v>
      </c>
      <c r="G120" t="s">
        <v>1538</v>
      </c>
      <c r="H120" t="s">
        <v>1958</v>
      </c>
      <c r="I120" s="22" t="str">
        <f t="shared" si="8"/>
        <v>2020-12-09</v>
      </c>
      <c r="J120" s="23" t="str">
        <f t="shared" si="9"/>
        <v>44</v>
      </c>
      <c r="K120" t="str">
        <f t="shared" si="10"/>
        <v>yes</v>
      </c>
      <c r="L120">
        <v>44</v>
      </c>
      <c r="M120" t="str">
        <f t="shared" si="11"/>
        <v>2020-12-09</v>
      </c>
      <c r="N120" s="20">
        <f t="shared" si="12"/>
        <v>44175</v>
      </c>
      <c r="O120" t="str">
        <f t="shared" si="13"/>
        <v>2020-12-10</v>
      </c>
    </row>
    <row r="121" spans="1:15" x14ac:dyDescent="0.2">
      <c r="A121" s="21" t="str">
        <f t="shared" si="7"/>
        <v>y</v>
      </c>
      <c r="B121" s="24">
        <v>44086</v>
      </c>
      <c r="C121" t="s">
        <v>1529</v>
      </c>
      <c r="D121" t="s">
        <v>13</v>
      </c>
      <c r="E121" t="s">
        <v>27</v>
      </c>
      <c r="F121" t="s">
        <v>29</v>
      </c>
      <c r="G121" t="s">
        <v>1540</v>
      </c>
      <c r="H121" t="s">
        <v>1961</v>
      </c>
      <c r="I121" s="22" t="str">
        <f t="shared" si="8"/>
        <v>2020-12-09</v>
      </c>
      <c r="J121" s="23" t="str">
        <f t="shared" si="9"/>
        <v>44</v>
      </c>
      <c r="K121" t="str">
        <f t="shared" si="10"/>
        <v>yes</v>
      </c>
      <c r="L121">
        <v>44</v>
      </c>
      <c r="M121" t="str">
        <f t="shared" si="11"/>
        <v>2020-12-09</v>
      </c>
      <c r="N121" s="20" t="str">
        <f t="shared" si="12"/>
        <v>2020-12-09</v>
      </c>
      <c r="O121" t="str">
        <f t="shared" si="13"/>
        <v>2020-12-09</v>
      </c>
    </row>
    <row r="122" spans="1:15" x14ac:dyDescent="0.2">
      <c r="A122" s="21" t="str">
        <f t="shared" si="7"/>
        <v>y</v>
      </c>
      <c r="B122" s="24">
        <v>44086</v>
      </c>
      <c r="C122" t="s">
        <v>1536</v>
      </c>
      <c r="D122" t="s">
        <v>13</v>
      </c>
      <c r="E122" t="s">
        <v>27</v>
      </c>
      <c r="F122" t="s">
        <v>2</v>
      </c>
      <c r="G122" t="s">
        <v>1537</v>
      </c>
      <c r="H122" t="s">
        <v>1965</v>
      </c>
      <c r="I122" s="22" t="str">
        <f t="shared" si="8"/>
        <v>2020-12-09</v>
      </c>
      <c r="J122" s="23" t="str">
        <f t="shared" si="9"/>
        <v>44</v>
      </c>
      <c r="K122" t="str">
        <f t="shared" si="10"/>
        <v>yes</v>
      </c>
      <c r="L122">
        <v>44</v>
      </c>
      <c r="M122" t="str">
        <f t="shared" si="11"/>
        <v>2020-12-09</v>
      </c>
      <c r="N122" s="20">
        <f t="shared" si="12"/>
        <v>44175</v>
      </c>
      <c r="O122" t="str">
        <f t="shared" si="13"/>
        <v>2020-12-10</v>
      </c>
    </row>
    <row r="123" spans="1:15" x14ac:dyDescent="0.2">
      <c r="A123" s="21" t="str">
        <f t="shared" si="7"/>
        <v>y</v>
      </c>
      <c r="B123" s="24">
        <v>44055</v>
      </c>
      <c r="C123" t="s">
        <v>1423</v>
      </c>
      <c r="D123" t="s">
        <v>13</v>
      </c>
      <c r="E123" t="s">
        <v>27</v>
      </c>
      <c r="F123" t="s">
        <v>2</v>
      </c>
      <c r="H123" t="s">
        <v>1959</v>
      </c>
      <c r="I123" s="22" t="str">
        <f t="shared" si="8"/>
        <v>2020-12-08</v>
      </c>
      <c r="J123" s="23" t="str">
        <f t="shared" si="9"/>
        <v>44</v>
      </c>
      <c r="K123" t="str">
        <f t="shared" si="10"/>
        <v>yes</v>
      </c>
      <c r="L123">
        <v>44</v>
      </c>
      <c r="M123" t="str">
        <f t="shared" si="11"/>
        <v>2020-12-08</v>
      </c>
      <c r="N123" s="20">
        <f t="shared" si="12"/>
        <v>44174</v>
      </c>
      <c r="O123" t="str">
        <f t="shared" si="13"/>
        <v>2020-12-09</v>
      </c>
    </row>
    <row r="124" spans="1:15" x14ac:dyDescent="0.2">
      <c r="A124" s="21" t="str">
        <f t="shared" si="7"/>
        <v>y</v>
      </c>
      <c r="B124" s="24">
        <v>44055</v>
      </c>
      <c r="C124" t="s">
        <v>235</v>
      </c>
      <c r="D124" t="s">
        <v>13</v>
      </c>
      <c r="E124" t="s">
        <v>34</v>
      </c>
      <c r="F124" t="s">
        <v>2</v>
      </c>
      <c r="G124" t="s">
        <v>1533</v>
      </c>
      <c r="H124" t="s">
        <v>1958</v>
      </c>
      <c r="I124" s="22" t="str">
        <f t="shared" si="8"/>
        <v>2020-12-08</v>
      </c>
      <c r="J124" s="23" t="str">
        <f t="shared" si="9"/>
        <v>44</v>
      </c>
      <c r="K124" t="str">
        <f t="shared" si="10"/>
        <v>yes</v>
      </c>
      <c r="L124">
        <v>44</v>
      </c>
      <c r="M124" t="str">
        <f t="shared" si="11"/>
        <v>2020-12-08</v>
      </c>
      <c r="N124" s="20">
        <f t="shared" si="12"/>
        <v>44174</v>
      </c>
      <c r="O124" t="str">
        <f t="shared" si="13"/>
        <v>2020-12-09</v>
      </c>
    </row>
    <row r="125" spans="1:15" x14ac:dyDescent="0.2">
      <c r="A125" s="21" t="str">
        <f t="shared" si="7"/>
        <v>y</v>
      </c>
      <c r="B125" s="24">
        <v>44055</v>
      </c>
      <c r="C125" t="s">
        <v>235</v>
      </c>
      <c r="D125" t="s">
        <v>13</v>
      </c>
      <c r="E125" t="s">
        <v>34</v>
      </c>
      <c r="F125" t="s">
        <v>2</v>
      </c>
      <c r="G125" t="s">
        <v>1534</v>
      </c>
      <c r="H125" t="s">
        <v>1962</v>
      </c>
      <c r="I125" s="22" t="str">
        <f t="shared" si="8"/>
        <v>2020-12-08</v>
      </c>
      <c r="J125" s="23" t="str">
        <f t="shared" si="9"/>
        <v>44</v>
      </c>
      <c r="K125" t="str">
        <f t="shared" si="10"/>
        <v>yes</v>
      </c>
      <c r="L125">
        <v>44</v>
      </c>
      <c r="M125" t="str">
        <f t="shared" si="11"/>
        <v>2020-12-08</v>
      </c>
      <c r="N125" s="20">
        <f t="shared" si="12"/>
        <v>44174</v>
      </c>
      <c r="O125" t="str">
        <f t="shared" si="13"/>
        <v>2020-12-09</v>
      </c>
    </row>
    <row r="126" spans="1:15" x14ac:dyDescent="0.2">
      <c r="A126" s="21" t="str">
        <f t="shared" si="7"/>
        <v>y</v>
      </c>
      <c r="B126" s="24">
        <v>44055</v>
      </c>
      <c r="C126" t="s">
        <v>235</v>
      </c>
      <c r="D126" t="s">
        <v>13</v>
      </c>
      <c r="E126" t="s">
        <v>34</v>
      </c>
      <c r="F126" t="s">
        <v>2</v>
      </c>
      <c r="H126" t="s">
        <v>1958</v>
      </c>
      <c r="I126" s="22" t="str">
        <f t="shared" si="8"/>
        <v>2020-12-08</v>
      </c>
      <c r="J126" s="23" t="str">
        <f t="shared" si="9"/>
        <v>44</v>
      </c>
      <c r="K126" t="str">
        <f t="shared" si="10"/>
        <v>yes</v>
      </c>
      <c r="L126">
        <v>44</v>
      </c>
      <c r="M126" t="str">
        <f t="shared" si="11"/>
        <v>2020-12-08</v>
      </c>
      <c r="N126" s="20">
        <f t="shared" si="12"/>
        <v>44174</v>
      </c>
      <c r="O126" t="str">
        <f t="shared" si="13"/>
        <v>2020-12-09</v>
      </c>
    </row>
    <row r="127" spans="1:15" x14ac:dyDescent="0.2">
      <c r="A127" s="21" t="str">
        <f t="shared" si="7"/>
        <v>y</v>
      </c>
      <c r="B127" s="24">
        <v>44055</v>
      </c>
      <c r="C127" t="s">
        <v>964</v>
      </c>
      <c r="D127" t="s">
        <v>13</v>
      </c>
      <c r="E127" t="s">
        <v>27</v>
      </c>
      <c r="F127" t="s">
        <v>2</v>
      </c>
      <c r="H127" t="s">
        <v>1958</v>
      </c>
      <c r="I127" s="22" t="str">
        <f t="shared" si="8"/>
        <v>2020-12-08</v>
      </c>
      <c r="J127" s="23" t="str">
        <f t="shared" si="9"/>
        <v>44</v>
      </c>
      <c r="K127" t="str">
        <f t="shared" si="10"/>
        <v>yes</v>
      </c>
      <c r="L127">
        <v>44</v>
      </c>
      <c r="M127" t="str">
        <f t="shared" si="11"/>
        <v>2020-12-08</v>
      </c>
      <c r="N127" s="20">
        <f t="shared" si="12"/>
        <v>44174</v>
      </c>
      <c r="O127" t="str">
        <f t="shared" si="13"/>
        <v>2020-12-09</v>
      </c>
    </row>
    <row r="128" spans="1:15" x14ac:dyDescent="0.2">
      <c r="A128" s="21" t="str">
        <f t="shared" si="7"/>
        <v>y</v>
      </c>
      <c r="B128" s="24">
        <v>44055</v>
      </c>
      <c r="C128" t="s">
        <v>1529</v>
      </c>
      <c r="D128" t="s">
        <v>13</v>
      </c>
      <c r="E128" t="s">
        <v>27</v>
      </c>
      <c r="F128" t="s">
        <v>2</v>
      </c>
      <c r="G128" t="s">
        <v>1535</v>
      </c>
      <c r="H128" t="s">
        <v>1961</v>
      </c>
      <c r="I128" s="22" t="str">
        <f t="shared" si="8"/>
        <v>2020-12-08</v>
      </c>
      <c r="J128" s="23" t="str">
        <f t="shared" si="9"/>
        <v>44</v>
      </c>
      <c r="K128" t="str">
        <f t="shared" si="10"/>
        <v>yes</v>
      </c>
      <c r="L128">
        <v>44</v>
      </c>
      <c r="M128" t="str">
        <f t="shared" si="11"/>
        <v>2020-12-08</v>
      </c>
      <c r="N128" s="20">
        <f t="shared" si="12"/>
        <v>44174</v>
      </c>
      <c r="O128" t="str">
        <f t="shared" si="13"/>
        <v>2020-12-09</v>
      </c>
    </row>
    <row r="129" spans="1:15" x14ac:dyDescent="0.2">
      <c r="A129" s="21" t="str">
        <f t="shared" si="7"/>
        <v>y</v>
      </c>
      <c r="B129" s="24">
        <v>44024</v>
      </c>
      <c r="C129" t="s">
        <v>1423</v>
      </c>
      <c r="D129" t="s">
        <v>13</v>
      </c>
      <c r="E129" t="s">
        <v>27</v>
      </c>
      <c r="F129" t="s">
        <v>2</v>
      </c>
      <c r="H129" t="s">
        <v>1959</v>
      </c>
      <c r="I129" s="22" t="str">
        <f t="shared" si="8"/>
        <v>2020-12-07</v>
      </c>
      <c r="J129" s="23" t="str">
        <f t="shared" si="9"/>
        <v>44</v>
      </c>
      <c r="K129" t="str">
        <f t="shared" si="10"/>
        <v>yes</v>
      </c>
      <c r="L129">
        <v>44</v>
      </c>
      <c r="M129" t="str">
        <f t="shared" si="11"/>
        <v>2020-12-07</v>
      </c>
      <c r="N129" s="20">
        <f t="shared" si="12"/>
        <v>44173</v>
      </c>
      <c r="O129" t="str">
        <f t="shared" si="13"/>
        <v>2020-12-08</v>
      </c>
    </row>
    <row r="130" spans="1:15" x14ac:dyDescent="0.2">
      <c r="A130" s="21" t="str">
        <f t="shared" si="7"/>
        <v>y</v>
      </c>
      <c r="B130" s="24">
        <v>44024</v>
      </c>
      <c r="C130" t="s">
        <v>235</v>
      </c>
      <c r="D130" t="s">
        <v>13</v>
      </c>
      <c r="E130" t="s">
        <v>34</v>
      </c>
      <c r="F130" t="s">
        <v>2</v>
      </c>
      <c r="H130" t="s">
        <v>1958</v>
      </c>
      <c r="I130" s="22" t="str">
        <f t="shared" si="8"/>
        <v>2020-12-07</v>
      </c>
      <c r="J130" s="23" t="str">
        <f t="shared" si="9"/>
        <v>44</v>
      </c>
      <c r="K130" t="str">
        <f t="shared" si="10"/>
        <v>yes</v>
      </c>
      <c r="L130">
        <v>44</v>
      </c>
      <c r="M130" t="str">
        <f t="shared" si="11"/>
        <v>2020-12-07</v>
      </c>
      <c r="N130" s="20">
        <f t="shared" si="12"/>
        <v>44173</v>
      </c>
      <c r="O130" t="str">
        <f t="shared" si="13"/>
        <v>2020-12-08</v>
      </c>
    </row>
    <row r="131" spans="1:15" x14ac:dyDescent="0.2">
      <c r="A131" s="21" t="str">
        <f t="shared" si="7"/>
        <v>y</v>
      </c>
      <c r="B131" s="24">
        <v>44024</v>
      </c>
      <c r="C131" t="s">
        <v>235</v>
      </c>
      <c r="D131" t="s">
        <v>13</v>
      </c>
      <c r="E131" t="s">
        <v>34</v>
      </c>
      <c r="F131" t="s">
        <v>2</v>
      </c>
      <c r="H131" t="s">
        <v>1962</v>
      </c>
      <c r="I131" s="22" t="str">
        <f t="shared" si="8"/>
        <v>2020-12-07</v>
      </c>
      <c r="J131" s="23" t="str">
        <f t="shared" si="9"/>
        <v>44</v>
      </c>
      <c r="K131" t="str">
        <f t="shared" si="10"/>
        <v>yes</v>
      </c>
      <c r="L131">
        <v>44</v>
      </c>
      <c r="M131" t="str">
        <f t="shared" si="11"/>
        <v>2020-12-07</v>
      </c>
      <c r="N131" s="20">
        <f t="shared" si="12"/>
        <v>44173</v>
      </c>
      <c r="O131" t="str">
        <f t="shared" si="13"/>
        <v>2020-12-08</v>
      </c>
    </row>
    <row r="132" spans="1:15" x14ac:dyDescent="0.2">
      <c r="A132" s="21" t="str">
        <f t="shared" ref="A132:A195" si="14">IF(LEFT(B132,2)&gt;12,"y","-")</f>
        <v>y</v>
      </c>
      <c r="B132" s="24">
        <v>44024</v>
      </c>
      <c r="C132" t="s">
        <v>235</v>
      </c>
      <c r="D132" t="s">
        <v>13</v>
      </c>
      <c r="E132" t="s">
        <v>34</v>
      </c>
      <c r="F132" t="s">
        <v>2</v>
      </c>
      <c r="H132" t="s">
        <v>1958</v>
      </c>
      <c r="I132" s="22" t="str">
        <f t="shared" ref="I132:I195" si="15">IF(K132="yes",TEXT(B132,"YYYY-DD-MM"),TEXT(B132,"YYYY-MM-DD"))</f>
        <v>2020-12-07</v>
      </c>
      <c r="J132" s="23" t="str">
        <f t="shared" ref="J132:J195" si="16">LEFT(B132,2)</f>
        <v>44</v>
      </c>
      <c r="K132" t="str">
        <f t="shared" ref="K132:K195" si="17">IF(L132&gt;31,"yes","no")</f>
        <v>yes</v>
      </c>
      <c r="L132">
        <v>44</v>
      </c>
      <c r="M132" t="str">
        <f t="shared" ref="M132:M195" si="18">I132</f>
        <v>2020-12-07</v>
      </c>
      <c r="N132" s="20">
        <f t="shared" ref="N132:N195" si="19">IF(F132="DONE",M132,M132+1)</f>
        <v>44173</v>
      </c>
      <c r="O132" t="str">
        <f t="shared" ref="O132:O195" si="20">TEXT(N132,"YYYY-MM-DD")</f>
        <v>2020-12-08</v>
      </c>
    </row>
    <row r="133" spans="1:15" x14ac:dyDescent="0.2">
      <c r="A133" s="21" t="str">
        <f t="shared" si="14"/>
        <v>y</v>
      </c>
      <c r="B133" s="24">
        <v>44024</v>
      </c>
      <c r="C133" t="s">
        <v>235</v>
      </c>
      <c r="D133" t="s">
        <v>13</v>
      </c>
      <c r="E133" t="s">
        <v>4</v>
      </c>
      <c r="F133" t="s">
        <v>29</v>
      </c>
      <c r="G133" t="s">
        <v>1530</v>
      </c>
      <c r="H133" t="s">
        <v>1958</v>
      </c>
      <c r="I133" s="22" t="str">
        <f t="shared" si="15"/>
        <v>2020-12-07</v>
      </c>
      <c r="J133" s="23" t="str">
        <f t="shared" si="16"/>
        <v>44</v>
      </c>
      <c r="K133" t="str">
        <f t="shared" si="17"/>
        <v>yes</v>
      </c>
      <c r="L133">
        <v>44</v>
      </c>
      <c r="M133" t="str">
        <f t="shared" si="18"/>
        <v>2020-12-07</v>
      </c>
      <c r="N133" s="20" t="str">
        <f t="shared" si="19"/>
        <v>2020-12-07</v>
      </c>
      <c r="O133" t="str">
        <f t="shared" si="20"/>
        <v>2020-12-07</v>
      </c>
    </row>
    <row r="134" spans="1:15" x14ac:dyDescent="0.2">
      <c r="A134" s="21" t="str">
        <f t="shared" si="14"/>
        <v>y</v>
      </c>
      <c r="B134" s="24">
        <v>44024</v>
      </c>
      <c r="C134" t="s">
        <v>964</v>
      </c>
      <c r="D134" t="s">
        <v>13</v>
      </c>
      <c r="E134" t="s">
        <v>27</v>
      </c>
      <c r="F134" t="s">
        <v>2</v>
      </c>
      <c r="G134" t="s">
        <v>1532</v>
      </c>
      <c r="H134" t="s">
        <v>1961</v>
      </c>
      <c r="I134" s="22" t="str">
        <f t="shared" si="15"/>
        <v>2020-12-07</v>
      </c>
      <c r="J134" s="23" t="str">
        <f t="shared" si="16"/>
        <v>44</v>
      </c>
      <c r="K134" t="str">
        <f t="shared" si="17"/>
        <v>yes</v>
      </c>
      <c r="L134">
        <v>44</v>
      </c>
      <c r="M134" t="str">
        <f t="shared" si="18"/>
        <v>2020-12-07</v>
      </c>
      <c r="N134" s="20">
        <f t="shared" si="19"/>
        <v>44173</v>
      </c>
      <c r="O134" t="str">
        <f t="shared" si="20"/>
        <v>2020-12-08</v>
      </c>
    </row>
    <row r="135" spans="1:15" x14ac:dyDescent="0.2">
      <c r="A135" s="21" t="str">
        <f t="shared" si="14"/>
        <v>y</v>
      </c>
      <c r="B135" s="24">
        <v>44024</v>
      </c>
      <c r="C135" t="s">
        <v>1529</v>
      </c>
      <c r="D135" t="s">
        <v>13</v>
      </c>
      <c r="E135" t="s">
        <v>4</v>
      </c>
      <c r="F135" t="s">
        <v>29</v>
      </c>
      <c r="G135" t="s">
        <v>1531</v>
      </c>
      <c r="H135" t="s">
        <v>1958</v>
      </c>
      <c r="I135" s="22" t="str">
        <f t="shared" si="15"/>
        <v>2020-12-07</v>
      </c>
      <c r="J135" s="23" t="str">
        <f t="shared" si="16"/>
        <v>44</v>
      </c>
      <c r="K135" t="str">
        <f t="shared" si="17"/>
        <v>yes</v>
      </c>
      <c r="L135">
        <v>44</v>
      </c>
      <c r="M135" t="str">
        <f t="shared" si="18"/>
        <v>2020-12-07</v>
      </c>
      <c r="N135" s="20" t="str">
        <f t="shared" si="19"/>
        <v>2020-12-07</v>
      </c>
      <c r="O135" t="str">
        <f t="shared" si="20"/>
        <v>2020-12-07</v>
      </c>
    </row>
    <row r="136" spans="1:15" x14ac:dyDescent="0.2">
      <c r="A136" s="21" t="str">
        <f t="shared" si="14"/>
        <v>y</v>
      </c>
      <c r="B136" s="24">
        <v>43994</v>
      </c>
      <c r="C136" t="s">
        <v>1423</v>
      </c>
      <c r="D136" t="s">
        <v>13</v>
      </c>
      <c r="E136" t="s">
        <v>27</v>
      </c>
      <c r="F136" t="s">
        <v>2</v>
      </c>
      <c r="G136" t="s">
        <v>1527</v>
      </c>
      <c r="H136" t="s">
        <v>1959</v>
      </c>
      <c r="I136" s="22" t="str">
        <f t="shared" si="15"/>
        <v>2020-12-06</v>
      </c>
      <c r="J136" s="23" t="str">
        <f t="shared" si="16"/>
        <v>43</v>
      </c>
      <c r="K136" t="str">
        <f t="shared" si="17"/>
        <v>yes</v>
      </c>
      <c r="L136">
        <v>43</v>
      </c>
      <c r="M136" t="str">
        <f t="shared" si="18"/>
        <v>2020-12-06</v>
      </c>
      <c r="N136" s="20">
        <f t="shared" si="19"/>
        <v>44172</v>
      </c>
      <c r="O136" t="str">
        <f t="shared" si="20"/>
        <v>2020-12-07</v>
      </c>
    </row>
    <row r="137" spans="1:15" x14ac:dyDescent="0.2">
      <c r="A137" s="21" t="str">
        <f t="shared" si="14"/>
        <v>y</v>
      </c>
      <c r="B137" s="24">
        <v>43994</v>
      </c>
      <c r="C137" t="s">
        <v>235</v>
      </c>
      <c r="D137" t="s">
        <v>13</v>
      </c>
      <c r="E137" t="s">
        <v>34</v>
      </c>
      <c r="F137" t="s">
        <v>2</v>
      </c>
      <c r="G137" t="s">
        <v>1525</v>
      </c>
      <c r="H137" t="s">
        <v>1958</v>
      </c>
      <c r="I137" s="22" t="str">
        <f t="shared" si="15"/>
        <v>2020-12-06</v>
      </c>
      <c r="J137" s="23" t="str">
        <f t="shared" si="16"/>
        <v>43</v>
      </c>
      <c r="K137" t="str">
        <f t="shared" si="17"/>
        <v>yes</v>
      </c>
      <c r="L137">
        <v>43</v>
      </c>
      <c r="M137" t="str">
        <f t="shared" si="18"/>
        <v>2020-12-06</v>
      </c>
      <c r="N137" s="20">
        <f t="shared" si="19"/>
        <v>44172</v>
      </c>
      <c r="O137" t="str">
        <f t="shared" si="20"/>
        <v>2020-12-07</v>
      </c>
    </row>
    <row r="138" spans="1:15" x14ac:dyDescent="0.2">
      <c r="A138" s="21" t="str">
        <f t="shared" si="14"/>
        <v>y</v>
      </c>
      <c r="B138" s="24">
        <v>43994</v>
      </c>
      <c r="C138" t="s">
        <v>235</v>
      </c>
      <c r="D138" t="s">
        <v>13</v>
      </c>
      <c r="E138" t="s">
        <v>34</v>
      </c>
      <c r="F138" t="s">
        <v>2</v>
      </c>
      <c r="G138" t="s">
        <v>1524</v>
      </c>
      <c r="H138" t="s">
        <v>1962</v>
      </c>
      <c r="I138" s="22" t="str">
        <f t="shared" si="15"/>
        <v>2020-12-06</v>
      </c>
      <c r="J138" s="23" t="str">
        <f t="shared" si="16"/>
        <v>43</v>
      </c>
      <c r="K138" t="str">
        <f t="shared" si="17"/>
        <v>yes</v>
      </c>
      <c r="L138">
        <v>43</v>
      </c>
      <c r="M138" t="str">
        <f t="shared" si="18"/>
        <v>2020-12-06</v>
      </c>
      <c r="N138" s="20">
        <f t="shared" si="19"/>
        <v>44172</v>
      </c>
      <c r="O138" t="str">
        <f t="shared" si="20"/>
        <v>2020-12-07</v>
      </c>
    </row>
    <row r="139" spans="1:15" x14ac:dyDescent="0.2">
      <c r="A139" s="21" t="str">
        <f t="shared" si="14"/>
        <v>y</v>
      </c>
      <c r="B139" s="24">
        <v>43994</v>
      </c>
      <c r="C139" t="s">
        <v>235</v>
      </c>
      <c r="D139" t="s">
        <v>13</v>
      </c>
      <c r="E139" t="s">
        <v>34</v>
      </c>
      <c r="F139" t="s">
        <v>2</v>
      </c>
      <c r="G139" t="s">
        <v>1526</v>
      </c>
      <c r="H139" t="s">
        <v>1958</v>
      </c>
      <c r="I139" s="22" t="str">
        <f t="shared" si="15"/>
        <v>2020-12-06</v>
      </c>
      <c r="J139" s="23" t="str">
        <f t="shared" si="16"/>
        <v>43</v>
      </c>
      <c r="K139" t="str">
        <f t="shared" si="17"/>
        <v>yes</v>
      </c>
      <c r="L139">
        <v>43</v>
      </c>
      <c r="M139" t="str">
        <f t="shared" si="18"/>
        <v>2020-12-06</v>
      </c>
      <c r="N139" s="20">
        <f t="shared" si="19"/>
        <v>44172</v>
      </c>
      <c r="O139" t="str">
        <f t="shared" si="20"/>
        <v>2020-12-07</v>
      </c>
    </row>
    <row r="140" spans="1:15" x14ac:dyDescent="0.2">
      <c r="A140" s="21" t="str">
        <f t="shared" si="14"/>
        <v>y</v>
      </c>
      <c r="B140" s="24">
        <v>43994</v>
      </c>
      <c r="C140" t="s">
        <v>964</v>
      </c>
      <c r="D140" t="s">
        <v>13</v>
      </c>
      <c r="E140" t="s">
        <v>27</v>
      </c>
      <c r="F140" t="s">
        <v>2</v>
      </c>
      <c r="G140" t="s">
        <v>1528</v>
      </c>
      <c r="H140" t="s">
        <v>1958</v>
      </c>
      <c r="I140" s="22" t="str">
        <f t="shared" si="15"/>
        <v>2020-12-06</v>
      </c>
      <c r="J140" s="23" t="str">
        <f t="shared" si="16"/>
        <v>43</v>
      </c>
      <c r="K140" t="str">
        <f t="shared" si="17"/>
        <v>yes</v>
      </c>
      <c r="L140">
        <v>43</v>
      </c>
      <c r="M140" t="str">
        <f t="shared" si="18"/>
        <v>2020-12-06</v>
      </c>
      <c r="N140" s="20">
        <f t="shared" si="19"/>
        <v>44172</v>
      </c>
      <c r="O140" t="str">
        <f t="shared" si="20"/>
        <v>2020-12-07</v>
      </c>
    </row>
    <row r="141" spans="1:15" x14ac:dyDescent="0.2">
      <c r="A141" s="21" t="str">
        <f t="shared" si="14"/>
        <v>y</v>
      </c>
      <c r="B141" s="24" t="s">
        <v>1622</v>
      </c>
      <c r="C141" t="s">
        <v>701</v>
      </c>
      <c r="D141" t="s">
        <v>13</v>
      </c>
      <c r="E141" t="s">
        <v>34</v>
      </c>
      <c r="F141" t="s">
        <v>2</v>
      </c>
      <c r="H141" t="s">
        <v>1966</v>
      </c>
      <c r="I141" s="22" t="str">
        <f t="shared" si="15"/>
        <v>2020-11-30</v>
      </c>
      <c r="J141" s="23" t="str">
        <f t="shared" si="16"/>
        <v>30</v>
      </c>
      <c r="K141" t="str">
        <f t="shared" si="17"/>
        <v>no</v>
      </c>
      <c r="L141">
        <v>30</v>
      </c>
      <c r="M141" t="str">
        <f t="shared" si="18"/>
        <v>2020-11-30</v>
      </c>
      <c r="N141" s="20">
        <f t="shared" si="19"/>
        <v>44166</v>
      </c>
      <c r="O141" t="str">
        <f t="shared" si="20"/>
        <v>2020-12-01</v>
      </c>
    </row>
    <row r="142" spans="1:15" x14ac:dyDescent="0.2">
      <c r="A142" s="21" t="str">
        <f t="shared" si="14"/>
        <v>y</v>
      </c>
      <c r="B142" s="24" t="s">
        <v>1622</v>
      </c>
      <c r="C142" t="s">
        <v>1423</v>
      </c>
      <c r="D142" t="s">
        <v>13</v>
      </c>
      <c r="E142" t="s">
        <v>27</v>
      </c>
      <c r="F142" t="s">
        <v>2</v>
      </c>
      <c r="H142" t="s">
        <v>1959</v>
      </c>
      <c r="I142" s="22" t="str">
        <f t="shared" si="15"/>
        <v>2020-11-30</v>
      </c>
      <c r="J142" s="23" t="str">
        <f t="shared" si="16"/>
        <v>30</v>
      </c>
      <c r="K142" t="str">
        <f t="shared" si="17"/>
        <v>no</v>
      </c>
      <c r="L142">
        <v>30</v>
      </c>
      <c r="M142" t="str">
        <f t="shared" si="18"/>
        <v>2020-11-30</v>
      </c>
      <c r="N142" s="20">
        <f t="shared" si="19"/>
        <v>44166</v>
      </c>
      <c r="O142" t="str">
        <f t="shared" si="20"/>
        <v>2020-12-01</v>
      </c>
    </row>
    <row r="143" spans="1:15" x14ac:dyDescent="0.2">
      <c r="A143" s="21" t="str">
        <f t="shared" si="14"/>
        <v>y</v>
      </c>
      <c r="B143" s="24" t="s">
        <v>1622</v>
      </c>
      <c r="C143" t="s">
        <v>235</v>
      </c>
      <c r="D143" t="s">
        <v>13</v>
      </c>
      <c r="E143" t="s">
        <v>34</v>
      </c>
      <c r="F143" t="s">
        <v>2</v>
      </c>
      <c r="G143" t="s">
        <v>1524</v>
      </c>
      <c r="H143" t="s">
        <v>1958</v>
      </c>
      <c r="I143" s="22" t="str">
        <f t="shared" si="15"/>
        <v>2020-11-30</v>
      </c>
      <c r="J143" s="23" t="str">
        <f t="shared" si="16"/>
        <v>30</v>
      </c>
      <c r="K143" t="str">
        <f t="shared" si="17"/>
        <v>no</v>
      </c>
      <c r="L143">
        <v>30</v>
      </c>
      <c r="M143" t="str">
        <f t="shared" si="18"/>
        <v>2020-11-30</v>
      </c>
      <c r="N143" s="20">
        <f t="shared" si="19"/>
        <v>44166</v>
      </c>
      <c r="O143" t="str">
        <f t="shared" si="20"/>
        <v>2020-12-01</v>
      </c>
    </row>
    <row r="144" spans="1:15" x14ac:dyDescent="0.2">
      <c r="A144" s="21" t="str">
        <f t="shared" si="14"/>
        <v>y</v>
      </c>
      <c r="B144" s="24" t="s">
        <v>1622</v>
      </c>
      <c r="C144" t="s">
        <v>964</v>
      </c>
      <c r="D144" t="s">
        <v>13</v>
      </c>
      <c r="E144" t="s">
        <v>27</v>
      </c>
      <c r="F144" t="s">
        <v>2</v>
      </c>
      <c r="H144" t="s">
        <v>1962</v>
      </c>
      <c r="I144" s="22" t="str">
        <f t="shared" si="15"/>
        <v>2020-11-30</v>
      </c>
      <c r="J144" s="23" t="str">
        <f t="shared" si="16"/>
        <v>30</v>
      </c>
      <c r="K144" t="str">
        <f t="shared" si="17"/>
        <v>no</v>
      </c>
      <c r="L144">
        <v>30</v>
      </c>
      <c r="M144" t="str">
        <f t="shared" si="18"/>
        <v>2020-11-30</v>
      </c>
      <c r="N144" s="20">
        <f t="shared" si="19"/>
        <v>44166</v>
      </c>
      <c r="O144" t="str">
        <f t="shared" si="20"/>
        <v>2020-12-01</v>
      </c>
    </row>
    <row r="145" spans="1:15" x14ac:dyDescent="0.2">
      <c r="A145" s="21" t="str">
        <f t="shared" si="14"/>
        <v>y</v>
      </c>
      <c r="B145" s="24" t="s">
        <v>1623</v>
      </c>
      <c r="C145" t="s">
        <v>701</v>
      </c>
      <c r="D145" t="s">
        <v>13</v>
      </c>
      <c r="E145" t="s">
        <v>34</v>
      </c>
      <c r="F145" t="s">
        <v>2</v>
      </c>
      <c r="H145" t="s">
        <v>1966</v>
      </c>
      <c r="I145" s="22" t="str">
        <f t="shared" si="15"/>
        <v>2020-11-29</v>
      </c>
      <c r="J145" s="23" t="str">
        <f t="shared" si="16"/>
        <v>29</v>
      </c>
      <c r="K145" t="str">
        <f t="shared" si="17"/>
        <v>no</v>
      </c>
      <c r="L145">
        <v>29</v>
      </c>
      <c r="M145" t="str">
        <f t="shared" si="18"/>
        <v>2020-11-29</v>
      </c>
      <c r="N145" s="20">
        <f t="shared" si="19"/>
        <v>44165</v>
      </c>
      <c r="O145" t="str">
        <f t="shared" si="20"/>
        <v>2020-11-30</v>
      </c>
    </row>
    <row r="146" spans="1:15" x14ac:dyDescent="0.2">
      <c r="A146" s="21" t="str">
        <f t="shared" si="14"/>
        <v>y</v>
      </c>
      <c r="B146" s="24" t="s">
        <v>1623</v>
      </c>
      <c r="C146" t="s">
        <v>1423</v>
      </c>
      <c r="D146" t="s">
        <v>13</v>
      </c>
      <c r="E146" t="s">
        <v>27</v>
      </c>
      <c r="F146" t="s">
        <v>2</v>
      </c>
      <c r="G146" t="s">
        <v>1523</v>
      </c>
      <c r="H146" t="s">
        <v>1959</v>
      </c>
      <c r="I146" s="22" t="str">
        <f t="shared" si="15"/>
        <v>2020-11-29</v>
      </c>
      <c r="J146" s="23" t="str">
        <f t="shared" si="16"/>
        <v>29</v>
      </c>
      <c r="K146" t="str">
        <f t="shared" si="17"/>
        <v>no</v>
      </c>
      <c r="L146">
        <v>29</v>
      </c>
      <c r="M146" t="str">
        <f t="shared" si="18"/>
        <v>2020-11-29</v>
      </c>
      <c r="N146" s="20">
        <f t="shared" si="19"/>
        <v>44165</v>
      </c>
      <c r="O146" t="str">
        <f t="shared" si="20"/>
        <v>2020-11-30</v>
      </c>
    </row>
    <row r="147" spans="1:15" x14ac:dyDescent="0.2">
      <c r="A147" s="21" t="str">
        <f t="shared" si="14"/>
        <v>y</v>
      </c>
      <c r="B147" s="24" t="s">
        <v>1623</v>
      </c>
      <c r="C147" t="s">
        <v>235</v>
      </c>
      <c r="D147" t="s">
        <v>13</v>
      </c>
      <c r="E147" t="s">
        <v>34</v>
      </c>
      <c r="F147" t="s">
        <v>2</v>
      </c>
      <c r="H147" t="s">
        <v>1958</v>
      </c>
      <c r="I147" s="22" t="str">
        <f t="shared" si="15"/>
        <v>2020-11-29</v>
      </c>
      <c r="J147" s="23" t="str">
        <f t="shared" si="16"/>
        <v>29</v>
      </c>
      <c r="K147" t="str">
        <f t="shared" si="17"/>
        <v>no</v>
      </c>
      <c r="L147">
        <v>29</v>
      </c>
      <c r="M147" t="str">
        <f t="shared" si="18"/>
        <v>2020-11-29</v>
      </c>
      <c r="N147" s="20">
        <f t="shared" si="19"/>
        <v>44165</v>
      </c>
      <c r="O147" t="str">
        <f t="shared" si="20"/>
        <v>2020-11-30</v>
      </c>
    </row>
    <row r="148" spans="1:15" x14ac:dyDescent="0.2">
      <c r="A148" s="21" t="str">
        <f t="shared" si="14"/>
        <v>y</v>
      </c>
      <c r="B148" s="24" t="s">
        <v>1623</v>
      </c>
      <c r="C148" t="s">
        <v>287</v>
      </c>
      <c r="D148" t="s">
        <v>13</v>
      </c>
      <c r="E148" t="s">
        <v>4</v>
      </c>
      <c r="F148" t="s">
        <v>29</v>
      </c>
      <c r="G148" t="s">
        <v>1521</v>
      </c>
      <c r="H148" t="s">
        <v>1967</v>
      </c>
      <c r="I148" s="22" t="str">
        <f t="shared" si="15"/>
        <v>2020-11-29</v>
      </c>
      <c r="J148" s="23" t="str">
        <f t="shared" si="16"/>
        <v>29</v>
      </c>
      <c r="K148" t="str">
        <f t="shared" si="17"/>
        <v>no</v>
      </c>
      <c r="L148">
        <v>29</v>
      </c>
      <c r="M148" t="str">
        <f t="shared" si="18"/>
        <v>2020-11-29</v>
      </c>
      <c r="N148" s="20" t="str">
        <f t="shared" si="19"/>
        <v>2020-11-29</v>
      </c>
      <c r="O148" t="str">
        <f t="shared" si="20"/>
        <v>2020-11-29</v>
      </c>
    </row>
    <row r="149" spans="1:15" x14ac:dyDescent="0.2">
      <c r="A149" s="21" t="str">
        <f t="shared" si="14"/>
        <v>y</v>
      </c>
      <c r="B149" s="24" t="s">
        <v>1623</v>
      </c>
      <c r="C149" t="s">
        <v>964</v>
      </c>
      <c r="D149" t="s">
        <v>13</v>
      </c>
      <c r="E149" t="s">
        <v>27</v>
      </c>
      <c r="F149" t="s">
        <v>2</v>
      </c>
      <c r="G149" t="s">
        <v>1522</v>
      </c>
      <c r="H149" t="s">
        <v>1962</v>
      </c>
      <c r="I149" s="22" t="str">
        <f t="shared" si="15"/>
        <v>2020-11-29</v>
      </c>
      <c r="J149" s="23" t="str">
        <f t="shared" si="16"/>
        <v>29</v>
      </c>
      <c r="K149" t="str">
        <f t="shared" si="17"/>
        <v>no</v>
      </c>
      <c r="L149">
        <v>29</v>
      </c>
      <c r="M149" t="str">
        <f t="shared" si="18"/>
        <v>2020-11-29</v>
      </c>
      <c r="N149" s="20">
        <f t="shared" si="19"/>
        <v>44165</v>
      </c>
      <c r="O149" t="str">
        <f t="shared" si="20"/>
        <v>2020-11-30</v>
      </c>
    </row>
    <row r="150" spans="1:15" x14ac:dyDescent="0.2">
      <c r="A150" s="21" t="str">
        <f t="shared" si="14"/>
        <v>y</v>
      </c>
      <c r="B150" s="24" t="s">
        <v>1624</v>
      </c>
      <c r="C150" t="s">
        <v>701</v>
      </c>
      <c r="D150" t="s">
        <v>13</v>
      </c>
      <c r="E150" t="s">
        <v>34</v>
      </c>
      <c r="F150" t="s">
        <v>2</v>
      </c>
      <c r="H150" t="s">
        <v>1966</v>
      </c>
      <c r="I150" s="22" t="str">
        <f t="shared" si="15"/>
        <v>2020-11-26</v>
      </c>
      <c r="J150" s="23" t="str">
        <f t="shared" si="16"/>
        <v>26</v>
      </c>
      <c r="K150" t="str">
        <f t="shared" si="17"/>
        <v>no</v>
      </c>
      <c r="L150">
        <v>26</v>
      </c>
      <c r="M150" t="str">
        <f t="shared" si="18"/>
        <v>2020-11-26</v>
      </c>
      <c r="N150" s="20">
        <f t="shared" si="19"/>
        <v>44162</v>
      </c>
      <c r="O150" t="str">
        <f t="shared" si="20"/>
        <v>2020-11-27</v>
      </c>
    </row>
    <row r="151" spans="1:15" x14ac:dyDescent="0.2">
      <c r="A151" s="21" t="str">
        <f t="shared" si="14"/>
        <v>y</v>
      </c>
      <c r="B151" s="24" t="s">
        <v>1624</v>
      </c>
      <c r="C151" t="s">
        <v>1423</v>
      </c>
      <c r="D151" t="s">
        <v>13</v>
      </c>
      <c r="E151" t="s">
        <v>27</v>
      </c>
      <c r="F151" t="s">
        <v>2</v>
      </c>
      <c r="G151" t="s">
        <v>1519</v>
      </c>
      <c r="H151" t="s">
        <v>1959</v>
      </c>
      <c r="I151" s="22" t="str">
        <f t="shared" si="15"/>
        <v>2020-11-26</v>
      </c>
      <c r="J151" s="23" t="str">
        <f t="shared" si="16"/>
        <v>26</v>
      </c>
      <c r="K151" t="str">
        <f t="shared" si="17"/>
        <v>no</v>
      </c>
      <c r="L151">
        <v>26</v>
      </c>
      <c r="M151" t="str">
        <f t="shared" si="18"/>
        <v>2020-11-26</v>
      </c>
      <c r="N151" s="20">
        <f t="shared" si="19"/>
        <v>44162</v>
      </c>
      <c r="O151" t="str">
        <f t="shared" si="20"/>
        <v>2020-11-27</v>
      </c>
    </row>
    <row r="152" spans="1:15" x14ac:dyDescent="0.2">
      <c r="A152" s="21" t="str">
        <f t="shared" si="14"/>
        <v>y</v>
      </c>
      <c r="B152" s="24" t="s">
        <v>1624</v>
      </c>
      <c r="C152" t="s">
        <v>235</v>
      </c>
      <c r="D152" t="s">
        <v>13</v>
      </c>
      <c r="E152" t="s">
        <v>34</v>
      </c>
      <c r="F152" t="s">
        <v>2</v>
      </c>
      <c r="G152" t="s">
        <v>1520</v>
      </c>
      <c r="H152" t="s">
        <v>1958</v>
      </c>
      <c r="I152" s="22" t="str">
        <f t="shared" si="15"/>
        <v>2020-11-26</v>
      </c>
      <c r="J152" s="23" t="str">
        <f t="shared" si="16"/>
        <v>26</v>
      </c>
      <c r="K152" t="str">
        <f t="shared" si="17"/>
        <v>no</v>
      </c>
      <c r="L152">
        <v>26</v>
      </c>
      <c r="M152" t="str">
        <f t="shared" si="18"/>
        <v>2020-11-26</v>
      </c>
      <c r="N152" s="20">
        <f t="shared" si="19"/>
        <v>44162</v>
      </c>
      <c r="O152" t="str">
        <f t="shared" si="20"/>
        <v>2020-11-27</v>
      </c>
    </row>
    <row r="153" spans="1:15" x14ac:dyDescent="0.2">
      <c r="A153" s="21" t="str">
        <f t="shared" si="14"/>
        <v>y</v>
      </c>
      <c r="B153" s="24" t="s">
        <v>1625</v>
      </c>
      <c r="C153" t="s">
        <v>701</v>
      </c>
      <c r="D153" t="s">
        <v>13</v>
      </c>
      <c r="E153" t="s">
        <v>34</v>
      </c>
      <c r="F153" t="s">
        <v>2</v>
      </c>
      <c r="H153" t="s">
        <v>1966</v>
      </c>
      <c r="I153" s="22" t="str">
        <f t="shared" si="15"/>
        <v>2020-11-25</v>
      </c>
      <c r="J153" s="23" t="str">
        <f t="shared" si="16"/>
        <v>25</v>
      </c>
      <c r="K153" t="str">
        <f t="shared" si="17"/>
        <v>no</v>
      </c>
      <c r="L153">
        <v>25</v>
      </c>
      <c r="M153" t="str">
        <f t="shared" si="18"/>
        <v>2020-11-25</v>
      </c>
      <c r="N153" s="20">
        <f t="shared" si="19"/>
        <v>44161</v>
      </c>
      <c r="O153" t="str">
        <f t="shared" si="20"/>
        <v>2020-11-26</v>
      </c>
    </row>
    <row r="154" spans="1:15" x14ac:dyDescent="0.2">
      <c r="A154" s="21" t="str">
        <f t="shared" si="14"/>
        <v>y</v>
      </c>
      <c r="B154" s="24" t="s">
        <v>1625</v>
      </c>
      <c r="C154" t="s">
        <v>1423</v>
      </c>
      <c r="D154" t="s">
        <v>13</v>
      </c>
      <c r="E154" t="s">
        <v>27</v>
      </c>
      <c r="F154" t="s">
        <v>2</v>
      </c>
      <c r="G154" t="s">
        <v>1519</v>
      </c>
      <c r="H154" t="s">
        <v>1959</v>
      </c>
      <c r="I154" s="22" t="str">
        <f t="shared" si="15"/>
        <v>2020-11-25</v>
      </c>
      <c r="J154" s="23" t="str">
        <f t="shared" si="16"/>
        <v>25</v>
      </c>
      <c r="K154" t="str">
        <f t="shared" si="17"/>
        <v>no</v>
      </c>
      <c r="L154">
        <v>25</v>
      </c>
      <c r="M154" t="str">
        <f t="shared" si="18"/>
        <v>2020-11-25</v>
      </c>
      <c r="N154" s="20">
        <f t="shared" si="19"/>
        <v>44161</v>
      </c>
      <c r="O154" t="str">
        <f t="shared" si="20"/>
        <v>2020-11-26</v>
      </c>
    </row>
    <row r="155" spans="1:15" x14ac:dyDescent="0.2">
      <c r="A155" s="21" t="str">
        <f t="shared" si="14"/>
        <v>y</v>
      </c>
      <c r="B155" s="24" t="s">
        <v>1626</v>
      </c>
      <c r="C155" t="s">
        <v>701</v>
      </c>
      <c r="D155" t="s">
        <v>13</v>
      </c>
      <c r="E155" t="s">
        <v>34</v>
      </c>
      <c r="F155" t="s">
        <v>2</v>
      </c>
      <c r="H155" t="s">
        <v>1966</v>
      </c>
      <c r="I155" s="22" t="str">
        <f t="shared" si="15"/>
        <v>2020-11-24</v>
      </c>
      <c r="J155" s="23" t="str">
        <f t="shared" si="16"/>
        <v>24</v>
      </c>
      <c r="K155" t="str">
        <f t="shared" si="17"/>
        <v>no</v>
      </c>
      <c r="L155">
        <v>24</v>
      </c>
      <c r="M155" t="str">
        <f t="shared" si="18"/>
        <v>2020-11-24</v>
      </c>
      <c r="N155" s="20">
        <f t="shared" si="19"/>
        <v>44160</v>
      </c>
      <c r="O155" t="str">
        <f t="shared" si="20"/>
        <v>2020-11-25</v>
      </c>
    </row>
    <row r="156" spans="1:15" x14ac:dyDescent="0.2">
      <c r="A156" s="21" t="str">
        <f t="shared" si="14"/>
        <v>y</v>
      </c>
      <c r="B156" s="24" t="s">
        <v>1626</v>
      </c>
      <c r="C156" t="s">
        <v>1423</v>
      </c>
      <c r="D156" t="s">
        <v>13</v>
      </c>
      <c r="E156" t="s">
        <v>27</v>
      </c>
      <c r="F156" t="s">
        <v>2</v>
      </c>
      <c r="G156" t="s">
        <v>1519</v>
      </c>
      <c r="H156" t="s">
        <v>1959</v>
      </c>
      <c r="I156" s="22" t="str">
        <f t="shared" si="15"/>
        <v>2020-11-24</v>
      </c>
      <c r="J156" s="23" t="str">
        <f t="shared" si="16"/>
        <v>24</v>
      </c>
      <c r="K156" t="str">
        <f t="shared" si="17"/>
        <v>no</v>
      </c>
      <c r="L156">
        <v>24</v>
      </c>
      <c r="M156" t="str">
        <f t="shared" si="18"/>
        <v>2020-11-24</v>
      </c>
      <c r="N156" s="20">
        <f t="shared" si="19"/>
        <v>44160</v>
      </c>
      <c r="O156" t="str">
        <f t="shared" si="20"/>
        <v>2020-11-25</v>
      </c>
    </row>
    <row r="157" spans="1:15" x14ac:dyDescent="0.2">
      <c r="A157" s="21" t="str">
        <f t="shared" si="14"/>
        <v>y</v>
      </c>
      <c r="B157" s="24" t="s">
        <v>1627</v>
      </c>
      <c r="C157" t="s">
        <v>701</v>
      </c>
      <c r="D157" t="s">
        <v>13</v>
      </c>
      <c r="E157" t="s">
        <v>34</v>
      </c>
      <c r="F157" t="s">
        <v>2</v>
      </c>
      <c r="H157" t="s">
        <v>1966</v>
      </c>
      <c r="I157" s="22" t="str">
        <f t="shared" si="15"/>
        <v>2020-11-23</v>
      </c>
      <c r="J157" s="23" t="str">
        <f t="shared" si="16"/>
        <v>23</v>
      </c>
      <c r="K157" t="str">
        <f t="shared" si="17"/>
        <v>no</v>
      </c>
      <c r="L157">
        <v>23</v>
      </c>
      <c r="M157" t="str">
        <f t="shared" si="18"/>
        <v>2020-11-23</v>
      </c>
      <c r="N157" s="20">
        <f t="shared" si="19"/>
        <v>44159</v>
      </c>
      <c r="O157" t="str">
        <f t="shared" si="20"/>
        <v>2020-11-24</v>
      </c>
    </row>
    <row r="158" spans="1:15" x14ac:dyDescent="0.2">
      <c r="A158" s="21" t="str">
        <f t="shared" si="14"/>
        <v>y</v>
      </c>
      <c r="B158" s="24" t="s">
        <v>1627</v>
      </c>
      <c r="C158" t="s">
        <v>1423</v>
      </c>
      <c r="D158" t="s">
        <v>13</v>
      </c>
      <c r="E158" t="s">
        <v>27</v>
      </c>
      <c r="F158" t="s">
        <v>2</v>
      </c>
      <c r="G158" t="s">
        <v>1518</v>
      </c>
      <c r="H158" t="s">
        <v>1959</v>
      </c>
      <c r="I158" s="22" t="str">
        <f t="shared" si="15"/>
        <v>2020-11-23</v>
      </c>
      <c r="J158" s="23" t="str">
        <f t="shared" si="16"/>
        <v>23</v>
      </c>
      <c r="K158" t="str">
        <f t="shared" si="17"/>
        <v>no</v>
      </c>
      <c r="L158">
        <v>23</v>
      </c>
      <c r="M158" t="str">
        <f t="shared" si="18"/>
        <v>2020-11-23</v>
      </c>
      <c r="N158" s="20">
        <f t="shared" si="19"/>
        <v>44159</v>
      </c>
      <c r="O158" t="str">
        <f t="shared" si="20"/>
        <v>2020-11-24</v>
      </c>
    </row>
    <row r="159" spans="1:15" x14ac:dyDescent="0.2">
      <c r="A159" s="21" t="str">
        <f t="shared" si="14"/>
        <v>y</v>
      </c>
      <c r="B159" s="24" t="s">
        <v>1627</v>
      </c>
      <c r="C159" t="s">
        <v>235</v>
      </c>
      <c r="D159" t="s">
        <v>13</v>
      </c>
      <c r="E159" t="s">
        <v>34</v>
      </c>
      <c r="F159" t="s">
        <v>29</v>
      </c>
      <c r="G159" t="s">
        <v>1516</v>
      </c>
      <c r="H159" t="s">
        <v>1958</v>
      </c>
      <c r="I159" s="22" t="str">
        <f t="shared" si="15"/>
        <v>2020-11-23</v>
      </c>
      <c r="J159" s="23" t="str">
        <f t="shared" si="16"/>
        <v>23</v>
      </c>
      <c r="K159" t="str">
        <f t="shared" si="17"/>
        <v>no</v>
      </c>
      <c r="L159">
        <v>23</v>
      </c>
      <c r="M159" t="str">
        <f t="shared" si="18"/>
        <v>2020-11-23</v>
      </c>
      <c r="N159" s="20" t="str">
        <f t="shared" si="19"/>
        <v>2020-11-23</v>
      </c>
      <c r="O159" t="str">
        <f t="shared" si="20"/>
        <v>2020-11-23</v>
      </c>
    </row>
    <row r="160" spans="1:15" x14ac:dyDescent="0.2">
      <c r="A160" s="21" t="str">
        <f t="shared" si="14"/>
        <v>y</v>
      </c>
      <c r="B160" s="24" t="s">
        <v>1627</v>
      </c>
      <c r="C160" t="s">
        <v>1501</v>
      </c>
      <c r="D160" t="s">
        <v>13</v>
      </c>
      <c r="E160" t="s">
        <v>27</v>
      </c>
      <c r="F160" t="s">
        <v>29</v>
      </c>
      <c r="G160" t="s">
        <v>1517</v>
      </c>
      <c r="H160" t="s">
        <v>1968</v>
      </c>
      <c r="I160" s="22" t="str">
        <f t="shared" si="15"/>
        <v>2020-11-23</v>
      </c>
      <c r="J160" s="23" t="str">
        <f t="shared" si="16"/>
        <v>23</v>
      </c>
      <c r="K160" t="str">
        <f t="shared" si="17"/>
        <v>no</v>
      </c>
      <c r="L160">
        <v>23</v>
      </c>
      <c r="M160" t="str">
        <f t="shared" si="18"/>
        <v>2020-11-23</v>
      </c>
      <c r="N160" s="20" t="str">
        <f t="shared" si="19"/>
        <v>2020-11-23</v>
      </c>
      <c r="O160" t="str">
        <f t="shared" si="20"/>
        <v>2020-11-23</v>
      </c>
    </row>
    <row r="161" spans="1:15" x14ac:dyDescent="0.2">
      <c r="A161" s="21" t="str">
        <f t="shared" si="14"/>
        <v>y</v>
      </c>
      <c r="B161" s="24" t="s">
        <v>1628</v>
      </c>
      <c r="C161" t="s">
        <v>701</v>
      </c>
      <c r="D161" t="s">
        <v>13</v>
      </c>
      <c r="E161" t="s">
        <v>34</v>
      </c>
      <c r="F161" t="s">
        <v>2</v>
      </c>
      <c r="H161" t="s">
        <v>1966</v>
      </c>
      <c r="I161" s="22" t="str">
        <f t="shared" si="15"/>
        <v>2020-11-22</v>
      </c>
      <c r="J161" s="23" t="str">
        <f t="shared" si="16"/>
        <v>22</v>
      </c>
      <c r="K161" t="str">
        <f t="shared" si="17"/>
        <v>no</v>
      </c>
      <c r="L161">
        <v>22</v>
      </c>
      <c r="M161" t="str">
        <f t="shared" si="18"/>
        <v>2020-11-22</v>
      </c>
      <c r="N161" s="20">
        <f t="shared" si="19"/>
        <v>44158</v>
      </c>
      <c r="O161" t="str">
        <f t="shared" si="20"/>
        <v>2020-11-23</v>
      </c>
    </row>
    <row r="162" spans="1:15" x14ac:dyDescent="0.2">
      <c r="A162" s="21" t="str">
        <f t="shared" si="14"/>
        <v>y</v>
      </c>
      <c r="B162" s="24" t="s">
        <v>1628</v>
      </c>
      <c r="C162" t="s">
        <v>1501</v>
      </c>
      <c r="D162" t="s">
        <v>13</v>
      </c>
      <c r="E162" t="s">
        <v>27</v>
      </c>
      <c r="F162" t="s">
        <v>29</v>
      </c>
      <c r="G162" t="s">
        <v>1515</v>
      </c>
      <c r="H162" t="s">
        <v>1968</v>
      </c>
      <c r="I162" s="22" t="str">
        <f t="shared" si="15"/>
        <v>2020-11-22</v>
      </c>
      <c r="J162" s="23" t="str">
        <f t="shared" si="16"/>
        <v>22</v>
      </c>
      <c r="K162" t="str">
        <f t="shared" si="17"/>
        <v>no</v>
      </c>
      <c r="L162">
        <v>22</v>
      </c>
      <c r="M162" t="str">
        <f t="shared" si="18"/>
        <v>2020-11-22</v>
      </c>
      <c r="N162" s="20" t="str">
        <f t="shared" si="19"/>
        <v>2020-11-22</v>
      </c>
      <c r="O162" t="str">
        <f t="shared" si="20"/>
        <v>2020-11-22</v>
      </c>
    </row>
    <row r="163" spans="1:15" x14ac:dyDescent="0.2">
      <c r="A163" s="21" t="str">
        <f t="shared" si="14"/>
        <v>y</v>
      </c>
      <c r="B163" s="24" t="s">
        <v>1628</v>
      </c>
      <c r="C163" t="s">
        <v>1423</v>
      </c>
      <c r="D163" t="s">
        <v>13</v>
      </c>
      <c r="E163" t="s">
        <v>27</v>
      </c>
      <c r="F163" t="s">
        <v>2</v>
      </c>
      <c r="H163" t="s">
        <v>1959</v>
      </c>
      <c r="I163" s="22" t="str">
        <f t="shared" si="15"/>
        <v>2020-11-22</v>
      </c>
      <c r="J163" s="23" t="str">
        <f t="shared" si="16"/>
        <v>22</v>
      </c>
      <c r="K163" t="str">
        <f t="shared" si="17"/>
        <v>no</v>
      </c>
      <c r="L163">
        <v>22</v>
      </c>
      <c r="M163" t="str">
        <f t="shared" si="18"/>
        <v>2020-11-22</v>
      </c>
      <c r="N163" s="20">
        <f t="shared" si="19"/>
        <v>44158</v>
      </c>
      <c r="O163" t="str">
        <f t="shared" si="20"/>
        <v>2020-11-23</v>
      </c>
    </row>
    <row r="164" spans="1:15" x14ac:dyDescent="0.2">
      <c r="A164" s="21" t="str">
        <f t="shared" si="14"/>
        <v>y</v>
      </c>
      <c r="B164" s="24" t="s">
        <v>1628</v>
      </c>
      <c r="C164" t="s">
        <v>235</v>
      </c>
      <c r="D164" t="s">
        <v>13</v>
      </c>
      <c r="E164" t="s">
        <v>34</v>
      </c>
      <c r="F164" t="s">
        <v>2</v>
      </c>
      <c r="H164" t="s">
        <v>1958</v>
      </c>
      <c r="I164" s="22" t="str">
        <f t="shared" si="15"/>
        <v>2020-11-22</v>
      </c>
      <c r="J164" s="23" t="str">
        <f t="shared" si="16"/>
        <v>22</v>
      </c>
      <c r="K164" t="str">
        <f t="shared" si="17"/>
        <v>no</v>
      </c>
      <c r="L164">
        <v>22</v>
      </c>
      <c r="M164" t="str">
        <f t="shared" si="18"/>
        <v>2020-11-22</v>
      </c>
      <c r="N164" s="20">
        <f t="shared" si="19"/>
        <v>44158</v>
      </c>
      <c r="O164" t="str">
        <f t="shared" si="20"/>
        <v>2020-11-23</v>
      </c>
    </row>
    <row r="165" spans="1:15" x14ac:dyDescent="0.2">
      <c r="A165" s="21" t="str">
        <f t="shared" si="14"/>
        <v>y</v>
      </c>
      <c r="B165" s="24" t="s">
        <v>1629</v>
      </c>
      <c r="C165" t="s">
        <v>701</v>
      </c>
      <c r="D165" t="s">
        <v>13</v>
      </c>
      <c r="E165" t="s">
        <v>34</v>
      </c>
      <c r="F165" t="s">
        <v>2</v>
      </c>
      <c r="H165" t="s">
        <v>1966</v>
      </c>
      <c r="I165" s="22" t="str">
        <f t="shared" si="15"/>
        <v>2020-11-21</v>
      </c>
      <c r="J165" s="23" t="str">
        <f t="shared" si="16"/>
        <v>21</v>
      </c>
      <c r="K165" t="str">
        <f t="shared" si="17"/>
        <v>no</v>
      </c>
      <c r="L165">
        <v>21</v>
      </c>
      <c r="M165" t="str">
        <f t="shared" si="18"/>
        <v>2020-11-21</v>
      </c>
      <c r="N165" s="20">
        <f t="shared" si="19"/>
        <v>44157</v>
      </c>
      <c r="O165" t="str">
        <f t="shared" si="20"/>
        <v>2020-11-22</v>
      </c>
    </row>
    <row r="166" spans="1:15" x14ac:dyDescent="0.2">
      <c r="A166" s="21" t="str">
        <f t="shared" si="14"/>
        <v>y</v>
      </c>
      <c r="B166" s="24" t="s">
        <v>1629</v>
      </c>
      <c r="C166" t="s">
        <v>1501</v>
      </c>
      <c r="D166" t="s">
        <v>13</v>
      </c>
      <c r="E166" t="s">
        <v>4</v>
      </c>
      <c r="F166" t="s">
        <v>29</v>
      </c>
      <c r="G166" t="s">
        <v>1512</v>
      </c>
      <c r="H166" t="s">
        <v>1968</v>
      </c>
      <c r="I166" s="22" t="str">
        <f t="shared" si="15"/>
        <v>2020-11-21</v>
      </c>
      <c r="J166" s="23" t="str">
        <f t="shared" si="16"/>
        <v>21</v>
      </c>
      <c r="K166" t="str">
        <f t="shared" si="17"/>
        <v>no</v>
      </c>
      <c r="L166">
        <v>21</v>
      </c>
      <c r="M166" t="str">
        <f t="shared" si="18"/>
        <v>2020-11-21</v>
      </c>
      <c r="N166" s="20" t="str">
        <f t="shared" si="19"/>
        <v>2020-11-21</v>
      </c>
      <c r="O166" t="str">
        <f t="shared" si="20"/>
        <v>2020-11-21</v>
      </c>
    </row>
    <row r="167" spans="1:15" x14ac:dyDescent="0.2">
      <c r="A167" s="21" t="str">
        <f t="shared" si="14"/>
        <v>y</v>
      </c>
      <c r="B167" s="24" t="s">
        <v>1629</v>
      </c>
      <c r="C167" t="s">
        <v>1423</v>
      </c>
      <c r="D167" t="s">
        <v>13</v>
      </c>
      <c r="E167" t="s">
        <v>27</v>
      </c>
      <c r="F167" t="s">
        <v>2</v>
      </c>
      <c r="G167" t="s">
        <v>1514</v>
      </c>
      <c r="H167" t="s">
        <v>1959</v>
      </c>
      <c r="I167" s="22" t="str">
        <f t="shared" si="15"/>
        <v>2020-11-21</v>
      </c>
      <c r="J167" s="23" t="str">
        <f t="shared" si="16"/>
        <v>21</v>
      </c>
      <c r="K167" t="str">
        <f t="shared" si="17"/>
        <v>no</v>
      </c>
      <c r="L167">
        <v>21</v>
      </c>
      <c r="M167" t="str">
        <f t="shared" si="18"/>
        <v>2020-11-21</v>
      </c>
      <c r="N167" s="20">
        <f t="shared" si="19"/>
        <v>44157</v>
      </c>
      <c r="O167" t="str">
        <f t="shared" si="20"/>
        <v>2020-11-22</v>
      </c>
    </row>
    <row r="168" spans="1:15" x14ac:dyDescent="0.2">
      <c r="A168" s="21" t="str">
        <f t="shared" si="14"/>
        <v>y</v>
      </c>
      <c r="B168" s="24" t="s">
        <v>1630</v>
      </c>
      <c r="C168" t="s">
        <v>235</v>
      </c>
      <c r="D168" t="s">
        <v>13</v>
      </c>
      <c r="E168" t="s">
        <v>34</v>
      </c>
      <c r="F168" t="s">
        <v>29</v>
      </c>
      <c r="G168" t="s">
        <v>1511</v>
      </c>
      <c r="H168" t="s">
        <v>1958</v>
      </c>
      <c r="I168" s="22" t="str">
        <f t="shared" si="15"/>
        <v>2020-11-19</v>
      </c>
      <c r="J168" s="23" t="str">
        <f t="shared" si="16"/>
        <v>19</v>
      </c>
      <c r="K168" t="str">
        <f t="shared" si="17"/>
        <v>no</v>
      </c>
      <c r="L168">
        <v>19</v>
      </c>
      <c r="M168" t="str">
        <f t="shared" si="18"/>
        <v>2020-11-19</v>
      </c>
      <c r="N168" s="20" t="str">
        <f t="shared" si="19"/>
        <v>2020-11-19</v>
      </c>
      <c r="O168" t="str">
        <f t="shared" si="20"/>
        <v>2020-11-19</v>
      </c>
    </row>
    <row r="169" spans="1:15" x14ac:dyDescent="0.2">
      <c r="A169" s="21" t="str">
        <f t="shared" si="14"/>
        <v>y</v>
      </c>
      <c r="B169" s="24" t="s">
        <v>1630</v>
      </c>
      <c r="C169" t="s">
        <v>235</v>
      </c>
      <c r="D169" t="s">
        <v>13</v>
      </c>
      <c r="E169" t="s">
        <v>34</v>
      </c>
      <c r="F169" t="s">
        <v>29</v>
      </c>
      <c r="G169" t="s">
        <v>1510</v>
      </c>
      <c r="H169" t="s">
        <v>1966</v>
      </c>
      <c r="I169" s="22" t="str">
        <f t="shared" si="15"/>
        <v>2020-11-19</v>
      </c>
      <c r="J169" s="23" t="str">
        <f t="shared" si="16"/>
        <v>19</v>
      </c>
      <c r="K169" t="str">
        <f t="shared" si="17"/>
        <v>no</v>
      </c>
      <c r="L169">
        <v>19</v>
      </c>
      <c r="M169" t="str">
        <f t="shared" si="18"/>
        <v>2020-11-19</v>
      </c>
      <c r="N169" s="20" t="str">
        <f t="shared" si="19"/>
        <v>2020-11-19</v>
      </c>
      <c r="O169" t="str">
        <f t="shared" si="20"/>
        <v>2020-11-19</v>
      </c>
    </row>
    <row r="170" spans="1:15" x14ac:dyDescent="0.2">
      <c r="A170" s="21" t="str">
        <f t="shared" si="14"/>
        <v>y</v>
      </c>
      <c r="B170" s="24" t="s">
        <v>1630</v>
      </c>
      <c r="C170" t="s">
        <v>701</v>
      </c>
      <c r="D170" t="s">
        <v>13</v>
      </c>
      <c r="E170" t="s">
        <v>34</v>
      </c>
      <c r="F170" t="s">
        <v>2</v>
      </c>
      <c r="G170" t="s">
        <v>1508</v>
      </c>
      <c r="H170" t="s">
        <v>1958</v>
      </c>
      <c r="I170" s="22" t="str">
        <f t="shared" si="15"/>
        <v>2020-11-19</v>
      </c>
      <c r="J170" s="23" t="str">
        <f t="shared" si="16"/>
        <v>19</v>
      </c>
      <c r="K170" t="str">
        <f t="shared" si="17"/>
        <v>no</v>
      </c>
      <c r="L170">
        <v>19</v>
      </c>
      <c r="M170" t="str">
        <f t="shared" si="18"/>
        <v>2020-11-19</v>
      </c>
      <c r="N170" s="20">
        <f t="shared" si="19"/>
        <v>44155</v>
      </c>
      <c r="O170" t="str">
        <f t="shared" si="20"/>
        <v>2020-11-20</v>
      </c>
    </row>
    <row r="171" spans="1:15" x14ac:dyDescent="0.2">
      <c r="A171" s="21" t="str">
        <f t="shared" si="14"/>
        <v>y</v>
      </c>
      <c r="B171" s="24" t="s">
        <v>1630</v>
      </c>
      <c r="C171" t="s">
        <v>1423</v>
      </c>
      <c r="D171" t="s">
        <v>13</v>
      </c>
      <c r="E171" t="s">
        <v>27</v>
      </c>
      <c r="F171" t="s">
        <v>29</v>
      </c>
      <c r="G171" t="s">
        <v>1513</v>
      </c>
      <c r="H171" t="s">
        <v>1959</v>
      </c>
      <c r="I171" s="22" t="str">
        <f t="shared" si="15"/>
        <v>2020-11-19</v>
      </c>
      <c r="J171" s="23" t="str">
        <f t="shared" si="16"/>
        <v>19</v>
      </c>
      <c r="K171" t="str">
        <f t="shared" si="17"/>
        <v>no</v>
      </c>
      <c r="L171">
        <v>19</v>
      </c>
      <c r="M171" t="str">
        <f t="shared" si="18"/>
        <v>2020-11-19</v>
      </c>
      <c r="N171" s="20" t="str">
        <f t="shared" si="19"/>
        <v>2020-11-19</v>
      </c>
      <c r="O171" t="str">
        <f t="shared" si="20"/>
        <v>2020-11-19</v>
      </c>
    </row>
    <row r="172" spans="1:15" x14ac:dyDescent="0.2">
      <c r="A172" s="21" t="str">
        <f t="shared" si="14"/>
        <v>y</v>
      </c>
      <c r="B172" s="24" t="s">
        <v>1631</v>
      </c>
      <c r="C172" t="s">
        <v>235</v>
      </c>
      <c r="D172" t="s">
        <v>13</v>
      </c>
      <c r="E172" t="s">
        <v>34</v>
      </c>
      <c r="F172" t="s">
        <v>2</v>
      </c>
      <c r="H172" t="s">
        <v>1958</v>
      </c>
      <c r="I172" s="22" t="str">
        <f t="shared" si="15"/>
        <v>2020-11-18</v>
      </c>
      <c r="J172" s="23" t="str">
        <f t="shared" si="16"/>
        <v>18</v>
      </c>
      <c r="K172" t="str">
        <f t="shared" si="17"/>
        <v>no</v>
      </c>
      <c r="L172">
        <v>18</v>
      </c>
      <c r="M172" t="str">
        <f t="shared" si="18"/>
        <v>2020-11-18</v>
      </c>
      <c r="N172" s="20">
        <f t="shared" si="19"/>
        <v>44154</v>
      </c>
      <c r="O172" t="str">
        <f t="shared" si="20"/>
        <v>2020-11-19</v>
      </c>
    </row>
    <row r="173" spans="1:15" x14ac:dyDescent="0.2">
      <c r="A173" s="21" t="str">
        <f t="shared" si="14"/>
        <v>y</v>
      </c>
      <c r="B173" s="24" t="s">
        <v>1631</v>
      </c>
      <c r="C173" t="s">
        <v>235</v>
      </c>
      <c r="D173" t="s">
        <v>13</v>
      </c>
      <c r="E173" t="s">
        <v>43</v>
      </c>
      <c r="F173" t="s">
        <v>29</v>
      </c>
      <c r="G173" t="s">
        <v>1509</v>
      </c>
      <c r="H173" t="s">
        <v>1958</v>
      </c>
      <c r="I173" s="22" t="str">
        <f t="shared" si="15"/>
        <v>2020-11-18</v>
      </c>
      <c r="J173" s="23" t="str">
        <f t="shared" si="16"/>
        <v>18</v>
      </c>
      <c r="K173" t="str">
        <f t="shared" si="17"/>
        <v>no</v>
      </c>
      <c r="L173">
        <v>18</v>
      </c>
      <c r="M173" t="str">
        <f t="shared" si="18"/>
        <v>2020-11-18</v>
      </c>
      <c r="N173" s="20" t="str">
        <f t="shared" si="19"/>
        <v>2020-11-18</v>
      </c>
      <c r="O173" t="str">
        <f t="shared" si="20"/>
        <v>2020-11-18</v>
      </c>
    </row>
    <row r="174" spans="1:15" x14ac:dyDescent="0.2">
      <c r="A174" s="21" t="str">
        <f t="shared" si="14"/>
        <v>y</v>
      </c>
      <c r="B174" s="24" t="s">
        <v>1631</v>
      </c>
      <c r="C174" t="s">
        <v>701</v>
      </c>
      <c r="D174" t="s">
        <v>13</v>
      </c>
      <c r="E174" t="s">
        <v>34</v>
      </c>
      <c r="F174" t="s">
        <v>2</v>
      </c>
      <c r="G174" t="s">
        <v>1508</v>
      </c>
      <c r="H174" t="s">
        <v>1966</v>
      </c>
      <c r="I174" s="22" t="str">
        <f t="shared" si="15"/>
        <v>2020-11-18</v>
      </c>
      <c r="J174" s="23" t="str">
        <f t="shared" si="16"/>
        <v>18</v>
      </c>
      <c r="K174" t="str">
        <f t="shared" si="17"/>
        <v>no</v>
      </c>
      <c r="L174">
        <v>18</v>
      </c>
      <c r="M174" t="str">
        <f t="shared" si="18"/>
        <v>2020-11-18</v>
      </c>
      <c r="N174" s="20">
        <f t="shared" si="19"/>
        <v>44154</v>
      </c>
      <c r="O174" t="str">
        <f t="shared" si="20"/>
        <v>2020-11-19</v>
      </c>
    </row>
    <row r="175" spans="1:15" x14ac:dyDescent="0.2">
      <c r="A175" s="21" t="str">
        <f t="shared" si="14"/>
        <v>y</v>
      </c>
      <c r="B175" s="24" t="s">
        <v>1631</v>
      </c>
      <c r="C175" t="s">
        <v>1501</v>
      </c>
      <c r="D175" t="s">
        <v>13</v>
      </c>
      <c r="E175" t="s">
        <v>49</v>
      </c>
      <c r="F175" t="s">
        <v>29</v>
      </c>
      <c r="G175" t="s">
        <v>1507</v>
      </c>
      <c r="H175" t="s">
        <v>1968</v>
      </c>
      <c r="I175" s="22" t="str">
        <f t="shared" si="15"/>
        <v>2020-11-18</v>
      </c>
      <c r="J175" s="23" t="str">
        <f t="shared" si="16"/>
        <v>18</v>
      </c>
      <c r="K175" t="str">
        <f t="shared" si="17"/>
        <v>no</v>
      </c>
      <c r="L175">
        <v>18</v>
      </c>
      <c r="M175" t="str">
        <f t="shared" si="18"/>
        <v>2020-11-18</v>
      </c>
      <c r="N175" s="20" t="str">
        <f t="shared" si="19"/>
        <v>2020-11-18</v>
      </c>
      <c r="O175" t="str">
        <f t="shared" si="20"/>
        <v>2020-11-18</v>
      </c>
    </row>
    <row r="176" spans="1:15" x14ac:dyDescent="0.2">
      <c r="A176" s="21" t="str">
        <f t="shared" si="14"/>
        <v>y</v>
      </c>
      <c r="B176" s="24" t="s">
        <v>1632</v>
      </c>
      <c r="C176" t="s">
        <v>235</v>
      </c>
      <c r="D176" t="s">
        <v>13</v>
      </c>
      <c r="E176" t="s">
        <v>34</v>
      </c>
      <c r="F176" t="s">
        <v>2</v>
      </c>
      <c r="G176" t="s">
        <v>1503</v>
      </c>
      <c r="H176" t="s">
        <v>1958</v>
      </c>
      <c r="I176" s="22" t="str">
        <f t="shared" si="15"/>
        <v>2020-11-17</v>
      </c>
      <c r="J176" s="23" t="str">
        <f t="shared" si="16"/>
        <v>17</v>
      </c>
      <c r="K176" t="str">
        <f t="shared" si="17"/>
        <v>no</v>
      </c>
      <c r="L176">
        <v>17</v>
      </c>
      <c r="M176" t="str">
        <f t="shared" si="18"/>
        <v>2020-11-17</v>
      </c>
      <c r="N176" s="20">
        <f t="shared" si="19"/>
        <v>44153</v>
      </c>
      <c r="O176" t="str">
        <f t="shared" si="20"/>
        <v>2020-11-18</v>
      </c>
    </row>
    <row r="177" spans="1:15" x14ac:dyDescent="0.2">
      <c r="A177" s="21" t="str">
        <f t="shared" si="14"/>
        <v>y</v>
      </c>
      <c r="B177" s="24" t="s">
        <v>1632</v>
      </c>
      <c r="C177" t="s">
        <v>235</v>
      </c>
      <c r="D177" t="s">
        <v>13</v>
      </c>
      <c r="E177" t="s">
        <v>43</v>
      </c>
      <c r="F177" t="s">
        <v>2</v>
      </c>
      <c r="G177" t="s">
        <v>1506</v>
      </c>
      <c r="H177" t="s">
        <v>1958</v>
      </c>
      <c r="I177" s="22" t="str">
        <f t="shared" si="15"/>
        <v>2020-11-17</v>
      </c>
      <c r="J177" s="23" t="str">
        <f t="shared" si="16"/>
        <v>17</v>
      </c>
      <c r="K177" t="str">
        <f t="shared" si="17"/>
        <v>no</v>
      </c>
      <c r="L177">
        <v>17</v>
      </c>
      <c r="M177" t="str">
        <f t="shared" si="18"/>
        <v>2020-11-17</v>
      </c>
      <c r="N177" s="20">
        <f t="shared" si="19"/>
        <v>44153</v>
      </c>
      <c r="O177" t="str">
        <f t="shared" si="20"/>
        <v>2020-11-18</v>
      </c>
    </row>
    <row r="178" spans="1:15" x14ac:dyDescent="0.2">
      <c r="A178" s="21" t="str">
        <f t="shared" si="14"/>
        <v>y</v>
      </c>
      <c r="B178" s="24" t="s">
        <v>1632</v>
      </c>
      <c r="C178" t="s">
        <v>701</v>
      </c>
      <c r="D178" t="s">
        <v>13</v>
      </c>
      <c r="E178" t="s">
        <v>34</v>
      </c>
      <c r="F178" t="s">
        <v>2</v>
      </c>
      <c r="G178" t="s">
        <v>1505</v>
      </c>
      <c r="H178" t="s">
        <v>1966</v>
      </c>
      <c r="I178" s="22" t="str">
        <f t="shared" si="15"/>
        <v>2020-11-17</v>
      </c>
      <c r="J178" s="23" t="str">
        <f t="shared" si="16"/>
        <v>17</v>
      </c>
      <c r="K178" t="str">
        <f t="shared" si="17"/>
        <v>no</v>
      </c>
      <c r="L178">
        <v>17</v>
      </c>
      <c r="M178" t="str">
        <f t="shared" si="18"/>
        <v>2020-11-17</v>
      </c>
      <c r="N178" s="20">
        <f t="shared" si="19"/>
        <v>44153</v>
      </c>
      <c r="O178" t="str">
        <f t="shared" si="20"/>
        <v>2020-11-18</v>
      </c>
    </row>
    <row r="179" spans="1:15" x14ac:dyDescent="0.2">
      <c r="A179" s="21" t="str">
        <f t="shared" si="14"/>
        <v>y</v>
      </c>
      <c r="B179" s="24" t="s">
        <v>1632</v>
      </c>
      <c r="C179" t="s">
        <v>1501</v>
      </c>
      <c r="D179" t="s">
        <v>13</v>
      </c>
      <c r="E179" t="s">
        <v>42</v>
      </c>
      <c r="F179" t="s">
        <v>29</v>
      </c>
      <c r="G179" t="s">
        <v>1502</v>
      </c>
      <c r="H179" t="s">
        <v>1968</v>
      </c>
      <c r="I179" s="22" t="str">
        <f t="shared" si="15"/>
        <v>2020-11-17</v>
      </c>
      <c r="J179" s="23" t="str">
        <f t="shared" si="16"/>
        <v>17</v>
      </c>
      <c r="K179" t="str">
        <f t="shared" si="17"/>
        <v>no</v>
      </c>
      <c r="L179">
        <v>17</v>
      </c>
      <c r="M179" t="str">
        <f t="shared" si="18"/>
        <v>2020-11-17</v>
      </c>
      <c r="N179" s="20" t="str">
        <f t="shared" si="19"/>
        <v>2020-11-17</v>
      </c>
      <c r="O179" t="str">
        <f t="shared" si="20"/>
        <v>2020-11-17</v>
      </c>
    </row>
    <row r="180" spans="1:15" x14ac:dyDescent="0.2">
      <c r="A180" s="21" t="str">
        <f t="shared" si="14"/>
        <v>y</v>
      </c>
      <c r="B180" s="24" t="s">
        <v>1632</v>
      </c>
      <c r="C180" t="s">
        <v>964</v>
      </c>
      <c r="D180" t="s">
        <v>13</v>
      </c>
      <c r="E180" t="s">
        <v>27</v>
      </c>
      <c r="F180" t="s">
        <v>29</v>
      </c>
      <c r="G180" t="s">
        <v>1504</v>
      </c>
      <c r="H180" t="s">
        <v>1962</v>
      </c>
      <c r="I180" s="22" t="str">
        <f t="shared" si="15"/>
        <v>2020-11-17</v>
      </c>
      <c r="J180" s="23" t="str">
        <f t="shared" si="16"/>
        <v>17</v>
      </c>
      <c r="K180" t="str">
        <f t="shared" si="17"/>
        <v>no</v>
      </c>
      <c r="L180">
        <v>17</v>
      </c>
      <c r="M180" t="str">
        <f t="shared" si="18"/>
        <v>2020-11-17</v>
      </c>
      <c r="N180" s="20" t="str">
        <f t="shared" si="19"/>
        <v>2020-11-17</v>
      </c>
      <c r="O180" t="str">
        <f t="shared" si="20"/>
        <v>2020-11-17</v>
      </c>
    </row>
    <row r="181" spans="1:15" x14ac:dyDescent="0.2">
      <c r="A181" s="21" t="str">
        <f t="shared" si="14"/>
        <v>y</v>
      </c>
      <c r="B181" s="24" t="s">
        <v>1632</v>
      </c>
      <c r="C181" t="s">
        <v>65</v>
      </c>
      <c r="D181" t="s">
        <v>13</v>
      </c>
      <c r="E181" t="s">
        <v>42</v>
      </c>
      <c r="F181" t="s">
        <v>29</v>
      </c>
      <c r="H181" t="s">
        <v>1969</v>
      </c>
      <c r="I181" s="22" t="str">
        <f t="shared" si="15"/>
        <v>2020-11-17</v>
      </c>
      <c r="J181" s="23" t="str">
        <f t="shared" si="16"/>
        <v>17</v>
      </c>
      <c r="K181" t="str">
        <f t="shared" si="17"/>
        <v>no</v>
      </c>
      <c r="L181">
        <v>17</v>
      </c>
      <c r="M181" t="str">
        <f t="shared" si="18"/>
        <v>2020-11-17</v>
      </c>
      <c r="N181" s="20" t="str">
        <f t="shared" si="19"/>
        <v>2020-11-17</v>
      </c>
      <c r="O181" t="str">
        <f t="shared" si="20"/>
        <v>2020-11-17</v>
      </c>
    </row>
    <row r="182" spans="1:15" x14ac:dyDescent="0.2">
      <c r="A182" s="21" t="str">
        <f t="shared" si="14"/>
        <v>y</v>
      </c>
      <c r="B182" s="24" t="s">
        <v>1633</v>
      </c>
      <c r="C182" t="s">
        <v>235</v>
      </c>
      <c r="D182" t="s">
        <v>13</v>
      </c>
      <c r="E182" t="s">
        <v>34</v>
      </c>
      <c r="F182" t="s">
        <v>2</v>
      </c>
      <c r="G182" t="s">
        <v>1503</v>
      </c>
      <c r="H182" t="s">
        <v>1958</v>
      </c>
      <c r="I182" s="22" t="str">
        <f t="shared" si="15"/>
        <v>2020-11-16</v>
      </c>
      <c r="J182" s="23" t="str">
        <f t="shared" si="16"/>
        <v>16</v>
      </c>
      <c r="K182" t="str">
        <f t="shared" si="17"/>
        <v>no</v>
      </c>
      <c r="L182">
        <v>16</v>
      </c>
      <c r="M182" t="str">
        <f t="shared" si="18"/>
        <v>2020-11-16</v>
      </c>
      <c r="N182" s="20">
        <f t="shared" si="19"/>
        <v>44152</v>
      </c>
      <c r="O182" t="str">
        <f t="shared" si="20"/>
        <v>2020-11-17</v>
      </c>
    </row>
    <row r="183" spans="1:15" x14ac:dyDescent="0.2">
      <c r="A183" s="21" t="str">
        <f t="shared" si="14"/>
        <v>y</v>
      </c>
      <c r="B183" s="24" t="s">
        <v>1633</v>
      </c>
      <c r="C183" t="s">
        <v>235</v>
      </c>
      <c r="D183" t="s">
        <v>13</v>
      </c>
      <c r="E183" t="s">
        <v>34</v>
      </c>
      <c r="F183" t="s">
        <v>2</v>
      </c>
      <c r="H183" t="s">
        <v>1958</v>
      </c>
      <c r="I183" s="22" t="str">
        <f t="shared" si="15"/>
        <v>2020-11-16</v>
      </c>
      <c r="J183" s="23" t="str">
        <f t="shared" si="16"/>
        <v>16</v>
      </c>
      <c r="K183" t="str">
        <f t="shared" si="17"/>
        <v>no</v>
      </c>
      <c r="L183">
        <v>16</v>
      </c>
      <c r="M183" t="str">
        <f t="shared" si="18"/>
        <v>2020-11-16</v>
      </c>
      <c r="N183" s="20">
        <f t="shared" si="19"/>
        <v>44152</v>
      </c>
      <c r="O183" t="str">
        <f t="shared" si="20"/>
        <v>2020-11-17</v>
      </c>
    </row>
    <row r="184" spans="1:15" x14ac:dyDescent="0.2">
      <c r="A184" s="21" t="str">
        <f t="shared" si="14"/>
        <v>y</v>
      </c>
      <c r="B184" s="24" t="s">
        <v>1633</v>
      </c>
      <c r="C184" t="s">
        <v>701</v>
      </c>
      <c r="D184" t="s">
        <v>13</v>
      </c>
      <c r="E184" t="s">
        <v>34</v>
      </c>
      <c r="F184" t="s">
        <v>2</v>
      </c>
      <c r="H184" t="s">
        <v>1966</v>
      </c>
      <c r="I184" s="22" t="str">
        <f t="shared" si="15"/>
        <v>2020-11-16</v>
      </c>
      <c r="J184" s="23" t="str">
        <f t="shared" si="16"/>
        <v>16</v>
      </c>
      <c r="K184" t="str">
        <f t="shared" si="17"/>
        <v>no</v>
      </c>
      <c r="L184">
        <v>16</v>
      </c>
      <c r="M184" t="str">
        <f t="shared" si="18"/>
        <v>2020-11-16</v>
      </c>
      <c r="N184" s="20">
        <f t="shared" si="19"/>
        <v>44152</v>
      </c>
      <c r="O184" t="str">
        <f t="shared" si="20"/>
        <v>2020-11-17</v>
      </c>
    </row>
    <row r="185" spans="1:15" x14ac:dyDescent="0.2">
      <c r="A185" s="21" t="str">
        <f t="shared" si="14"/>
        <v>y</v>
      </c>
      <c r="B185" s="24" t="s">
        <v>1633</v>
      </c>
      <c r="C185" t="s">
        <v>65</v>
      </c>
      <c r="D185" t="s">
        <v>13</v>
      </c>
      <c r="E185" t="s">
        <v>42</v>
      </c>
      <c r="F185" t="s">
        <v>29</v>
      </c>
      <c r="H185" t="s">
        <v>1969</v>
      </c>
      <c r="I185" s="22" t="str">
        <f t="shared" si="15"/>
        <v>2020-11-16</v>
      </c>
      <c r="J185" s="23" t="str">
        <f t="shared" si="16"/>
        <v>16</v>
      </c>
      <c r="K185" t="str">
        <f t="shared" si="17"/>
        <v>no</v>
      </c>
      <c r="L185">
        <v>16</v>
      </c>
      <c r="M185" t="str">
        <f t="shared" si="18"/>
        <v>2020-11-16</v>
      </c>
      <c r="N185" s="20" t="str">
        <f t="shared" si="19"/>
        <v>2020-11-16</v>
      </c>
      <c r="O185" t="str">
        <f t="shared" si="20"/>
        <v>2020-11-16</v>
      </c>
    </row>
    <row r="186" spans="1:15" x14ac:dyDescent="0.2">
      <c r="A186" s="21" t="str">
        <f t="shared" si="14"/>
        <v>y</v>
      </c>
      <c r="B186" s="24" t="s">
        <v>1634</v>
      </c>
      <c r="C186" t="s">
        <v>235</v>
      </c>
      <c r="D186" t="s">
        <v>13</v>
      </c>
      <c r="E186" t="s">
        <v>34</v>
      </c>
      <c r="F186" t="s">
        <v>2</v>
      </c>
      <c r="G186" t="s">
        <v>1500</v>
      </c>
      <c r="H186" t="s">
        <v>1958</v>
      </c>
      <c r="I186" s="22" t="str">
        <f t="shared" si="15"/>
        <v>2020-11-15</v>
      </c>
      <c r="J186" s="23" t="str">
        <f t="shared" si="16"/>
        <v>15</v>
      </c>
      <c r="K186" t="str">
        <f t="shared" si="17"/>
        <v>no</v>
      </c>
      <c r="L186">
        <v>15</v>
      </c>
      <c r="M186" t="str">
        <f t="shared" si="18"/>
        <v>2020-11-15</v>
      </c>
      <c r="N186" s="20">
        <f t="shared" si="19"/>
        <v>44151</v>
      </c>
      <c r="O186" t="str">
        <f t="shared" si="20"/>
        <v>2020-11-16</v>
      </c>
    </row>
    <row r="187" spans="1:15" x14ac:dyDescent="0.2">
      <c r="A187" s="21" t="str">
        <f t="shared" si="14"/>
        <v>y</v>
      </c>
      <c r="B187" s="24" t="s">
        <v>1634</v>
      </c>
      <c r="C187" t="s">
        <v>38</v>
      </c>
      <c r="D187" t="s">
        <v>13</v>
      </c>
      <c r="E187" t="s">
        <v>43</v>
      </c>
      <c r="F187" t="s">
        <v>2</v>
      </c>
      <c r="H187" t="s">
        <v>1946</v>
      </c>
      <c r="I187" s="22" t="str">
        <f t="shared" si="15"/>
        <v>2020-11-15</v>
      </c>
      <c r="J187" s="23" t="str">
        <f t="shared" si="16"/>
        <v>15</v>
      </c>
      <c r="K187" t="str">
        <f t="shared" si="17"/>
        <v>no</v>
      </c>
      <c r="L187">
        <v>15</v>
      </c>
      <c r="M187" t="str">
        <f t="shared" si="18"/>
        <v>2020-11-15</v>
      </c>
      <c r="N187" s="20">
        <f t="shared" si="19"/>
        <v>44151</v>
      </c>
      <c r="O187" t="str">
        <f t="shared" si="20"/>
        <v>2020-11-16</v>
      </c>
    </row>
    <row r="188" spans="1:15" x14ac:dyDescent="0.2">
      <c r="A188" s="21" t="str">
        <f t="shared" si="14"/>
        <v>y</v>
      </c>
      <c r="B188" s="24" t="s">
        <v>1634</v>
      </c>
      <c r="C188" t="s">
        <v>65</v>
      </c>
      <c r="D188" t="s">
        <v>13</v>
      </c>
      <c r="E188" t="s">
        <v>42</v>
      </c>
      <c r="F188" t="s">
        <v>29</v>
      </c>
      <c r="G188" t="s">
        <v>1499</v>
      </c>
      <c r="H188" t="s">
        <v>1969</v>
      </c>
      <c r="I188" s="22" t="str">
        <f t="shared" si="15"/>
        <v>2020-11-15</v>
      </c>
      <c r="J188" s="23" t="str">
        <f t="shared" si="16"/>
        <v>15</v>
      </c>
      <c r="K188" t="str">
        <f t="shared" si="17"/>
        <v>no</v>
      </c>
      <c r="L188">
        <v>15</v>
      </c>
      <c r="M188" t="str">
        <f t="shared" si="18"/>
        <v>2020-11-15</v>
      </c>
      <c r="N188" s="20" t="str">
        <f t="shared" si="19"/>
        <v>2020-11-15</v>
      </c>
      <c r="O188" t="str">
        <f t="shared" si="20"/>
        <v>2020-11-15</v>
      </c>
    </row>
    <row r="189" spans="1:15" x14ac:dyDescent="0.2">
      <c r="A189" s="21" t="str">
        <f t="shared" si="14"/>
        <v>y</v>
      </c>
      <c r="B189" s="24">
        <v>44176</v>
      </c>
      <c r="C189" t="s">
        <v>235</v>
      </c>
      <c r="D189" t="s">
        <v>13</v>
      </c>
      <c r="E189" t="s">
        <v>34</v>
      </c>
      <c r="F189" t="s">
        <v>2</v>
      </c>
      <c r="H189" t="s">
        <v>1958</v>
      </c>
      <c r="I189" s="22" t="str">
        <f t="shared" si="15"/>
        <v>2020-11-12</v>
      </c>
      <c r="J189" s="23" t="str">
        <f t="shared" si="16"/>
        <v>44</v>
      </c>
      <c r="K189" t="str">
        <f t="shared" si="17"/>
        <v>yes</v>
      </c>
      <c r="L189">
        <v>44</v>
      </c>
      <c r="M189" t="str">
        <f t="shared" si="18"/>
        <v>2020-11-12</v>
      </c>
      <c r="N189" s="20">
        <f t="shared" si="19"/>
        <v>44148</v>
      </c>
      <c r="O189" t="str">
        <f t="shared" si="20"/>
        <v>2020-11-13</v>
      </c>
    </row>
    <row r="190" spans="1:15" x14ac:dyDescent="0.2">
      <c r="A190" s="21" t="str">
        <f t="shared" si="14"/>
        <v>y</v>
      </c>
      <c r="B190" s="24">
        <v>44176</v>
      </c>
      <c r="C190" t="s">
        <v>38</v>
      </c>
      <c r="D190" t="s">
        <v>13</v>
      </c>
      <c r="E190" t="s">
        <v>43</v>
      </c>
      <c r="F190" t="s">
        <v>2</v>
      </c>
      <c r="H190" t="s">
        <v>1946</v>
      </c>
      <c r="I190" s="22" t="str">
        <f t="shared" si="15"/>
        <v>2020-11-12</v>
      </c>
      <c r="J190" s="23" t="str">
        <f t="shared" si="16"/>
        <v>44</v>
      </c>
      <c r="K190" t="str">
        <f t="shared" si="17"/>
        <v>yes</v>
      </c>
      <c r="L190">
        <v>44</v>
      </c>
      <c r="M190" t="str">
        <f t="shared" si="18"/>
        <v>2020-11-12</v>
      </c>
      <c r="N190" s="20">
        <f t="shared" si="19"/>
        <v>44148</v>
      </c>
      <c r="O190" t="str">
        <f t="shared" si="20"/>
        <v>2020-11-13</v>
      </c>
    </row>
    <row r="191" spans="1:15" x14ac:dyDescent="0.2">
      <c r="A191" s="21" t="str">
        <f t="shared" si="14"/>
        <v>y</v>
      </c>
      <c r="B191" s="24">
        <v>44146</v>
      </c>
      <c r="C191" t="s">
        <v>235</v>
      </c>
      <c r="D191" t="s">
        <v>13</v>
      </c>
      <c r="E191" t="s">
        <v>34</v>
      </c>
      <c r="F191" t="s">
        <v>2</v>
      </c>
      <c r="G191" t="s">
        <v>1497</v>
      </c>
      <c r="H191" t="s">
        <v>1958</v>
      </c>
      <c r="I191" s="22" t="str">
        <f t="shared" si="15"/>
        <v>2020-11-11</v>
      </c>
      <c r="J191" s="23" t="str">
        <f t="shared" si="16"/>
        <v>44</v>
      </c>
      <c r="K191" t="str">
        <f t="shared" si="17"/>
        <v>yes</v>
      </c>
      <c r="L191">
        <v>44</v>
      </c>
      <c r="M191" t="str">
        <f t="shared" si="18"/>
        <v>2020-11-11</v>
      </c>
      <c r="N191" s="20">
        <f t="shared" si="19"/>
        <v>44147</v>
      </c>
      <c r="O191" t="str">
        <f t="shared" si="20"/>
        <v>2020-11-12</v>
      </c>
    </row>
    <row r="192" spans="1:15" x14ac:dyDescent="0.2">
      <c r="A192" s="21" t="str">
        <f t="shared" si="14"/>
        <v>y</v>
      </c>
      <c r="B192" s="24">
        <v>44146</v>
      </c>
      <c r="C192" t="s">
        <v>38</v>
      </c>
      <c r="D192" t="s">
        <v>13</v>
      </c>
      <c r="E192" t="s">
        <v>43</v>
      </c>
      <c r="F192" t="s">
        <v>2</v>
      </c>
      <c r="G192" t="s">
        <v>1498</v>
      </c>
      <c r="H192" t="s">
        <v>1946</v>
      </c>
      <c r="I192" s="22" t="str">
        <f t="shared" si="15"/>
        <v>2020-11-11</v>
      </c>
      <c r="J192" s="23" t="str">
        <f t="shared" si="16"/>
        <v>44</v>
      </c>
      <c r="K192" t="str">
        <f t="shared" si="17"/>
        <v>yes</v>
      </c>
      <c r="L192">
        <v>44</v>
      </c>
      <c r="M192" t="str">
        <f t="shared" si="18"/>
        <v>2020-11-11</v>
      </c>
      <c r="N192" s="20">
        <f t="shared" si="19"/>
        <v>44147</v>
      </c>
      <c r="O192" t="str">
        <f t="shared" si="20"/>
        <v>2020-11-12</v>
      </c>
    </row>
    <row r="193" spans="1:15" x14ac:dyDescent="0.2">
      <c r="A193" s="21" t="str">
        <f t="shared" si="14"/>
        <v>y</v>
      </c>
      <c r="B193" s="24">
        <v>44115</v>
      </c>
      <c r="C193" t="s">
        <v>235</v>
      </c>
      <c r="D193" t="s">
        <v>13</v>
      </c>
      <c r="E193" t="s">
        <v>34</v>
      </c>
      <c r="F193" t="s">
        <v>29</v>
      </c>
      <c r="G193" t="s">
        <v>1495</v>
      </c>
      <c r="H193" t="s">
        <v>1958</v>
      </c>
      <c r="I193" s="22" t="str">
        <f t="shared" si="15"/>
        <v>2020-11-10</v>
      </c>
      <c r="J193" s="23" t="str">
        <f t="shared" si="16"/>
        <v>44</v>
      </c>
      <c r="K193" t="str">
        <f t="shared" si="17"/>
        <v>yes</v>
      </c>
      <c r="L193">
        <v>44</v>
      </c>
      <c r="M193" t="str">
        <f t="shared" si="18"/>
        <v>2020-11-10</v>
      </c>
      <c r="N193" s="20" t="str">
        <f t="shared" si="19"/>
        <v>2020-11-10</v>
      </c>
      <c r="O193" t="str">
        <f t="shared" si="20"/>
        <v>2020-11-10</v>
      </c>
    </row>
    <row r="194" spans="1:15" x14ac:dyDescent="0.2">
      <c r="A194" s="21" t="str">
        <f t="shared" si="14"/>
        <v>y</v>
      </c>
      <c r="B194" s="24">
        <v>44115</v>
      </c>
      <c r="C194" t="s">
        <v>235</v>
      </c>
      <c r="D194" t="s">
        <v>13</v>
      </c>
      <c r="E194" t="s">
        <v>34</v>
      </c>
      <c r="F194" t="s">
        <v>29</v>
      </c>
      <c r="G194" t="s">
        <v>1496</v>
      </c>
      <c r="H194" t="s">
        <v>1958</v>
      </c>
      <c r="I194" s="22" t="str">
        <f t="shared" si="15"/>
        <v>2020-11-10</v>
      </c>
      <c r="J194" s="23" t="str">
        <f t="shared" si="16"/>
        <v>44</v>
      </c>
      <c r="K194" t="str">
        <f t="shared" si="17"/>
        <v>yes</v>
      </c>
      <c r="L194">
        <v>44</v>
      </c>
      <c r="M194" t="str">
        <f t="shared" si="18"/>
        <v>2020-11-10</v>
      </c>
      <c r="N194" s="20" t="str">
        <f t="shared" si="19"/>
        <v>2020-11-10</v>
      </c>
      <c r="O194" t="str">
        <f t="shared" si="20"/>
        <v>2020-11-10</v>
      </c>
    </row>
    <row r="195" spans="1:15" x14ac:dyDescent="0.2">
      <c r="A195" s="21" t="str">
        <f t="shared" si="14"/>
        <v>y</v>
      </c>
      <c r="B195" s="24">
        <v>44085</v>
      </c>
      <c r="C195" t="s">
        <v>235</v>
      </c>
      <c r="D195" t="s">
        <v>13</v>
      </c>
      <c r="E195" t="s">
        <v>34</v>
      </c>
      <c r="F195" t="s">
        <v>2</v>
      </c>
      <c r="H195" t="s">
        <v>1958</v>
      </c>
      <c r="I195" s="22" t="str">
        <f t="shared" si="15"/>
        <v>2020-11-09</v>
      </c>
      <c r="J195" s="23" t="str">
        <f t="shared" si="16"/>
        <v>44</v>
      </c>
      <c r="K195" t="str">
        <f t="shared" si="17"/>
        <v>yes</v>
      </c>
      <c r="L195">
        <v>44</v>
      </c>
      <c r="M195" t="str">
        <f t="shared" si="18"/>
        <v>2020-11-09</v>
      </c>
      <c r="N195" s="20">
        <f t="shared" si="19"/>
        <v>44145</v>
      </c>
      <c r="O195" t="str">
        <f t="shared" si="20"/>
        <v>2020-11-10</v>
      </c>
    </row>
    <row r="196" spans="1:15" x14ac:dyDescent="0.2">
      <c r="A196" s="21" t="str">
        <f t="shared" ref="A196:A259" si="21">IF(LEFT(B196,2)&gt;12,"y","-")</f>
        <v>y</v>
      </c>
      <c r="B196" s="24">
        <v>44085</v>
      </c>
      <c r="C196" t="s">
        <v>235</v>
      </c>
      <c r="D196" t="s">
        <v>13</v>
      </c>
      <c r="E196" t="s">
        <v>34</v>
      </c>
      <c r="F196" t="s">
        <v>2</v>
      </c>
      <c r="H196" t="s">
        <v>1958</v>
      </c>
      <c r="I196" s="22" t="str">
        <f t="shared" ref="I196:I259" si="22">IF(K196="yes",TEXT(B196,"YYYY-DD-MM"),TEXT(B196,"YYYY-MM-DD"))</f>
        <v>2020-11-09</v>
      </c>
      <c r="J196" s="23" t="str">
        <f t="shared" ref="J196:J259" si="23">LEFT(B196,2)</f>
        <v>44</v>
      </c>
      <c r="K196" t="str">
        <f t="shared" ref="K196:K259" si="24">IF(L196&gt;31,"yes","no")</f>
        <v>yes</v>
      </c>
      <c r="L196">
        <v>44</v>
      </c>
      <c r="M196" t="str">
        <f t="shared" ref="M196:M259" si="25">I196</f>
        <v>2020-11-09</v>
      </c>
      <c r="N196" s="20">
        <f t="shared" ref="N196:N259" si="26">IF(F196="DONE",M196,M196+1)</f>
        <v>44145</v>
      </c>
      <c r="O196" t="str">
        <f t="shared" ref="O196:O259" si="27">TEXT(N196,"YYYY-MM-DD")</f>
        <v>2020-11-10</v>
      </c>
    </row>
    <row r="197" spans="1:15" x14ac:dyDescent="0.2">
      <c r="A197" s="21" t="str">
        <f t="shared" si="21"/>
        <v>y</v>
      </c>
      <c r="B197" s="24">
        <v>44085</v>
      </c>
      <c r="C197" t="s">
        <v>964</v>
      </c>
      <c r="D197" t="s">
        <v>13</v>
      </c>
      <c r="E197" t="s">
        <v>49</v>
      </c>
      <c r="F197" t="s">
        <v>29</v>
      </c>
      <c r="G197" t="s">
        <v>1494</v>
      </c>
      <c r="H197" t="s">
        <v>1962</v>
      </c>
      <c r="I197" s="22" t="str">
        <f t="shared" si="22"/>
        <v>2020-11-09</v>
      </c>
      <c r="J197" s="23" t="str">
        <f t="shared" si="23"/>
        <v>44</v>
      </c>
      <c r="K197" t="str">
        <f t="shared" si="24"/>
        <v>yes</v>
      </c>
      <c r="L197">
        <v>44</v>
      </c>
      <c r="M197" t="str">
        <f t="shared" si="25"/>
        <v>2020-11-09</v>
      </c>
      <c r="N197" s="20" t="str">
        <f t="shared" si="26"/>
        <v>2020-11-09</v>
      </c>
      <c r="O197" t="str">
        <f t="shared" si="27"/>
        <v>2020-11-09</v>
      </c>
    </row>
    <row r="198" spans="1:15" x14ac:dyDescent="0.2">
      <c r="A198" s="21" t="str">
        <f t="shared" si="21"/>
        <v>y</v>
      </c>
      <c r="B198" s="24">
        <v>44054</v>
      </c>
      <c r="C198" t="s">
        <v>235</v>
      </c>
      <c r="D198" t="s">
        <v>13</v>
      </c>
      <c r="E198" t="s">
        <v>34</v>
      </c>
      <c r="F198" t="s">
        <v>2</v>
      </c>
      <c r="G198" t="s">
        <v>1491</v>
      </c>
      <c r="H198" t="s">
        <v>1958</v>
      </c>
      <c r="I198" s="22" t="str">
        <f t="shared" si="22"/>
        <v>2020-11-08</v>
      </c>
      <c r="J198" s="23" t="str">
        <f t="shared" si="23"/>
        <v>44</v>
      </c>
      <c r="K198" t="str">
        <f t="shared" si="24"/>
        <v>yes</v>
      </c>
      <c r="L198">
        <v>44</v>
      </c>
      <c r="M198" t="str">
        <f t="shared" si="25"/>
        <v>2020-11-08</v>
      </c>
      <c r="N198" s="20">
        <f t="shared" si="26"/>
        <v>44144</v>
      </c>
      <c r="O198" t="str">
        <f t="shared" si="27"/>
        <v>2020-11-09</v>
      </c>
    </row>
    <row r="199" spans="1:15" x14ac:dyDescent="0.2">
      <c r="A199" s="21" t="str">
        <f t="shared" si="21"/>
        <v>y</v>
      </c>
      <c r="B199" s="24">
        <v>44054</v>
      </c>
      <c r="C199" t="s">
        <v>235</v>
      </c>
      <c r="D199" t="s">
        <v>13</v>
      </c>
      <c r="E199" t="s">
        <v>34</v>
      </c>
      <c r="F199" t="s">
        <v>2</v>
      </c>
      <c r="G199" t="s">
        <v>1493</v>
      </c>
      <c r="H199" t="s">
        <v>1962</v>
      </c>
      <c r="I199" s="22" t="str">
        <f t="shared" si="22"/>
        <v>2020-11-08</v>
      </c>
      <c r="J199" s="23" t="str">
        <f t="shared" si="23"/>
        <v>44</v>
      </c>
      <c r="K199" t="str">
        <f t="shared" si="24"/>
        <v>yes</v>
      </c>
      <c r="L199">
        <v>44</v>
      </c>
      <c r="M199" t="str">
        <f t="shared" si="25"/>
        <v>2020-11-08</v>
      </c>
      <c r="N199" s="20">
        <f t="shared" si="26"/>
        <v>44144</v>
      </c>
      <c r="O199" t="str">
        <f t="shared" si="27"/>
        <v>2020-11-09</v>
      </c>
    </row>
    <row r="200" spans="1:15" x14ac:dyDescent="0.2">
      <c r="A200" s="21" t="str">
        <f t="shared" si="21"/>
        <v>y</v>
      </c>
      <c r="B200" s="24">
        <v>44054</v>
      </c>
      <c r="C200" t="s">
        <v>964</v>
      </c>
      <c r="D200" t="s">
        <v>13</v>
      </c>
      <c r="E200" t="s">
        <v>27</v>
      </c>
      <c r="F200" t="s">
        <v>29</v>
      </c>
      <c r="G200" t="s">
        <v>1492</v>
      </c>
      <c r="H200" t="s">
        <v>1958</v>
      </c>
      <c r="I200" s="22" t="str">
        <f t="shared" si="22"/>
        <v>2020-11-08</v>
      </c>
      <c r="J200" s="23" t="str">
        <f t="shared" si="23"/>
        <v>44</v>
      </c>
      <c r="K200" t="str">
        <f t="shared" si="24"/>
        <v>yes</v>
      </c>
      <c r="L200">
        <v>44</v>
      </c>
      <c r="M200" t="str">
        <f t="shared" si="25"/>
        <v>2020-11-08</v>
      </c>
      <c r="N200" s="20" t="str">
        <f t="shared" si="26"/>
        <v>2020-11-08</v>
      </c>
      <c r="O200" t="str">
        <f t="shared" si="27"/>
        <v>2020-11-08</v>
      </c>
    </row>
    <row r="201" spans="1:15" x14ac:dyDescent="0.2">
      <c r="A201" s="21" t="str">
        <f t="shared" si="21"/>
        <v>y</v>
      </c>
      <c r="B201" s="24">
        <v>43962</v>
      </c>
      <c r="C201" t="s">
        <v>235</v>
      </c>
      <c r="D201" t="s">
        <v>13</v>
      </c>
      <c r="E201" t="s">
        <v>34</v>
      </c>
      <c r="F201" t="s">
        <v>29</v>
      </c>
      <c r="G201" t="s">
        <v>1490</v>
      </c>
      <c r="H201" t="s">
        <v>1958</v>
      </c>
      <c r="I201" s="22" t="str">
        <f t="shared" si="22"/>
        <v>2020-11-05</v>
      </c>
      <c r="J201" s="23" t="str">
        <f t="shared" si="23"/>
        <v>43</v>
      </c>
      <c r="K201" t="str">
        <f t="shared" si="24"/>
        <v>yes</v>
      </c>
      <c r="L201">
        <v>43</v>
      </c>
      <c r="M201" t="str">
        <f t="shared" si="25"/>
        <v>2020-11-05</v>
      </c>
      <c r="N201" s="20" t="str">
        <f t="shared" si="26"/>
        <v>2020-11-05</v>
      </c>
      <c r="O201" t="str">
        <f t="shared" si="27"/>
        <v>2020-11-05</v>
      </c>
    </row>
    <row r="202" spans="1:15" x14ac:dyDescent="0.2">
      <c r="A202" s="21" t="str">
        <f t="shared" si="21"/>
        <v>y</v>
      </c>
      <c r="B202" s="24">
        <v>43962</v>
      </c>
      <c r="C202" t="s">
        <v>964</v>
      </c>
      <c r="D202" t="s">
        <v>13</v>
      </c>
      <c r="E202" t="s">
        <v>27</v>
      </c>
      <c r="F202" t="s">
        <v>2</v>
      </c>
      <c r="G202" t="s">
        <v>1489</v>
      </c>
      <c r="H202" t="s">
        <v>1962</v>
      </c>
      <c r="I202" s="22" t="str">
        <f t="shared" si="22"/>
        <v>2020-11-05</v>
      </c>
      <c r="J202" s="23" t="str">
        <f t="shared" si="23"/>
        <v>43</v>
      </c>
      <c r="K202" t="str">
        <f t="shared" si="24"/>
        <v>yes</v>
      </c>
      <c r="L202">
        <v>43</v>
      </c>
      <c r="M202" t="str">
        <f t="shared" si="25"/>
        <v>2020-11-05</v>
      </c>
      <c r="N202" s="20">
        <f t="shared" si="26"/>
        <v>44141</v>
      </c>
      <c r="O202" t="str">
        <f t="shared" si="27"/>
        <v>2020-11-06</v>
      </c>
    </row>
    <row r="203" spans="1:15" x14ac:dyDescent="0.2">
      <c r="A203" s="21" t="str">
        <f t="shared" si="21"/>
        <v>y</v>
      </c>
      <c r="B203" s="24">
        <v>43932</v>
      </c>
      <c r="C203" t="s">
        <v>235</v>
      </c>
      <c r="D203" t="s">
        <v>13</v>
      </c>
      <c r="E203" t="s">
        <v>34</v>
      </c>
      <c r="F203" t="s">
        <v>2</v>
      </c>
      <c r="H203" t="s">
        <v>1958</v>
      </c>
      <c r="I203" s="22" t="str">
        <f t="shared" si="22"/>
        <v>2020-11-04</v>
      </c>
      <c r="J203" s="23" t="str">
        <f t="shared" si="23"/>
        <v>43</v>
      </c>
      <c r="K203" t="str">
        <f t="shared" si="24"/>
        <v>yes</v>
      </c>
      <c r="L203">
        <v>43</v>
      </c>
      <c r="M203" t="str">
        <f t="shared" si="25"/>
        <v>2020-11-04</v>
      </c>
      <c r="N203" s="20">
        <f t="shared" si="26"/>
        <v>44140</v>
      </c>
      <c r="O203" t="str">
        <f t="shared" si="27"/>
        <v>2020-11-05</v>
      </c>
    </row>
    <row r="204" spans="1:15" x14ac:dyDescent="0.2">
      <c r="A204" s="21" t="str">
        <f t="shared" si="21"/>
        <v>y</v>
      </c>
      <c r="B204" s="24">
        <v>43932</v>
      </c>
      <c r="C204" t="s">
        <v>964</v>
      </c>
      <c r="D204" t="s">
        <v>13</v>
      </c>
      <c r="E204" t="s">
        <v>27</v>
      </c>
      <c r="F204" t="s">
        <v>2</v>
      </c>
      <c r="G204" t="s">
        <v>1488</v>
      </c>
      <c r="H204" t="s">
        <v>1962</v>
      </c>
      <c r="I204" s="22" t="str">
        <f t="shared" si="22"/>
        <v>2020-11-04</v>
      </c>
      <c r="J204" s="23" t="str">
        <f t="shared" si="23"/>
        <v>43</v>
      </c>
      <c r="K204" t="str">
        <f t="shared" si="24"/>
        <v>yes</v>
      </c>
      <c r="L204">
        <v>43</v>
      </c>
      <c r="M204" t="str">
        <f t="shared" si="25"/>
        <v>2020-11-04</v>
      </c>
      <c r="N204" s="20">
        <f t="shared" si="26"/>
        <v>44140</v>
      </c>
      <c r="O204" t="str">
        <f t="shared" si="27"/>
        <v>2020-11-05</v>
      </c>
    </row>
    <row r="205" spans="1:15" x14ac:dyDescent="0.2">
      <c r="A205" s="21" t="str">
        <f t="shared" si="21"/>
        <v>y</v>
      </c>
      <c r="B205" s="24">
        <v>43901</v>
      </c>
      <c r="C205" t="s">
        <v>235</v>
      </c>
      <c r="D205" t="s">
        <v>13</v>
      </c>
      <c r="E205" t="s">
        <v>34</v>
      </c>
      <c r="F205" t="s">
        <v>2</v>
      </c>
      <c r="H205" t="s">
        <v>1958</v>
      </c>
      <c r="I205" s="22" t="str">
        <f t="shared" si="22"/>
        <v>2020-11-03</v>
      </c>
      <c r="J205" s="23" t="str">
        <f t="shared" si="23"/>
        <v>43</v>
      </c>
      <c r="K205" t="str">
        <f t="shared" si="24"/>
        <v>yes</v>
      </c>
      <c r="L205">
        <v>43</v>
      </c>
      <c r="M205" t="str">
        <f t="shared" si="25"/>
        <v>2020-11-03</v>
      </c>
      <c r="N205" s="20">
        <f t="shared" si="26"/>
        <v>44139</v>
      </c>
      <c r="O205" t="str">
        <f t="shared" si="27"/>
        <v>2020-11-04</v>
      </c>
    </row>
    <row r="206" spans="1:15" x14ac:dyDescent="0.2">
      <c r="A206" s="21" t="str">
        <f t="shared" si="21"/>
        <v>y</v>
      </c>
      <c r="B206" s="24">
        <v>43901</v>
      </c>
      <c r="C206" t="s">
        <v>235</v>
      </c>
      <c r="D206" t="s">
        <v>13</v>
      </c>
      <c r="E206" t="s">
        <v>34</v>
      </c>
      <c r="F206" t="s">
        <v>29</v>
      </c>
      <c r="G206" t="s">
        <v>1487</v>
      </c>
      <c r="H206" t="s">
        <v>1958</v>
      </c>
      <c r="I206" s="22" t="str">
        <f t="shared" si="22"/>
        <v>2020-11-03</v>
      </c>
      <c r="J206" s="23" t="str">
        <f t="shared" si="23"/>
        <v>43</v>
      </c>
      <c r="K206" t="str">
        <f t="shared" si="24"/>
        <v>yes</v>
      </c>
      <c r="L206">
        <v>43</v>
      </c>
      <c r="M206" t="str">
        <f t="shared" si="25"/>
        <v>2020-11-03</v>
      </c>
      <c r="N206" s="20" t="str">
        <f t="shared" si="26"/>
        <v>2020-11-03</v>
      </c>
      <c r="O206" t="str">
        <f t="shared" si="27"/>
        <v>2020-11-03</v>
      </c>
    </row>
    <row r="207" spans="1:15" x14ac:dyDescent="0.2">
      <c r="A207" s="21" t="str">
        <f t="shared" si="21"/>
        <v>y</v>
      </c>
      <c r="B207" s="24">
        <v>43901</v>
      </c>
      <c r="C207" t="s">
        <v>1192</v>
      </c>
      <c r="D207" t="s">
        <v>13</v>
      </c>
      <c r="E207" t="s">
        <v>27</v>
      </c>
      <c r="F207" t="s">
        <v>29</v>
      </c>
      <c r="G207" t="s">
        <v>1485</v>
      </c>
      <c r="H207" t="s">
        <v>1970</v>
      </c>
      <c r="I207" s="22" t="str">
        <f t="shared" si="22"/>
        <v>2020-11-03</v>
      </c>
      <c r="J207" s="23" t="str">
        <f t="shared" si="23"/>
        <v>43</v>
      </c>
      <c r="K207" t="str">
        <f t="shared" si="24"/>
        <v>yes</v>
      </c>
      <c r="L207">
        <v>43</v>
      </c>
      <c r="M207" t="str">
        <f t="shared" si="25"/>
        <v>2020-11-03</v>
      </c>
      <c r="N207" s="20" t="str">
        <f t="shared" si="26"/>
        <v>2020-11-03</v>
      </c>
      <c r="O207" t="str">
        <f t="shared" si="27"/>
        <v>2020-11-03</v>
      </c>
    </row>
    <row r="208" spans="1:15" x14ac:dyDescent="0.2">
      <c r="A208" s="21" t="str">
        <f t="shared" si="21"/>
        <v>y</v>
      </c>
      <c r="B208" s="24">
        <v>43901</v>
      </c>
      <c r="C208" t="s">
        <v>1423</v>
      </c>
      <c r="D208" t="s">
        <v>13</v>
      </c>
      <c r="E208" t="s">
        <v>27</v>
      </c>
      <c r="F208" t="s">
        <v>29</v>
      </c>
      <c r="G208" t="s">
        <v>1486</v>
      </c>
      <c r="H208" t="s">
        <v>1959</v>
      </c>
      <c r="I208" s="22" t="str">
        <f t="shared" si="22"/>
        <v>2020-11-03</v>
      </c>
      <c r="J208" s="23" t="str">
        <f t="shared" si="23"/>
        <v>43</v>
      </c>
      <c r="K208" t="str">
        <f t="shared" si="24"/>
        <v>yes</v>
      </c>
      <c r="L208">
        <v>43</v>
      </c>
      <c r="M208" t="str">
        <f t="shared" si="25"/>
        <v>2020-11-03</v>
      </c>
      <c r="N208" s="20" t="str">
        <f t="shared" si="26"/>
        <v>2020-11-03</v>
      </c>
      <c r="O208" t="str">
        <f t="shared" si="27"/>
        <v>2020-11-03</v>
      </c>
    </row>
    <row r="209" spans="1:15" x14ac:dyDescent="0.2">
      <c r="A209" s="21" t="str">
        <f t="shared" si="21"/>
        <v>y</v>
      </c>
      <c r="B209" s="24">
        <v>43901</v>
      </c>
      <c r="C209" t="s">
        <v>964</v>
      </c>
      <c r="D209" t="s">
        <v>13</v>
      </c>
      <c r="E209" t="s">
        <v>27</v>
      </c>
      <c r="F209" t="s">
        <v>2</v>
      </c>
      <c r="G209" t="s">
        <v>1484</v>
      </c>
      <c r="H209" t="s">
        <v>1962</v>
      </c>
      <c r="I209" s="22" t="str">
        <f t="shared" si="22"/>
        <v>2020-11-03</v>
      </c>
      <c r="J209" s="23" t="str">
        <f t="shared" si="23"/>
        <v>43</v>
      </c>
      <c r="K209" t="str">
        <f t="shared" si="24"/>
        <v>yes</v>
      </c>
      <c r="L209">
        <v>43</v>
      </c>
      <c r="M209" t="str">
        <f t="shared" si="25"/>
        <v>2020-11-03</v>
      </c>
      <c r="N209" s="20">
        <f t="shared" si="26"/>
        <v>44139</v>
      </c>
      <c r="O209" t="str">
        <f t="shared" si="27"/>
        <v>2020-11-04</v>
      </c>
    </row>
    <row r="210" spans="1:15" x14ac:dyDescent="0.2">
      <c r="A210" s="21" t="str">
        <f t="shared" si="21"/>
        <v>y</v>
      </c>
      <c r="B210" s="24">
        <v>43872</v>
      </c>
      <c r="C210" t="s">
        <v>235</v>
      </c>
      <c r="D210" t="s">
        <v>13</v>
      </c>
      <c r="E210" t="s">
        <v>34</v>
      </c>
      <c r="F210" t="s">
        <v>2</v>
      </c>
      <c r="G210" t="s">
        <v>1481</v>
      </c>
      <c r="H210" t="s">
        <v>1958</v>
      </c>
      <c r="I210" s="22" t="str">
        <f t="shared" si="22"/>
        <v>2020-11-02</v>
      </c>
      <c r="J210" s="23" t="str">
        <f t="shared" si="23"/>
        <v>43</v>
      </c>
      <c r="K210" t="str">
        <f t="shared" si="24"/>
        <v>yes</v>
      </c>
      <c r="L210">
        <v>43</v>
      </c>
      <c r="M210" t="str">
        <f t="shared" si="25"/>
        <v>2020-11-02</v>
      </c>
      <c r="N210" s="20">
        <f t="shared" si="26"/>
        <v>44138</v>
      </c>
      <c r="O210" t="str">
        <f t="shared" si="27"/>
        <v>2020-11-03</v>
      </c>
    </row>
    <row r="211" spans="1:15" x14ac:dyDescent="0.2">
      <c r="A211" s="21" t="str">
        <f t="shared" si="21"/>
        <v>y</v>
      </c>
      <c r="B211" s="24">
        <v>43872</v>
      </c>
      <c r="C211" t="s">
        <v>235</v>
      </c>
      <c r="D211" t="s">
        <v>13</v>
      </c>
      <c r="E211" t="s">
        <v>34</v>
      </c>
      <c r="F211" t="s">
        <v>29</v>
      </c>
      <c r="G211" t="s">
        <v>1482</v>
      </c>
      <c r="H211" t="s">
        <v>1958</v>
      </c>
      <c r="I211" s="22" t="str">
        <f t="shared" si="22"/>
        <v>2020-11-02</v>
      </c>
      <c r="J211" s="23" t="str">
        <f t="shared" si="23"/>
        <v>43</v>
      </c>
      <c r="K211" t="str">
        <f t="shared" si="24"/>
        <v>yes</v>
      </c>
      <c r="L211">
        <v>43</v>
      </c>
      <c r="M211" t="str">
        <f t="shared" si="25"/>
        <v>2020-11-02</v>
      </c>
      <c r="N211" s="20" t="str">
        <f t="shared" si="26"/>
        <v>2020-11-02</v>
      </c>
      <c r="O211" t="str">
        <f t="shared" si="27"/>
        <v>2020-11-02</v>
      </c>
    </row>
    <row r="212" spans="1:15" x14ac:dyDescent="0.2">
      <c r="A212" s="21" t="str">
        <f t="shared" si="21"/>
        <v>y</v>
      </c>
      <c r="B212" s="24">
        <v>43872</v>
      </c>
      <c r="C212" t="s">
        <v>1192</v>
      </c>
      <c r="D212" t="s">
        <v>13</v>
      </c>
      <c r="E212" t="s">
        <v>27</v>
      </c>
      <c r="F212" t="s">
        <v>29</v>
      </c>
      <c r="G212" t="s">
        <v>1483</v>
      </c>
      <c r="H212" t="s">
        <v>1970</v>
      </c>
      <c r="I212" s="22" t="str">
        <f t="shared" si="22"/>
        <v>2020-11-02</v>
      </c>
      <c r="J212" s="23" t="str">
        <f t="shared" si="23"/>
        <v>43</v>
      </c>
      <c r="K212" t="str">
        <f t="shared" si="24"/>
        <v>yes</v>
      </c>
      <c r="L212">
        <v>43</v>
      </c>
      <c r="M212" t="str">
        <f t="shared" si="25"/>
        <v>2020-11-02</v>
      </c>
      <c r="N212" s="20" t="str">
        <f t="shared" si="26"/>
        <v>2020-11-02</v>
      </c>
      <c r="O212" t="str">
        <f t="shared" si="27"/>
        <v>2020-11-02</v>
      </c>
    </row>
    <row r="213" spans="1:15" x14ac:dyDescent="0.2">
      <c r="A213" s="21" t="str">
        <f t="shared" si="21"/>
        <v>y</v>
      </c>
      <c r="B213" s="24">
        <v>43841</v>
      </c>
      <c r="C213" t="s">
        <v>235</v>
      </c>
      <c r="D213" t="s">
        <v>13</v>
      </c>
      <c r="E213" t="s">
        <v>34</v>
      </c>
      <c r="F213" t="s">
        <v>2</v>
      </c>
      <c r="H213" t="s">
        <v>1958</v>
      </c>
      <c r="I213" s="22" t="str">
        <f t="shared" si="22"/>
        <v>2020-11-01</v>
      </c>
      <c r="J213" s="23" t="str">
        <f t="shared" si="23"/>
        <v>43</v>
      </c>
      <c r="K213" t="str">
        <f t="shared" si="24"/>
        <v>yes</v>
      </c>
      <c r="L213">
        <v>43</v>
      </c>
      <c r="M213" t="str">
        <f t="shared" si="25"/>
        <v>2020-11-01</v>
      </c>
      <c r="N213" s="20">
        <f t="shared" si="26"/>
        <v>44137</v>
      </c>
      <c r="O213" t="str">
        <f t="shared" si="27"/>
        <v>2020-11-02</v>
      </c>
    </row>
    <row r="214" spans="1:15" x14ac:dyDescent="0.2">
      <c r="A214" s="21" t="str">
        <f t="shared" si="21"/>
        <v>y</v>
      </c>
      <c r="B214" s="24">
        <v>43841</v>
      </c>
      <c r="C214" t="s">
        <v>235</v>
      </c>
      <c r="D214" t="s">
        <v>13</v>
      </c>
      <c r="E214" t="s">
        <v>34</v>
      </c>
      <c r="F214" t="s">
        <v>29</v>
      </c>
      <c r="G214" t="s">
        <v>1479</v>
      </c>
      <c r="H214" t="s">
        <v>1958</v>
      </c>
      <c r="I214" s="22" t="str">
        <f t="shared" si="22"/>
        <v>2020-11-01</v>
      </c>
      <c r="J214" s="23" t="str">
        <f t="shared" si="23"/>
        <v>43</v>
      </c>
      <c r="K214" t="str">
        <f t="shared" si="24"/>
        <v>yes</v>
      </c>
      <c r="L214">
        <v>43</v>
      </c>
      <c r="M214" t="str">
        <f t="shared" si="25"/>
        <v>2020-11-01</v>
      </c>
      <c r="N214" s="20" t="str">
        <f t="shared" si="26"/>
        <v>2020-11-01</v>
      </c>
      <c r="O214" t="str">
        <f t="shared" si="27"/>
        <v>2020-11-01</v>
      </c>
    </row>
    <row r="215" spans="1:15" x14ac:dyDescent="0.2">
      <c r="A215" s="21" t="str">
        <f t="shared" si="21"/>
        <v>y</v>
      </c>
      <c r="B215" s="24">
        <v>43841</v>
      </c>
      <c r="C215" t="s">
        <v>235</v>
      </c>
      <c r="D215" t="s">
        <v>13</v>
      </c>
      <c r="E215" t="s">
        <v>22</v>
      </c>
      <c r="F215" t="s">
        <v>29</v>
      </c>
      <c r="G215" t="s">
        <v>1480</v>
      </c>
      <c r="H215" t="s">
        <v>1958</v>
      </c>
      <c r="I215" s="22" t="str">
        <f t="shared" si="22"/>
        <v>2020-11-01</v>
      </c>
      <c r="J215" s="23" t="str">
        <f t="shared" si="23"/>
        <v>43</v>
      </c>
      <c r="K215" t="str">
        <f t="shared" si="24"/>
        <v>yes</v>
      </c>
      <c r="L215">
        <v>43</v>
      </c>
      <c r="M215" t="str">
        <f t="shared" si="25"/>
        <v>2020-11-01</v>
      </c>
      <c r="N215" s="20" t="str">
        <f t="shared" si="26"/>
        <v>2020-11-01</v>
      </c>
      <c r="O215" t="str">
        <f t="shared" si="27"/>
        <v>2020-11-01</v>
      </c>
    </row>
    <row r="216" spans="1:15" x14ac:dyDescent="0.2">
      <c r="A216" s="21" t="str">
        <f t="shared" si="21"/>
        <v>y</v>
      </c>
      <c r="B216" s="24" t="s">
        <v>1635</v>
      </c>
      <c r="C216" t="s">
        <v>235</v>
      </c>
      <c r="D216" t="s">
        <v>13</v>
      </c>
      <c r="E216" t="s">
        <v>34</v>
      </c>
      <c r="F216" t="s">
        <v>2</v>
      </c>
      <c r="H216" t="s">
        <v>1958</v>
      </c>
      <c r="I216" s="22" t="str">
        <f t="shared" si="22"/>
        <v>2020-10-31</v>
      </c>
      <c r="J216" s="23" t="str">
        <f t="shared" si="23"/>
        <v>31</v>
      </c>
      <c r="K216" t="str">
        <f t="shared" si="24"/>
        <v>no</v>
      </c>
      <c r="L216">
        <v>31</v>
      </c>
      <c r="M216" t="str">
        <f t="shared" si="25"/>
        <v>2020-10-31</v>
      </c>
      <c r="N216" s="20">
        <f t="shared" si="26"/>
        <v>44136</v>
      </c>
      <c r="O216" t="str">
        <f t="shared" si="27"/>
        <v>2020-11-01</v>
      </c>
    </row>
    <row r="217" spans="1:15" x14ac:dyDescent="0.2">
      <c r="A217" s="21" t="str">
        <f t="shared" si="21"/>
        <v>y</v>
      </c>
      <c r="B217" s="24" t="s">
        <v>1635</v>
      </c>
      <c r="C217" t="s">
        <v>235</v>
      </c>
      <c r="D217" t="s">
        <v>13</v>
      </c>
      <c r="E217" t="s">
        <v>34</v>
      </c>
      <c r="F217" t="s">
        <v>2</v>
      </c>
      <c r="G217" t="s">
        <v>1478</v>
      </c>
      <c r="H217" t="s">
        <v>1958</v>
      </c>
      <c r="I217" s="22" t="str">
        <f t="shared" si="22"/>
        <v>2020-10-31</v>
      </c>
      <c r="J217" s="23" t="str">
        <f t="shared" si="23"/>
        <v>31</v>
      </c>
      <c r="K217" t="str">
        <f t="shared" si="24"/>
        <v>no</v>
      </c>
      <c r="L217">
        <v>31</v>
      </c>
      <c r="M217" t="str">
        <f t="shared" si="25"/>
        <v>2020-10-31</v>
      </c>
      <c r="N217" s="20">
        <f t="shared" si="26"/>
        <v>44136</v>
      </c>
      <c r="O217" t="str">
        <f t="shared" si="27"/>
        <v>2020-11-01</v>
      </c>
    </row>
    <row r="218" spans="1:15" x14ac:dyDescent="0.2">
      <c r="A218" s="21" t="str">
        <f t="shared" si="21"/>
        <v>y</v>
      </c>
      <c r="B218" s="24" t="s">
        <v>1636</v>
      </c>
      <c r="C218" t="s">
        <v>235</v>
      </c>
      <c r="D218" t="s">
        <v>13</v>
      </c>
      <c r="E218" t="s">
        <v>34</v>
      </c>
      <c r="F218" t="s">
        <v>2</v>
      </c>
      <c r="H218" t="s">
        <v>1958</v>
      </c>
      <c r="I218" s="22" t="str">
        <f t="shared" si="22"/>
        <v>2020-10-28</v>
      </c>
      <c r="J218" s="23" t="str">
        <f t="shared" si="23"/>
        <v>28</v>
      </c>
      <c r="K218" t="str">
        <f t="shared" si="24"/>
        <v>no</v>
      </c>
      <c r="L218">
        <v>28</v>
      </c>
      <c r="M218" t="str">
        <f t="shared" si="25"/>
        <v>2020-10-28</v>
      </c>
      <c r="N218" s="20">
        <f t="shared" si="26"/>
        <v>44133</v>
      </c>
      <c r="O218" t="str">
        <f t="shared" si="27"/>
        <v>2020-10-29</v>
      </c>
    </row>
    <row r="219" spans="1:15" x14ac:dyDescent="0.2">
      <c r="A219" s="21" t="str">
        <f t="shared" si="21"/>
        <v>y</v>
      </c>
      <c r="B219" s="24" t="s">
        <v>1636</v>
      </c>
      <c r="C219" t="s">
        <v>235</v>
      </c>
      <c r="D219" t="s">
        <v>13</v>
      </c>
      <c r="E219" t="s">
        <v>22</v>
      </c>
      <c r="F219" t="s">
        <v>29</v>
      </c>
      <c r="G219" t="s">
        <v>1477</v>
      </c>
      <c r="H219" t="s">
        <v>1956</v>
      </c>
      <c r="I219" s="22" t="str">
        <f t="shared" si="22"/>
        <v>2020-10-28</v>
      </c>
      <c r="J219" s="23" t="str">
        <f t="shared" si="23"/>
        <v>28</v>
      </c>
      <c r="K219" t="str">
        <f t="shared" si="24"/>
        <v>no</v>
      </c>
      <c r="L219">
        <v>28</v>
      </c>
      <c r="M219" t="str">
        <f t="shared" si="25"/>
        <v>2020-10-28</v>
      </c>
      <c r="N219" s="20" t="str">
        <f t="shared" si="26"/>
        <v>2020-10-28</v>
      </c>
      <c r="O219" t="str">
        <f t="shared" si="27"/>
        <v>2020-10-28</v>
      </c>
    </row>
    <row r="220" spans="1:15" x14ac:dyDescent="0.2">
      <c r="A220" s="21" t="str">
        <f t="shared" si="21"/>
        <v>y</v>
      </c>
      <c r="B220" s="24" t="s">
        <v>1636</v>
      </c>
      <c r="C220" t="s">
        <v>235</v>
      </c>
      <c r="D220" t="s">
        <v>13</v>
      </c>
      <c r="E220" t="s">
        <v>34</v>
      </c>
      <c r="F220" t="s">
        <v>2</v>
      </c>
      <c r="G220" t="s">
        <v>1478</v>
      </c>
      <c r="H220" t="s">
        <v>1958</v>
      </c>
      <c r="I220" s="22" t="str">
        <f t="shared" si="22"/>
        <v>2020-10-28</v>
      </c>
      <c r="J220" s="23" t="str">
        <f t="shared" si="23"/>
        <v>28</v>
      </c>
      <c r="K220" t="str">
        <f t="shared" si="24"/>
        <v>no</v>
      </c>
      <c r="L220">
        <v>28</v>
      </c>
      <c r="M220" t="str">
        <f t="shared" si="25"/>
        <v>2020-10-28</v>
      </c>
      <c r="N220" s="20">
        <f t="shared" si="26"/>
        <v>44133</v>
      </c>
      <c r="O220" t="str">
        <f t="shared" si="27"/>
        <v>2020-10-29</v>
      </c>
    </row>
    <row r="221" spans="1:15" x14ac:dyDescent="0.2">
      <c r="A221" s="21" t="str">
        <f t="shared" si="21"/>
        <v>y</v>
      </c>
      <c r="B221" s="24" t="s">
        <v>1636</v>
      </c>
      <c r="C221" t="s">
        <v>1064</v>
      </c>
      <c r="D221" t="s">
        <v>13</v>
      </c>
      <c r="E221" t="s">
        <v>34</v>
      </c>
      <c r="F221" t="s">
        <v>29</v>
      </c>
      <c r="G221" t="s">
        <v>1476</v>
      </c>
      <c r="H221" t="s">
        <v>1958</v>
      </c>
      <c r="I221" s="22" t="str">
        <f t="shared" si="22"/>
        <v>2020-10-28</v>
      </c>
      <c r="J221" s="23" t="str">
        <f t="shared" si="23"/>
        <v>28</v>
      </c>
      <c r="K221" t="str">
        <f t="shared" si="24"/>
        <v>no</v>
      </c>
      <c r="L221">
        <v>28</v>
      </c>
      <c r="M221" t="str">
        <f t="shared" si="25"/>
        <v>2020-10-28</v>
      </c>
      <c r="N221" s="20" t="str">
        <f t="shared" si="26"/>
        <v>2020-10-28</v>
      </c>
      <c r="O221" t="str">
        <f t="shared" si="27"/>
        <v>2020-10-28</v>
      </c>
    </row>
    <row r="222" spans="1:15" x14ac:dyDescent="0.2">
      <c r="A222" s="21" t="str">
        <f t="shared" si="21"/>
        <v>y</v>
      </c>
      <c r="B222" s="24" t="s">
        <v>1637</v>
      </c>
      <c r="C222" t="s">
        <v>235</v>
      </c>
      <c r="D222" t="s">
        <v>13</v>
      </c>
      <c r="E222" t="s">
        <v>34</v>
      </c>
      <c r="F222" t="s">
        <v>29</v>
      </c>
      <c r="G222" t="s">
        <v>1471</v>
      </c>
      <c r="H222" t="s">
        <v>1958</v>
      </c>
      <c r="I222" s="22" t="str">
        <f t="shared" si="22"/>
        <v>2020-10-27</v>
      </c>
      <c r="J222" s="23" t="str">
        <f t="shared" si="23"/>
        <v>27</v>
      </c>
      <c r="K222" t="str">
        <f t="shared" si="24"/>
        <v>no</v>
      </c>
      <c r="L222">
        <v>27</v>
      </c>
      <c r="M222" t="str">
        <f t="shared" si="25"/>
        <v>2020-10-27</v>
      </c>
      <c r="N222" s="20" t="str">
        <f t="shared" si="26"/>
        <v>2020-10-27</v>
      </c>
      <c r="O222" t="str">
        <f t="shared" si="27"/>
        <v>2020-10-27</v>
      </c>
    </row>
    <row r="223" spans="1:15" x14ac:dyDescent="0.2">
      <c r="A223" s="21" t="str">
        <f t="shared" si="21"/>
        <v>y</v>
      </c>
      <c r="B223" s="24" t="s">
        <v>1637</v>
      </c>
      <c r="C223" t="s">
        <v>235</v>
      </c>
      <c r="D223" t="s">
        <v>13</v>
      </c>
      <c r="E223" t="s">
        <v>34</v>
      </c>
      <c r="F223" t="s">
        <v>2</v>
      </c>
      <c r="G223" t="s">
        <v>1473</v>
      </c>
      <c r="H223" t="s">
        <v>1958</v>
      </c>
      <c r="I223" s="22" t="str">
        <f t="shared" si="22"/>
        <v>2020-10-27</v>
      </c>
      <c r="J223" s="23" t="str">
        <f t="shared" si="23"/>
        <v>27</v>
      </c>
      <c r="K223" t="str">
        <f t="shared" si="24"/>
        <v>no</v>
      </c>
      <c r="L223">
        <v>27</v>
      </c>
      <c r="M223" t="str">
        <f t="shared" si="25"/>
        <v>2020-10-27</v>
      </c>
      <c r="N223" s="20">
        <f t="shared" si="26"/>
        <v>44132</v>
      </c>
      <c r="O223" t="str">
        <f t="shared" si="27"/>
        <v>2020-10-28</v>
      </c>
    </row>
    <row r="224" spans="1:15" x14ac:dyDescent="0.2">
      <c r="A224" s="21" t="str">
        <f t="shared" si="21"/>
        <v>y</v>
      </c>
      <c r="B224" s="24" t="s">
        <v>1637</v>
      </c>
      <c r="C224" t="s">
        <v>235</v>
      </c>
      <c r="D224" t="s">
        <v>13</v>
      </c>
      <c r="E224" t="s">
        <v>4</v>
      </c>
      <c r="F224" t="s">
        <v>29</v>
      </c>
      <c r="G224" t="s">
        <v>1472</v>
      </c>
      <c r="H224" t="s">
        <v>1958</v>
      </c>
      <c r="I224" s="22" t="str">
        <f t="shared" si="22"/>
        <v>2020-10-27</v>
      </c>
      <c r="J224" s="23" t="str">
        <f t="shared" si="23"/>
        <v>27</v>
      </c>
      <c r="K224" t="str">
        <f t="shared" si="24"/>
        <v>no</v>
      </c>
      <c r="L224">
        <v>27</v>
      </c>
      <c r="M224" t="str">
        <f t="shared" si="25"/>
        <v>2020-10-27</v>
      </c>
      <c r="N224" s="20" t="str">
        <f t="shared" si="26"/>
        <v>2020-10-27</v>
      </c>
      <c r="O224" t="str">
        <f t="shared" si="27"/>
        <v>2020-10-27</v>
      </c>
    </row>
    <row r="225" spans="1:15" x14ac:dyDescent="0.2">
      <c r="A225" s="21" t="str">
        <f t="shared" si="21"/>
        <v>y</v>
      </c>
      <c r="B225" s="24" t="s">
        <v>1637</v>
      </c>
      <c r="C225" t="s">
        <v>235</v>
      </c>
      <c r="D225" t="s">
        <v>13</v>
      </c>
      <c r="E225" t="s">
        <v>115</v>
      </c>
      <c r="F225" t="s">
        <v>29</v>
      </c>
      <c r="G225" t="s">
        <v>1474</v>
      </c>
      <c r="H225" t="s">
        <v>1958</v>
      </c>
      <c r="I225" s="22" t="str">
        <f t="shared" si="22"/>
        <v>2020-10-27</v>
      </c>
      <c r="J225" s="23" t="str">
        <f t="shared" si="23"/>
        <v>27</v>
      </c>
      <c r="K225" t="str">
        <f t="shared" si="24"/>
        <v>no</v>
      </c>
      <c r="L225">
        <v>27</v>
      </c>
      <c r="M225" t="str">
        <f t="shared" si="25"/>
        <v>2020-10-27</v>
      </c>
      <c r="N225" s="20" t="str">
        <f t="shared" si="26"/>
        <v>2020-10-27</v>
      </c>
      <c r="O225" t="str">
        <f t="shared" si="27"/>
        <v>2020-10-27</v>
      </c>
    </row>
    <row r="226" spans="1:15" x14ac:dyDescent="0.2">
      <c r="A226" s="21" t="str">
        <f t="shared" si="21"/>
        <v>y</v>
      </c>
      <c r="B226" s="24" t="s">
        <v>1637</v>
      </c>
      <c r="C226" t="s">
        <v>1064</v>
      </c>
      <c r="D226" t="s">
        <v>13</v>
      </c>
      <c r="E226" t="s">
        <v>27</v>
      </c>
      <c r="F226" t="s">
        <v>29</v>
      </c>
      <c r="G226" t="s">
        <v>1475</v>
      </c>
      <c r="H226" t="s">
        <v>1956</v>
      </c>
      <c r="I226" s="22" t="str">
        <f t="shared" si="22"/>
        <v>2020-10-27</v>
      </c>
      <c r="J226" s="23" t="str">
        <f t="shared" si="23"/>
        <v>27</v>
      </c>
      <c r="K226" t="str">
        <f t="shared" si="24"/>
        <v>no</v>
      </c>
      <c r="L226">
        <v>27</v>
      </c>
      <c r="M226" t="str">
        <f t="shared" si="25"/>
        <v>2020-10-27</v>
      </c>
      <c r="N226" s="20" t="str">
        <f t="shared" si="26"/>
        <v>2020-10-27</v>
      </c>
      <c r="O226" t="str">
        <f t="shared" si="27"/>
        <v>2020-10-27</v>
      </c>
    </row>
    <row r="227" spans="1:15" x14ac:dyDescent="0.2">
      <c r="A227" s="21" t="str">
        <f t="shared" si="21"/>
        <v>y</v>
      </c>
      <c r="B227" s="24" t="s">
        <v>1638</v>
      </c>
      <c r="C227" t="s">
        <v>235</v>
      </c>
      <c r="D227" t="s">
        <v>13</v>
      </c>
      <c r="E227" t="s">
        <v>34</v>
      </c>
      <c r="F227" t="s">
        <v>2</v>
      </c>
      <c r="G227" t="s">
        <v>1471</v>
      </c>
      <c r="H227" t="s">
        <v>1958</v>
      </c>
      <c r="I227" s="22" t="str">
        <f t="shared" si="22"/>
        <v>2020-10-26</v>
      </c>
      <c r="J227" s="23" t="str">
        <f t="shared" si="23"/>
        <v>26</v>
      </c>
      <c r="K227" t="str">
        <f t="shared" si="24"/>
        <v>no</v>
      </c>
      <c r="L227">
        <v>26</v>
      </c>
      <c r="M227" t="str">
        <f t="shared" si="25"/>
        <v>2020-10-26</v>
      </c>
      <c r="N227" s="20">
        <f t="shared" si="26"/>
        <v>44131</v>
      </c>
      <c r="O227" t="str">
        <f t="shared" si="27"/>
        <v>2020-10-27</v>
      </c>
    </row>
    <row r="228" spans="1:15" x14ac:dyDescent="0.2">
      <c r="A228" s="21" t="str">
        <f t="shared" si="21"/>
        <v>y</v>
      </c>
      <c r="B228" s="24" t="s">
        <v>1638</v>
      </c>
      <c r="C228" t="s">
        <v>235</v>
      </c>
      <c r="D228" t="s">
        <v>13</v>
      </c>
      <c r="E228" t="s">
        <v>21</v>
      </c>
      <c r="F228" t="s">
        <v>29</v>
      </c>
      <c r="G228" t="s">
        <v>1470</v>
      </c>
      <c r="H228" t="s">
        <v>1956</v>
      </c>
      <c r="I228" s="22" t="str">
        <f t="shared" si="22"/>
        <v>2020-10-26</v>
      </c>
      <c r="J228" s="23" t="str">
        <f t="shared" si="23"/>
        <v>26</v>
      </c>
      <c r="K228" t="str">
        <f t="shared" si="24"/>
        <v>no</v>
      </c>
      <c r="L228">
        <v>26</v>
      </c>
      <c r="M228" t="str">
        <f t="shared" si="25"/>
        <v>2020-10-26</v>
      </c>
      <c r="N228" s="20" t="str">
        <f t="shared" si="26"/>
        <v>2020-10-26</v>
      </c>
      <c r="O228" t="str">
        <f t="shared" si="27"/>
        <v>2020-10-26</v>
      </c>
    </row>
    <row r="229" spans="1:15" x14ac:dyDescent="0.2">
      <c r="A229" s="21" t="str">
        <f t="shared" si="21"/>
        <v>y</v>
      </c>
      <c r="B229" s="24" t="s">
        <v>1638</v>
      </c>
      <c r="C229" t="s">
        <v>1064</v>
      </c>
      <c r="D229" t="s">
        <v>13</v>
      </c>
      <c r="E229" t="s">
        <v>43</v>
      </c>
      <c r="F229" t="s">
        <v>2</v>
      </c>
      <c r="H229" t="s">
        <v>1958</v>
      </c>
      <c r="I229" s="22" t="str">
        <f t="shared" si="22"/>
        <v>2020-10-26</v>
      </c>
      <c r="J229" s="23" t="str">
        <f t="shared" si="23"/>
        <v>26</v>
      </c>
      <c r="K229" t="str">
        <f t="shared" si="24"/>
        <v>no</v>
      </c>
      <c r="L229">
        <v>26</v>
      </c>
      <c r="M229" t="str">
        <f t="shared" si="25"/>
        <v>2020-10-26</v>
      </c>
      <c r="N229" s="20">
        <f t="shared" si="26"/>
        <v>44131</v>
      </c>
      <c r="O229" t="str">
        <f t="shared" si="27"/>
        <v>2020-10-27</v>
      </c>
    </row>
    <row r="230" spans="1:15" x14ac:dyDescent="0.2">
      <c r="A230" s="21" t="str">
        <f t="shared" si="21"/>
        <v>y</v>
      </c>
      <c r="B230" s="24" t="s">
        <v>1638</v>
      </c>
      <c r="C230" t="s">
        <v>1192</v>
      </c>
      <c r="D230" t="s">
        <v>13</v>
      </c>
      <c r="E230" t="s">
        <v>27</v>
      </c>
      <c r="F230" t="s">
        <v>29</v>
      </c>
      <c r="G230" t="s">
        <v>1469</v>
      </c>
      <c r="H230" t="s">
        <v>1970</v>
      </c>
      <c r="I230" s="22" t="str">
        <f t="shared" si="22"/>
        <v>2020-10-26</v>
      </c>
      <c r="J230" s="23" t="str">
        <f t="shared" si="23"/>
        <v>26</v>
      </c>
      <c r="K230" t="str">
        <f t="shared" si="24"/>
        <v>no</v>
      </c>
      <c r="L230">
        <v>26</v>
      </c>
      <c r="M230" t="str">
        <f t="shared" si="25"/>
        <v>2020-10-26</v>
      </c>
      <c r="N230" s="20" t="str">
        <f t="shared" si="26"/>
        <v>2020-10-26</v>
      </c>
      <c r="O230" t="str">
        <f t="shared" si="27"/>
        <v>2020-10-26</v>
      </c>
    </row>
    <row r="231" spans="1:15" x14ac:dyDescent="0.2">
      <c r="A231" s="21" t="str">
        <f t="shared" si="21"/>
        <v>y</v>
      </c>
      <c r="B231" s="24" t="s">
        <v>1639</v>
      </c>
      <c r="C231" t="s">
        <v>235</v>
      </c>
      <c r="D231" t="s">
        <v>13</v>
      </c>
      <c r="E231" t="s">
        <v>34</v>
      </c>
      <c r="F231" t="s">
        <v>29</v>
      </c>
      <c r="H231" t="s">
        <v>1958</v>
      </c>
      <c r="I231" s="22" t="str">
        <f t="shared" si="22"/>
        <v>2020-10-25</v>
      </c>
      <c r="J231" s="23" t="str">
        <f t="shared" si="23"/>
        <v>25</v>
      </c>
      <c r="K231" t="str">
        <f t="shared" si="24"/>
        <v>no</v>
      </c>
      <c r="L231">
        <v>25</v>
      </c>
      <c r="M231" t="str">
        <f t="shared" si="25"/>
        <v>2020-10-25</v>
      </c>
      <c r="N231" s="20" t="str">
        <f t="shared" si="26"/>
        <v>2020-10-25</v>
      </c>
      <c r="O231" t="str">
        <f t="shared" si="27"/>
        <v>2020-10-25</v>
      </c>
    </row>
    <row r="232" spans="1:15" x14ac:dyDescent="0.2">
      <c r="A232" s="21" t="str">
        <f t="shared" si="21"/>
        <v>y</v>
      </c>
      <c r="B232" s="24" t="s">
        <v>1639</v>
      </c>
      <c r="C232" t="s">
        <v>235</v>
      </c>
      <c r="D232" t="s">
        <v>13</v>
      </c>
      <c r="E232" t="s">
        <v>22</v>
      </c>
      <c r="F232" t="s">
        <v>29</v>
      </c>
      <c r="G232" t="s">
        <v>1468</v>
      </c>
      <c r="H232" t="s">
        <v>1956</v>
      </c>
      <c r="I232" s="22" t="str">
        <f t="shared" si="22"/>
        <v>2020-10-25</v>
      </c>
      <c r="J232" s="23" t="str">
        <f t="shared" si="23"/>
        <v>25</v>
      </c>
      <c r="K232" t="str">
        <f t="shared" si="24"/>
        <v>no</v>
      </c>
      <c r="L232">
        <v>25</v>
      </c>
      <c r="M232" t="str">
        <f t="shared" si="25"/>
        <v>2020-10-25</v>
      </c>
      <c r="N232" s="20" t="str">
        <f t="shared" si="26"/>
        <v>2020-10-25</v>
      </c>
      <c r="O232" t="str">
        <f t="shared" si="27"/>
        <v>2020-10-25</v>
      </c>
    </row>
    <row r="233" spans="1:15" x14ac:dyDescent="0.2">
      <c r="A233" s="21" t="str">
        <f t="shared" si="21"/>
        <v>y</v>
      </c>
      <c r="B233" s="24" t="s">
        <v>1639</v>
      </c>
      <c r="C233" t="s">
        <v>1064</v>
      </c>
      <c r="D233" t="s">
        <v>13</v>
      </c>
      <c r="E233" t="s">
        <v>43</v>
      </c>
      <c r="F233" t="s">
        <v>2</v>
      </c>
      <c r="H233" t="s">
        <v>1958</v>
      </c>
      <c r="I233" s="22" t="str">
        <f t="shared" si="22"/>
        <v>2020-10-25</v>
      </c>
      <c r="J233" s="23" t="str">
        <f t="shared" si="23"/>
        <v>25</v>
      </c>
      <c r="K233" t="str">
        <f t="shared" si="24"/>
        <v>no</v>
      </c>
      <c r="L233">
        <v>25</v>
      </c>
      <c r="M233" t="str">
        <f t="shared" si="25"/>
        <v>2020-10-25</v>
      </c>
      <c r="N233" s="20">
        <f t="shared" si="26"/>
        <v>44130</v>
      </c>
      <c r="O233" t="str">
        <f t="shared" si="27"/>
        <v>2020-10-26</v>
      </c>
    </row>
    <row r="234" spans="1:15" x14ac:dyDescent="0.2">
      <c r="A234" s="21" t="str">
        <f t="shared" si="21"/>
        <v>y</v>
      </c>
      <c r="B234" s="24" t="s">
        <v>1640</v>
      </c>
      <c r="C234" t="s">
        <v>235</v>
      </c>
      <c r="D234" t="s">
        <v>13</v>
      </c>
      <c r="E234" t="s">
        <v>34</v>
      </c>
      <c r="F234" t="s">
        <v>2</v>
      </c>
      <c r="H234" t="s">
        <v>1958</v>
      </c>
      <c r="I234" s="22" t="str">
        <f t="shared" si="22"/>
        <v>2020-10-24</v>
      </c>
      <c r="J234" s="23" t="str">
        <f t="shared" si="23"/>
        <v>24</v>
      </c>
      <c r="K234" t="str">
        <f t="shared" si="24"/>
        <v>no</v>
      </c>
      <c r="L234">
        <v>24</v>
      </c>
      <c r="M234" t="str">
        <f t="shared" si="25"/>
        <v>2020-10-24</v>
      </c>
      <c r="N234" s="20">
        <f t="shared" si="26"/>
        <v>44129</v>
      </c>
      <c r="O234" t="str">
        <f t="shared" si="27"/>
        <v>2020-10-25</v>
      </c>
    </row>
    <row r="235" spans="1:15" x14ac:dyDescent="0.2">
      <c r="A235" s="21" t="str">
        <f t="shared" si="21"/>
        <v>y</v>
      </c>
      <c r="B235" s="24" t="s">
        <v>1640</v>
      </c>
      <c r="C235" t="s">
        <v>235</v>
      </c>
      <c r="D235" t="s">
        <v>13</v>
      </c>
      <c r="E235" t="s">
        <v>4</v>
      </c>
      <c r="F235" t="s">
        <v>29</v>
      </c>
      <c r="G235" t="s">
        <v>1465</v>
      </c>
      <c r="H235" t="s">
        <v>1956</v>
      </c>
      <c r="I235" s="22" t="str">
        <f t="shared" si="22"/>
        <v>2020-10-24</v>
      </c>
      <c r="J235" s="23" t="str">
        <f t="shared" si="23"/>
        <v>24</v>
      </c>
      <c r="K235" t="str">
        <f t="shared" si="24"/>
        <v>no</v>
      </c>
      <c r="L235">
        <v>24</v>
      </c>
      <c r="M235" t="str">
        <f t="shared" si="25"/>
        <v>2020-10-24</v>
      </c>
      <c r="N235" s="20" t="str">
        <f t="shared" si="26"/>
        <v>2020-10-24</v>
      </c>
      <c r="O235" t="str">
        <f t="shared" si="27"/>
        <v>2020-10-24</v>
      </c>
    </row>
    <row r="236" spans="1:15" x14ac:dyDescent="0.2">
      <c r="A236" s="21" t="str">
        <f t="shared" si="21"/>
        <v>y</v>
      </c>
      <c r="B236" s="24" t="s">
        <v>1640</v>
      </c>
      <c r="C236" t="s">
        <v>1064</v>
      </c>
      <c r="D236" t="s">
        <v>13</v>
      </c>
      <c r="E236" t="s">
        <v>61</v>
      </c>
      <c r="F236" t="s">
        <v>29</v>
      </c>
      <c r="G236" t="s">
        <v>1466</v>
      </c>
      <c r="H236" t="s">
        <v>1946</v>
      </c>
      <c r="I236" s="22" t="str">
        <f t="shared" si="22"/>
        <v>2020-10-24</v>
      </c>
      <c r="J236" s="23" t="str">
        <f t="shared" si="23"/>
        <v>24</v>
      </c>
      <c r="K236" t="str">
        <f t="shared" si="24"/>
        <v>no</v>
      </c>
      <c r="L236">
        <v>24</v>
      </c>
      <c r="M236" t="str">
        <f t="shared" si="25"/>
        <v>2020-10-24</v>
      </c>
      <c r="N236" s="20" t="str">
        <f t="shared" si="26"/>
        <v>2020-10-24</v>
      </c>
      <c r="O236" t="str">
        <f t="shared" si="27"/>
        <v>2020-10-24</v>
      </c>
    </row>
    <row r="237" spans="1:15" x14ac:dyDescent="0.2">
      <c r="A237" s="21" t="str">
        <f t="shared" si="21"/>
        <v>y</v>
      </c>
      <c r="B237" s="24" t="s">
        <v>1640</v>
      </c>
      <c r="C237" t="s">
        <v>1064</v>
      </c>
      <c r="D237" t="s">
        <v>13</v>
      </c>
      <c r="E237" t="s">
        <v>27</v>
      </c>
      <c r="F237" t="s">
        <v>29</v>
      </c>
      <c r="G237" t="s">
        <v>1467</v>
      </c>
      <c r="H237" t="s">
        <v>1956</v>
      </c>
      <c r="I237" s="22" t="str">
        <f t="shared" si="22"/>
        <v>2020-10-24</v>
      </c>
      <c r="J237" s="23" t="str">
        <f t="shared" si="23"/>
        <v>24</v>
      </c>
      <c r="K237" t="str">
        <f t="shared" si="24"/>
        <v>no</v>
      </c>
      <c r="L237">
        <v>24</v>
      </c>
      <c r="M237" t="str">
        <f t="shared" si="25"/>
        <v>2020-10-24</v>
      </c>
      <c r="N237" s="20" t="str">
        <f t="shared" si="26"/>
        <v>2020-10-24</v>
      </c>
      <c r="O237" t="str">
        <f t="shared" si="27"/>
        <v>2020-10-24</v>
      </c>
    </row>
    <row r="238" spans="1:15" x14ac:dyDescent="0.2">
      <c r="A238" s="21" t="str">
        <f t="shared" si="21"/>
        <v>y</v>
      </c>
      <c r="B238" s="24" t="s">
        <v>1640</v>
      </c>
      <c r="C238" t="s">
        <v>1064</v>
      </c>
      <c r="D238" t="s">
        <v>13</v>
      </c>
      <c r="E238" t="s">
        <v>43</v>
      </c>
      <c r="F238" t="s">
        <v>2</v>
      </c>
      <c r="H238" t="s">
        <v>1958</v>
      </c>
      <c r="I238" s="22" t="str">
        <f t="shared" si="22"/>
        <v>2020-10-24</v>
      </c>
      <c r="J238" s="23" t="str">
        <f t="shared" si="23"/>
        <v>24</v>
      </c>
      <c r="K238" t="str">
        <f t="shared" si="24"/>
        <v>no</v>
      </c>
      <c r="L238">
        <v>24</v>
      </c>
      <c r="M238" t="str">
        <f t="shared" si="25"/>
        <v>2020-10-24</v>
      </c>
      <c r="N238" s="20">
        <f t="shared" si="26"/>
        <v>44129</v>
      </c>
      <c r="O238" t="str">
        <f t="shared" si="27"/>
        <v>2020-10-25</v>
      </c>
    </row>
    <row r="239" spans="1:15" x14ac:dyDescent="0.2">
      <c r="A239" s="21" t="str">
        <f t="shared" si="21"/>
        <v>y</v>
      </c>
      <c r="B239" s="24" t="s">
        <v>1641</v>
      </c>
      <c r="C239" t="s">
        <v>235</v>
      </c>
      <c r="D239" t="s">
        <v>13</v>
      </c>
      <c r="E239" t="s">
        <v>34</v>
      </c>
      <c r="F239" t="s">
        <v>2</v>
      </c>
      <c r="H239" t="s">
        <v>1958</v>
      </c>
      <c r="I239" s="22" t="str">
        <f t="shared" si="22"/>
        <v>2020-10-22</v>
      </c>
      <c r="J239" s="23" t="str">
        <f t="shared" si="23"/>
        <v>22</v>
      </c>
      <c r="K239" t="str">
        <f t="shared" si="24"/>
        <v>no</v>
      </c>
      <c r="L239">
        <v>22</v>
      </c>
      <c r="M239" t="str">
        <f t="shared" si="25"/>
        <v>2020-10-22</v>
      </c>
      <c r="N239" s="20">
        <f t="shared" si="26"/>
        <v>44127</v>
      </c>
      <c r="O239" t="str">
        <f t="shared" si="27"/>
        <v>2020-10-23</v>
      </c>
    </row>
    <row r="240" spans="1:15" x14ac:dyDescent="0.2">
      <c r="A240" s="21" t="str">
        <f t="shared" si="21"/>
        <v>y</v>
      </c>
      <c r="B240" s="24" t="s">
        <v>1641</v>
      </c>
      <c r="C240" t="s">
        <v>1064</v>
      </c>
      <c r="D240" t="s">
        <v>13</v>
      </c>
      <c r="E240" t="s">
        <v>27</v>
      </c>
      <c r="F240" t="s">
        <v>2</v>
      </c>
      <c r="H240" t="s">
        <v>1956</v>
      </c>
      <c r="I240" s="22" t="str">
        <f t="shared" si="22"/>
        <v>2020-10-22</v>
      </c>
      <c r="J240" s="23" t="str">
        <f t="shared" si="23"/>
        <v>22</v>
      </c>
      <c r="K240" t="str">
        <f t="shared" si="24"/>
        <v>no</v>
      </c>
      <c r="L240">
        <v>22</v>
      </c>
      <c r="M240" t="str">
        <f t="shared" si="25"/>
        <v>2020-10-22</v>
      </c>
      <c r="N240" s="20">
        <f t="shared" si="26"/>
        <v>44127</v>
      </c>
      <c r="O240" t="str">
        <f t="shared" si="27"/>
        <v>2020-10-23</v>
      </c>
    </row>
    <row r="241" spans="1:15" x14ac:dyDescent="0.2">
      <c r="A241" s="21" t="str">
        <f t="shared" si="21"/>
        <v>y</v>
      </c>
      <c r="B241" s="24" t="s">
        <v>1641</v>
      </c>
      <c r="C241" t="s">
        <v>1064</v>
      </c>
      <c r="D241" t="s">
        <v>13</v>
      </c>
      <c r="E241" t="s">
        <v>43</v>
      </c>
      <c r="F241" t="s">
        <v>2</v>
      </c>
      <c r="H241" t="s">
        <v>1946</v>
      </c>
      <c r="I241" s="22" t="str">
        <f t="shared" si="22"/>
        <v>2020-10-22</v>
      </c>
      <c r="J241" s="23" t="str">
        <f t="shared" si="23"/>
        <v>22</v>
      </c>
      <c r="K241" t="str">
        <f t="shared" si="24"/>
        <v>no</v>
      </c>
      <c r="L241">
        <v>22</v>
      </c>
      <c r="M241" t="str">
        <f t="shared" si="25"/>
        <v>2020-10-22</v>
      </c>
      <c r="N241" s="20">
        <f t="shared" si="26"/>
        <v>44127</v>
      </c>
      <c r="O241" t="str">
        <f t="shared" si="27"/>
        <v>2020-10-23</v>
      </c>
    </row>
    <row r="242" spans="1:15" x14ac:dyDescent="0.2">
      <c r="A242" s="21" t="str">
        <f t="shared" si="21"/>
        <v>y</v>
      </c>
      <c r="B242" s="24" t="s">
        <v>1642</v>
      </c>
      <c r="C242" t="s">
        <v>235</v>
      </c>
      <c r="D242" t="s">
        <v>13</v>
      </c>
      <c r="E242" t="s">
        <v>34</v>
      </c>
      <c r="F242" t="s">
        <v>2</v>
      </c>
      <c r="H242" t="s">
        <v>1958</v>
      </c>
      <c r="I242" s="22" t="str">
        <f t="shared" si="22"/>
        <v>2020-10-21</v>
      </c>
      <c r="J242" s="23" t="str">
        <f t="shared" si="23"/>
        <v>21</v>
      </c>
      <c r="K242" t="str">
        <f t="shared" si="24"/>
        <v>no</v>
      </c>
      <c r="L242">
        <v>21</v>
      </c>
      <c r="M242" t="str">
        <f t="shared" si="25"/>
        <v>2020-10-21</v>
      </c>
      <c r="N242" s="20">
        <f t="shared" si="26"/>
        <v>44126</v>
      </c>
      <c r="O242" t="str">
        <f t="shared" si="27"/>
        <v>2020-10-22</v>
      </c>
    </row>
    <row r="243" spans="1:15" x14ac:dyDescent="0.2">
      <c r="A243" s="21" t="str">
        <f t="shared" si="21"/>
        <v>y</v>
      </c>
      <c r="B243" s="24" t="s">
        <v>1642</v>
      </c>
      <c r="C243" t="s">
        <v>1064</v>
      </c>
      <c r="D243" t="s">
        <v>13</v>
      </c>
      <c r="E243" t="s">
        <v>27</v>
      </c>
      <c r="F243" t="s">
        <v>2</v>
      </c>
      <c r="G243" t="s">
        <v>1463</v>
      </c>
      <c r="H243" t="s">
        <v>1971</v>
      </c>
      <c r="I243" s="22" t="str">
        <f t="shared" si="22"/>
        <v>2020-10-21</v>
      </c>
      <c r="J243" s="23" t="str">
        <f t="shared" si="23"/>
        <v>21</v>
      </c>
      <c r="K243" t="str">
        <f t="shared" si="24"/>
        <v>no</v>
      </c>
      <c r="L243">
        <v>21</v>
      </c>
      <c r="M243" t="str">
        <f t="shared" si="25"/>
        <v>2020-10-21</v>
      </c>
      <c r="N243" s="20">
        <f t="shared" si="26"/>
        <v>44126</v>
      </c>
      <c r="O243" t="str">
        <f t="shared" si="27"/>
        <v>2020-10-22</v>
      </c>
    </row>
    <row r="244" spans="1:15" x14ac:dyDescent="0.2">
      <c r="A244" s="21" t="str">
        <f t="shared" si="21"/>
        <v>y</v>
      </c>
      <c r="B244" s="24" t="s">
        <v>1642</v>
      </c>
      <c r="C244" t="s">
        <v>1397</v>
      </c>
      <c r="D244" t="s">
        <v>13</v>
      </c>
      <c r="E244" t="s">
        <v>49</v>
      </c>
      <c r="F244" t="s">
        <v>29</v>
      </c>
      <c r="G244" t="s">
        <v>1464</v>
      </c>
      <c r="H244" t="s">
        <v>1956</v>
      </c>
      <c r="I244" s="22" t="str">
        <f t="shared" si="22"/>
        <v>2020-10-21</v>
      </c>
      <c r="J244" s="23" t="str">
        <f t="shared" si="23"/>
        <v>21</v>
      </c>
      <c r="K244" t="str">
        <f t="shared" si="24"/>
        <v>no</v>
      </c>
      <c r="L244">
        <v>21</v>
      </c>
      <c r="M244" t="str">
        <f t="shared" si="25"/>
        <v>2020-10-21</v>
      </c>
      <c r="N244" s="20" t="str">
        <f t="shared" si="26"/>
        <v>2020-10-21</v>
      </c>
      <c r="O244" t="str">
        <f t="shared" si="27"/>
        <v>2020-10-21</v>
      </c>
    </row>
    <row r="245" spans="1:15" x14ac:dyDescent="0.2">
      <c r="A245" s="21" t="str">
        <f t="shared" si="21"/>
        <v>y</v>
      </c>
      <c r="B245" s="24" t="s">
        <v>1642</v>
      </c>
      <c r="C245" t="s">
        <v>1415</v>
      </c>
      <c r="D245" t="s">
        <v>14</v>
      </c>
      <c r="E245" t="s">
        <v>49</v>
      </c>
      <c r="F245" t="s">
        <v>29</v>
      </c>
      <c r="G245" t="s">
        <v>1462</v>
      </c>
      <c r="H245" t="s">
        <v>1972</v>
      </c>
      <c r="I245" s="22" t="str">
        <f t="shared" si="22"/>
        <v>2020-10-21</v>
      </c>
      <c r="J245" s="23" t="str">
        <f t="shared" si="23"/>
        <v>21</v>
      </c>
      <c r="K245" t="str">
        <f t="shared" si="24"/>
        <v>no</v>
      </c>
      <c r="L245">
        <v>21</v>
      </c>
      <c r="M245" t="str">
        <f t="shared" si="25"/>
        <v>2020-10-21</v>
      </c>
      <c r="N245" s="20" t="str">
        <f t="shared" si="26"/>
        <v>2020-10-21</v>
      </c>
      <c r="O245" t="str">
        <f t="shared" si="27"/>
        <v>2020-10-21</v>
      </c>
    </row>
    <row r="246" spans="1:15" x14ac:dyDescent="0.2">
      <c r="A246" s="21" t="str">
        <f t="shared" si="21"/>
        <v>y</v>
      </c>
      <c r="B246" s="24" t="s">
        <v>1642</v>
      </c>
      <c r="C246" t="s">
        <v>38</v>
      </c>
      <c r="D246" t="s">
        <v>13</v>
      </c>
      <c r="E246" t="s">
        <v>43</v>
      </c>
      <c r="F246" t="s">
        <v>2</v>
      </c>
      <c r="H246" t="s">
        <v>1946</v>
      </c>
      <c r="I246" s="22" t="str">
        <f t="shared" si="22"/>
        <v>2020-10-21</v>
      </c>
      <c r="J246" s="23" t="str">
        <f t="shared" si="23"/>
        <v>21</v>
      </c>
      <c r="K246" t="str">
        <f t="shared" si="24"/>
        <v>no</v>
      </c>
      <c r="L246">
        <v>21</v>
      </c>
      <c r="M246" t="str">
        <f t="shared" si="25"/>
        <v>2020-10-21</v>
      </c>
      <c r="N246" s="20">
        <f t="shared" si="26"/>
        <v>44126</v>
      </c>
      <c r="O246" t="str">
        <f t="shared" si="27"/>
        <v>2020-10-22</v>
      </c>
    </row>
    <row r="247" spans="1:15" x14ac:dyDescent="0.2">
      <c r="A247" s="21" t="str">
        <f t="shared" si="21"/>
        <v>y</v>
      </c>
      <c r="B247" s="24" t="s">
        <v>1643</v>
      </c>
      <c r="C247" t="s">
        <v>235</v>
      </c>
      <c r="D247" t="s">
        <v>13</v>
      </c>
      <c r="E247" t="s">
        <v>34</v>
      </c>
      <c r="F247" t="s">
        <v>2</v>
      </c>
      <c r="H247" t="s">
        <v>1958</v>
      </c>
      <c r="I247" s="22" t="str">
        <f t="shared" si="22"/>
        <v>2020-10-20</v>
      </c>
      <c r="J247" s="23" t="str">
        <f t="shared" si="23"/>
        <v>20</v>
      </c>
      <c r="K247" t="str">
        <f t="shared" si="24"/>
        <v>no</v>
      </c>
      <c r="L247">
        <v>20</v>
      </c>
      <c r="M247" t="str">
        <f t="shared" si="25"/>
        <v>2020-10-20</v>
      </c>
      <c r="N247" s="20">
        <f t="shared" si="26"/>
        <v>44125</v>
      </c>
      <c r="O247" t="str">
        <f t="shared" si="27"/>
        <v>2020-10-21</v>
      </c>
    </row>
    <row r="248" spans="1:15" x14ac:dyDescent="0.2">
      <c r="A248" s="21" t="str">
        <f t="shared" si="21"/>
        <v>y</v>
      </c>
      <c r="B248" s="24" t="s">
        <v>1643</v>
      </c>
      <c r="C248" t="s">
        <v>1064</v>
      </c>
      <c r="D248" t="s">
        <v>13</v>
      </c>
      <c r="E248" t="s">
        <v>43</v>
      </c>
      <c r="F248" t="s">
        <v>2</v>
      </c>
      <c r="H248" t="s">
        <v>1971</v>
      </c>
      <c r="I248" s="22" t="str">
        <f t="shared" si="22"/>
        <v>2020-10-20</v>
      </c>
      <c r="J248" s="23" t="str">
        <f t="shared" si="23"/>
        <v>20</v>
      </c>
      <c r="K248" t="str">
        <f t="shared" si="24"/>
        <v>no</v>
      </c>
      <c r="L248">
        <v>20</v>
      </c>
      <c r="M248" t="str">
        <f t="shared" si="25"/>
        <v>2020-10-20</v>
      </c>
      <c r="N248" s="20">
        <f t="shared" si="26"/>
        <v>44125</v>
      </c>
      <c r="O248" t="str">
        <f t="shared" si="27"/>
        <v>2020-10-21</v>
      </c>
    </row>
    <row r="249" spans="1:15" x14ac:dyDescent="0.2">
      <c r="A249" s="21" t="str">
        <f t="shared" si="21"/>
        <v>y</v>
      </c>
      <c r="B249" s="24" t="s">
        <v>1643</v>
      </c>
      <c r="C249" t="s">
        <v>1397</v>
      </c>
      <c r="D249" t="s">
        <v>13</v>
      </c>
      <c r="E249" t="s">
        <v>27</v>
      </c>
      <c r="F249" t="s">
        <v>2</v>
      </c>
      <c r="G249" t="s">
        <v>1461</v>
      </c>
      <c r="H249" t="s">
        <v>1956</v>
      </c>
      <c r="I249" s="22" t="str">
        <f t="shared" si="22"/>
        <v>2020-10-20</v>
      </c>
      <c r="J249" s="23" t="str">
        <f t="shared" si="23"/>
        <v>20</v>
      </c>
      <c r="K249" t="str">
        <f t="shared" si="24"/>
        <v>no</v>
      </c>
      <c r="L249">
        <v>20</v>
      </c>
      <c r="M249" t="str">
        <f t="shared" si="25"/>
        <v>2020-10-20</v>
      </c>
      <c r="N249" s="20">
        <f t="shared" si="26"/>
        <v>44125</v>
      </c>
      <c r="O249" t="str">
        <f t="shared" si="27"/>
        <v>2020-10-21</v>
      </c>
    </row>
    <row r="250" spans="1:15" x14ac:dyDescent="0.2">
      <c r="A250" s="21" t="str">
        <f t="shared" si="21"/>
        <v>y</v>
      </c>
      <c r="B250" s="24" t="s">
        <v>1644</v>
      </c>
      <c r="C250" t="s">
        <v>235</v>
      </c>
      <c r="D250" t="s">
        <v>13</v>
      </c>
      <c r="E250" t="s">
        <v>34</v>
      </c>
      <c r="F250" t="s">
        <v>2</v>
      </c>
      <c r="H250" t="s">
        <v>1958</v>
      </c>
      <c r="I250" s="22" t="str">
        <f t="shared" si="22"/>
        <v>2020-10-19</v>
      </c>
      <c r="J250" s="23" t="str">
        <f t="shared" si="23"/>
        <v>19</v>
      </c>
      <c r="K250" t="str">
        <f t="shared" si="24"/>
        <v>no</v>
      </c>
      <c r="L250">
        <v>19</v>
      </c>
      <c r="M250" t="str">
        <f t="shared" si="25"/>
        <v>2020-10-19</v>
      </c>
      <c r="N250" s="20">
        <f t="shared" si="26"/>
        <v>44124</v>
      </c>
      <c r="O250" t="str">
        <f t="shared" si="27"/>
        <v>2020-10-20</v>
      </c>
    </row>
    <row r="251" spans="1:15" x14ac:dyDescent="0.2">
      <c r="A251" s="21" t="str">
        <f t="shared" si="21"/>
        <v>y</v>
      </c>
      <c r="B251" s="24" t="s">
        <v>1644</v>
      </c>
      <c r="C251" t="s">
        <v>1064</v>
      </c>
      <c r="D251" t="s">
        <v>13</v>
      </c>
      <c r="E251" t="s">
        <v>43</v>
      </c>
      <c r="F251" t="s">
        <v>2</v>
      </c>
      <c r="H251" t="s">
        <v>1971</v>
      </c>
      <c r="I251" s="22" t="str">
        <f t="shared" si="22"/>
        <v>2020-10-19</v>
      </c>
      <c r="J251" s="23" t="str">
        <f t="shared" si="23"/>
        <v>19</v>
      </c>
      <c r="K251" t="str">
        <f t="shared" si="24"/>
        <v>no</v>
      </c>
      <c r="L251">
        <v>19</v>
      </c>
      <c r="M251" t="str">
        <f t="shared" si="25"/>
        <v>2020-10-19</v>
      </c>
      <c r="N251" s="20">
        <f t="shared" si="26"/>
        <v>44124</v>
      </c>
      <c r="O251" t="str">
        <f t="shared" si="27"/>
        <v>2020-10-20</v>
      </c>
    </row>
    <row r="252" spans="1:15" x14ac:dyDescent="0.2">
      <c r="A252" s="21" t="str">
        <f t="shared" si="21"/>
        <v>y</v>
      </c>
      <c r="B252" s="24" t="s">
        <v>1644</v>
      </c>
      <c r="C252" t="s">
        <v>1397</v>
      </c>
      <c r="D252" t="s">
        <v>13</v>
      </c>
      <c r="E252" t="s">
        <v>27</v>
      </c>
      <c r="F252" t="s">
        <v>2</v>
      </c>
      <c r="G252" t="s">
        <v>1461</v>
      </c>
      <c r="H252" t="s">
        <v>1956</v>
      </c>
      <c r="I252" s="22" t="str">
        <f t="shared" si="22"/>
        <v>2020-10-19</v>
      </c>
      <c r="J252" s="23" t="str">
        <f t="shared" si="23"/>
        <v>19</v>
      </c>
      <c r="K252" t="str">
        <f t="shared" si="24"/>
        <v>no</v>
      </c>
      <c r="L252">
        <v>19</v>
      </c>
      <c r="M252" t="str">
        <f t="shared" si="25"/>
        <v>2020-10-19</v>
      </c>
      <c r="N252" s="20">
        <f t="shared" si="26"/>
        <v>44124</v>
      </c>
      <c r="O252" t="str">
        <f t="shared" si="27"/>
        <v>2020-10-20</v>
      </c>
    </row>
    <row r="253" spans="1:15" x14ac:dyDescent="0.2">
      <c r="A253" s="21" t="str">
        <f t="shared" si="21"/>
        <v>y</v>
      </c>
      <c r="B253" s="24" t="s">
        <v>1645</v>
      </c>
      <c r="C253" t="s">
        <v>235</v>
      </c>
      <c r="D253" t="s">
        <v>13</v>
      </c>
      <c r="E253" t="s">
        <v>34</v>
      </c>
      <c r="F253" t="s">
        <v>2</v>
      </c>
      <c r="G253" t="s">
        <v>1457</v>
      </c>
      <c r="H253" t="s">
        <v>1958</v>
      </c>
      <c r="I253" s="22" t="str">
        <f t="shared" si="22"/>
        <v>2020-10-18</v>
      </c>
      <c r="J253" s="23" t="str">
        <f t="shared" si="23"/>
        <v>18</v>
      </c>
      <c r="K253" t="str">
        <f t="shared" si="24"/>
        <v>no</v>
      </c>
      <c r="L253">
        <v>18</v>
      </c>
      <c r="M253" t="str">
        <f t="shared" si="25"/>
        <v>2020-10-18</v>
      </c>
      <c r="N253" s="20">
        <f t="shared" si="26"/>
        <v>44123</v>
      </c>
      <c r="O253" t="str">
        <f t="shared" si="27"/>
        <v>2020-10-19</v>
      </c>
    </row>
    <row r="254" spans="1:15" x14ac:dyDescent="0.2">
      <c r="A254" s="21" t="str">
        <f t="shared" si="21"/>
        <v>y</v>
      </c>
      <c r="B254" s="24" t="s">
        <v>1645</v>
      </c>
      <c r="C254" t="s">
        <v>1064</v>
      </c>
      <c r="D254" t="s">
        <v>13</v>
      </c>
      <c r="E254" t="s">
        <v>34</v>
      </c>
      <c r="F254" t="s">
        <v>29</v>
      </c>
      <c r="G254" t="s">
        <v>1459</v>
      </c>
      <c r="H254" t="s">
        <v>1956</v>
      </c>
      <c r="I254" s="22" t="str">
        <f t="shared" si="22"/>
        <v>2020-10-18</v>
      </c>
      <c r="J254" s="23" t="str">
        <f t="shared" si="23"/>
        <v>18</v>
      </c>
      <c r="K254" t="str">
        <f t="shared" si="24"/>
        <v>no</v>
      </c>
      <c r="L254">
        <v>18</v>
      </c>
      <c r="M254" t="str">
        <f t="shared" si="25"/>
        <v>2020-10-18</v>
      </c>
      <c r="N254" s="20" t="str">
        <f t="shared" si="26"/>
        <v>2020-10-18</v>
      </c>
      <c r="O254" t="str">
        <f t="shared" si="27"/>
        <v>2020-10-18</v>
      </c>
    </row>
    <row r="255" spans="1:15" x14ac:dyDescent="0.2">
      <c r="A255" s="21" t="str">
        <f t="shared" si="21"/>
        <v>y</v>
      </c>
      <c r="B255" s="24" t="s">
        <v>1645</v>
      </c>
      <c r="C255" t="s">
        <v>38</v>
      </c>
      <c r="D255" t="s">
        <v>13</v>
      </c>
      <c r="E255" t="s">
        <v>43</v>
      </c>
      <c r="F255" t="s">
        <v>29</v>
      </c>
      <c r="G255" t="s">
        <v>1460</v>
      </c>
      <c r="H255" t="s">
        <v>1946</v>
      </c>
      <c r="I255" s="22" t="str">
        <f t="shared" si="22"/>
        <v>2020-10-18</v>
      </c>
      <c r="J255" s="23" t="str">
        <f t="shared" si="23"/>
        <v>18</v>
      </c>
      <c r="K255" t="str">
        <f t="shared" si="24"/>
        <v>no</v>
      </c>
      <c r="L255">
        <v>18</v>
      </c>
      <c r="M255" t="str">
        <f t="shared" si="25"/>
        <v>2020-10-18</v>
      </c>
      <c r="N255" s="20" t="str">
        <f t="shared" si="26"/>
        <v>2020-10-18</v>
      </c>
      <c r="O255" t="str">
        <f t="shared" si="27"/>
        <v>2020-10-18</v>
      </c>
    </row>
    <row r="256" spans="1:15" x14ac:dyDescent="0.2">
      <c r="A256" s="21" t="str">
        <f t="shared" si="21"/>
        <v>y</v>
      </c>
      <c r="B256" s="24" t="s">
        <v>1646</v>
      </c>
      <c r="C256" t="s">
        <v>235</v>
      </c>
      <c r="D256" t="s">
        <v>13</v>
      </c>
      <c r="E256" t="s">
        <v>34</v>
      </c>
      <c r="F256" t="s">
        <v>2</v>
      </c>
      <c r="G256" t="s">
        <v>1456</v>
      </c>
      <c r="H256" t="s">
        <v>1958</v>
      </c>
      <c r="I256" s="22" t="str">
        <f t="shared" si="22"/>
        <v>2020-10-17</v>
      </c>
      <c r="J256" s="23" t="str">
        <f t="shared" si="23"/>
        <v>17</v>
      </c>
      <c r="K256" t="str">
        <f t="shared" si="24"/>
        <v>no</v>
      </c>
      <c r="L256">
        <v>17</v>
      </c>
      <c r="M256" t="str">
        <f t="shared" si="25"/>
        <v>2020-10-17</v>
      </c>
      <c r="N256" s="20">
        <f t="shared" si="26"/>
        <v>44122</v>
      </c>
      <c r="O256" t="str">
        <f t="shared" si="27"/>
        <v>2020-10-18</v>
      </c>
    </row>
    <row r="257" spans="1:15" x14ac:dyDescent="0.2">
      <c r="A257" s="21" t="str">
        <f t="shared" si="21"/>
        <v>y</v>
      </c>
      <c r="B257" s="24" t="s">
        <v>1646</v>
      </c>
      <c r="C257" t="s">
        <v>1064</v>
      </c>
      <c r="D257" t="s">
        <v>13</v>
      </c>
      <c r="E257" t="s">
        <v>34</v>
      </c>
      <c r="F257" t="s">
        <v>2</v>
      </c>
      <c r="G257" t="s">
        <v>1455</v>
      </c>
      <c r="H257" t="s">
        <v>1956</v>
      </c>
      <c r="I257" s="22" t="str">
        <f t="shared" si="22"/>
        <v>2020-10-17</v>
      </c>
      <c r="J257" s="23" t="str">
        <f t="shared" si="23"/>
        <v>17</v>
      </c>
      <c r="K257" t="str">
        <f t="shared" si="24"/>
        <v>no</v>
      </c>
      <c r="L257">
        <v>17</v>
      </c>
      <c r="M257" t="str">
        <f t="shared" si="25"/>
        <v>2020-10-17</v>
      </c>
      <c r="N257" s="20">
        <f t="shared" si="26"/>
        <v>44122</v>
      </c>
      <c r="O257" t="str">
        <f t="shared" si="27"/>
        <v>2020-10-18</v>
      </c>
    </row>
    <row r="258" spans="1:15" x14ac:dyDescent="0.2">
      <c r="A258" s="21" t="str">
        <f t="shared" si="21"/>
        <v>y</v>
      </c>
      <c r="B258" s="24" t="s">
        <v>1646</v>
      </c>
      <c r="C258" t="s">
        <v>38</v>
      </c>
      <c r="D258" t="s">
        <v>13</v>
      </c>
      <c r="E258" t="s">
        <v>43</v>
      </c>
      <c r="F258" t="s">
        <v>2</v>
      </c>
      <c r="H258" t="s">
        <v>1946</v>
      </c>
      <c r="I258" s="22" t="str">
        <f t="shared" si="22"/>
        <v>2020-10-17</v>
      </c>
      <c r="J258" s="23" t="str">
        <f t="shared" si="23"/>
        <v>17</v>
      </c>
      <c r="K258" t="str">
        <f t="shared" si="24"/>
        <v>no</v>
      </c>
      <c r="L258">
        <v>17</v>
      </c>
      <c r="M258" t="str">
        <f t="shared" si="25"/>
        <v>2020-10-17</v>
      </c>
      <c r="N258" s="20">
        <f t="shared" si="26"/>
        <v>44122</v>
      </c>
      <c r="O258" t="str">
        <f t="shared" si="27"/>
        <v>2020-10-18</v>
      </c>
    </row>
    <row r="259" spans="1:15" x14ac:dyDescent="0.2">
      <c r="A259" s="21" t="str">
        <f t="shared" si="21"/>
        <v>y</v>
      </c>
      <c r="B259" s="24" t="s">
        <v>1647</v>
      </c>
      <c r="C259" t="s">
        <v>235</v>
      </c>
      <c r="D259" t="s">
        <v>13</v>
      </c>
      <c r="E259" t="s">
        <v>34</v>
      </c>
      <c r="F259" t="s">
        <v>2</v>
      </c>
      <c r="G259" t="s">
        <v>1456</v>
      </c>
      <c r="H259" t="s">
        <v>1958</v>
      </c>
      <c r="I259" s="22" t="str">
        <f t="shared" si="22"/>
        <v>2020-10-15</v>
      </c>
      <c r="J259" s="23" t="str">
        <f t="shared" si="23"/>
        <v>15</v>
      </c>
      <c r="K259" t="str">
        <f t="shared" si="24"/>
        <v>no</v>
      </c>
      <c r="L259">
        <v>15</v>
      </c>
      <c r="M259" t="str">
        <f t="shared" si="25"/>
        <v>2020-10-15</v>
      </c>
      <c r="N259" s="20">
        <f t="shared" si="26"/>
        <v>44120</v>
      </c>
      <c r="O259" t="str">
        <f t="shared" si="27"/>
        <v>2020-10-16</v>
      </c>
    </row>
    <row r="260" spans="1:15" x14ac:dyDescent="0.2">
      <c r="A260" s="21" t="str">
        <f t="shared" ref="A260:A323" si="28">IF(LEFT(B260,2)&gt;12,"y","-")</f>
        <v>y</v>
      </c>
      <c r="B260" s="24" t="s">
        <v>1647</v>
      </c>
      <c r="C260" t="s">
        <v>1064</v>
      </c>
      <c r="D260" t="s">
        <v>13</v>
      </c>
      <c r="E260" t="s">
        <v>34</v>
      </c>
      <c r="F260" t="s">
        <v>2</v>
      </c>
      <c r="G260" t="s">
        <v>1455</v>
      </c>
      <c r="H260" t="s">
        <v>1956</v>
      </c>
      <c r="I260" s="22" t="str">
        <f t="shared" ref="I260:I323" si="29">IF(K260="yes",TEXT(B260,"YYYY-DD-MM"),TEXT(B260,"YYYY-MM-DD"))</f>
        <v>2020-10-15</v>
      </c>
      <c r="J260" s="23" t="str">
        <f t="shared" ref="J260:J323" si="30">LEFT(B260,2)</f>
        <v>15</v>
      </c>
      <c r="K260" t="str">
        <f t="shared" ref="K260:K323" si="31">IF(L260&gt;31,"yes","no")</f>
        <v>no</v>
      </c>
      <c r="L260">
        <v>15</v>
      </c>
      <c r="M260" t="str">
        <f t="shared" ref="M260:M323" si="32">I260</f>
        <v>2020-10-15</v>
      </c>
      <c r="N260" s="20">
        <f t="shared" ref="N260:N323" si="33">IF(F260="DONE",M260,M260+1)</f>
        <v>44120</v>
      </c>
      <c r="O260" t="str">
        <f t="shared" ref="O260:O323" si="34">TEXT(N260,"YYYY-MM-DD")</f>
        <v>2020-10-16</v>
      </c>
    </row>
    <row r="261" spans="1:15" x14ac:dyDescent="0.2">
      <c r="A261" s="21" t="str">
        <f t="shared" si="28"/>
        <v>y</v>
      </c>
      <c r="B261" s="24" t="s">
        <v>1647</v>
      </c>
      <c r="C261" t="s">
        <v>235</v>
      </c>
      <c r="D261" t="s">
        <v>13</v>
      </c>
      <c r="E261" t="s">
        <v>34</v>
      </c>
      <c r="F261" t="s">
        <v>2</v>
      </c>
      <c r="G261" t="s">
        <v>1458</v>
      </c>
      <c r="H261" t="s">
        <v>1958</v>
      </c>
      <c r="I261" s="22" t="str">
        <f t="shared" si="29"/>
        <v>2020-10-15</v>
      </c>
      <c r="J261" s="23" t="str">
        <f t="shared" si="30"/>
        <v>15</v>
      </c>
      <c r="K261" t="str">
        <f t="shared" si="31"/>
        <v>no</v>
      </c>
      <c r="L261">
        <v>15</v>
      </c>
      <c r="M261" t="str">
        <f t="shared" si="32"/>
        <v>2020-10-15</v>
      </c>
      <c r="N261" s="20">
        <f t="shared" si="33"/>
        <v>44120</v>
      </c>
      <c r="O261" t="str">
        <f t="shared" si="34"/>
        <v>2020-10-16</v>
      </c>
    </row>
    <row r="262" spans="1:15" x14ac:dyDescent="0.2">
      <c r="A262" s="21" t="str">
        <f t="shared" si="28"/>
        <v>y</v>
      </c>
      <c r="B262" s="24" t="s">
        <v>1647</v>
      </c>
      <c r="C262" t="s">
        <v>38</v>
      </c>
      <c r="D262" t="s">
        <v>13</v>
      </c>
      <c r="E262" t="s">
        <v>43</v>
      </c>
      <c r="F262" t="s">
        <v>2</v>
      </c>
      <c r="H262" t="s">
        <v>1946</v>
      </c>
      <c r="I262" s="22" t="str">
        <f t="shared" si="29"/>
        <v>2020-10-15</v>
      </c>
      <c r="J262" s="23" t="str">
        <f t="shared" si="30"/>
        <v>15</v>
      </c>
      <c r="K262" t="str">
        <f t="shared" si="31"/>
        <v>no</v>
      </c>
      <c r="L262">
        <v>15</v>
      </c>
      <c r="M262" t="str">
        <f t="shared" si="32"/>
        <v>2020-10-15</v>
      </c>
      <c r="N262" s="20">
        <f t="shared" si="33"/>
        <v>44120</v>
      </c>
      <c r="O262" t="str">
        <f t="shared" si="34"/>
        <v>2020-10-16</v>
      </c>
    </row>
    <row r="263" spans="1:15" x14ac:dyDescent="0.2">
      <c r="A263" s="21" t="str">
        <f t="shared" si="28"/>
        <v>y</v>
      </c>
      <c r="B263" s="24" t="s">
        <v>1648</v>
      </c>
      <c r="C263" t="s">
        <v>235</v>
      </c>
      <c r="D263" t="s">
        <v>13</v>
      </c>
      <c r="E263" t="s">
        <v>34</v>
      </c>
      <c r="F263" t="s">
        <v>2</v>
      </c>
      <c r="H263" t="s">
        <v>1958</v>
      </c>
      <c r="I263" s="22" t="str">
        <f t="shared" si="29"/>
        <v>2020-10-14</v>
      </c>
      <c r="J263" s="23" t="str">
        <f t="shared" si="30"/>
        <v>14</v>
      </c>
      <c r="K263" t="str">
        <f t="shared" si="31"/>
        <v>no</v>
      </c>
      <c r="L263">
        <v>14</v>
      </c>
      <c r="M263" t="str">
        <f t="shared" si="32"/>
        <v>2020-10-14</v>
      </c>
      <c r="N263" s="20">
        <f t="shared" si="33"/>
        <v>44119</v>
      </c>
      <c r="O263" t="str">
        <f t="shared" si="34"/>
        <v>2020-10-15</v>
      </c>
    </row>
    <row r="264" spans="1:15" x14ac:dyDescent="0.2">
      <c r="A264" s="21" t="str">
        <f t="shared" si="28"/>
        <v>y</v>
      </c>
      <c r="B264" s="24" t="s">
        <v>1648</v>
      </c>
      <c r="C264" t="s">
        <v>1064</v>
      </c>
      <c r="D264" t="s">
        <v>13</v>
      </c>
      <c r="E264" t="s">
        <v>34</v>
      </c>
      <c r="F264" t="s">
        <v>2</v>
      </c>
      <c r="H264" t="s">
        <v>1956</v>
      </c>
      <c r="I264" s="22" t="str">
        <f t="shared" si="29"/>
        <v>2020-10-14</v>
      </c>
      <c r="J264" s="23" t="str">
        <f t="shared" si="30"/>
        <v>14</v>
      </c>
      <c r="K264" t="str">
        <f t="shared" si="31"/>
        <v>no</v>
      </c>
      <c r="L264">
        <v>14</v>
      </c>
      <c r="M264" t="str">
        <f t="shared" si="32"/>
        <v>2020-10-14</v>
      </c>
      <c r="N264" s="20">
        <f t="shared" si="33"/>
        <v>44119</v>
      </c>
      <c r="O264" t="str">
        <f t="shared" si="34"/>
        <v>2020-10-15</v>
      </c>
    </row>
    <row r="265" spans="1:15" x14ac:dyDescent="0.2">
      <c r="A265" s="21" t="str">
        <f t="shared" si="28"/>
        <v>y</v>
      </c>
      <c r="B265" s="24" t="s">
        <v>1648</v>
      </c>
      <c r="C265" t="s">
        <v>1415</v>
      </c>
      <c r="D265" t="s">
        <v>14</v>
      </c>
      <c r="E265" t="s">
        <v>27</v>
      </c>
      <c r="F265" t="s">
        <v>29</v>
      </c>
      <c r="G265" t="s">
        <v>1454</v>
      </c>
      <c r="H265" t="s">
        <v>1972</v>
      </c>
      <c r="I265" s="22" t="str">
        <f t="shared" si="29"/>
        <v>2020-10-14</v>
      </c>
      <c r="J265" s="23" t="str">
        <f t="shared" si="30"/>
        <v>14</v>
      </c>
      <c r="K265" t="str">
        <f t="shared" si="31"/>
        <v>no</v>
      </c>
      <c r="L265">
        <v>14</v>
      </c>
      <c r="M265" t="str">
        <f t="shared" si="32"/>
        <v>2020-10-14</v>
      </c>
      <c r="N265" s="20" t="str">
        <f t="shared" si="33"/>
        <v>2020-10-14</v>
      </c>
      <c r="O265" t="str">
        <f t="shared" si="34"/>
        <v>2020-10-14</v>
      </c>
    </row>
    <row r="266" spans="1:15" x14ac:dyDescent="0.2">
      <c r="A266" s="21" t="str">
        <f t="shared" si="28"/>
        <v>y</v>
      </c>
      <c r="B266" s="24" t="s">
        <v>1649</v>
      </c>
      <c r="C266" t="s">
        <v>235</v>
      </c>
      <c r="D266" t="s">
        <v>13</v>
      </c>
      <c r="E266" t="s">
        <v>34</v>
      </c>
      <c r="F266" t="s">
        <v>2</v>
      </c>
      <c r="H266" t="s">
        <v>1958</v>
      </c>
      <c r="I266" s="22" t="str">
        <f t="shared" si="29"/>
        <v>2020-10-13</v>
      </c>
      <c r="J266" s="23" t="str">
        <f t="shared" si="30"/>
        <v>13</v>
      </c>
      <c r="K266" t="str">
        <f t="shared" si="31"/>
        <v>no</v>
      </c>
      <c r="L266">
        <v>13</v>
      </c>
      <c r="M266" t="str">
        <f t="shared" si="32"/>
        <v>2020-10-13</v>
      </c>
      <c r="N266" s="20">
        <f t="shared" si="33"/>
        <v>44118</v>
      </c>
      <c r="O266" t="str">
        <f t="shared" si="34"/>
        <v>2020-10-14</v>
      </c>
    </row>
    <row r="267" spans="1:15" x14ac:dyDescent="0.2">
      <c r="A267" s="21" t="str">
        <f t="shared" si="28"/>
        <v>y</v>
      </c>
      <c r="B267" s="24" t="s">
        <v>1649</v>
      </c>
      <c r="C267" t="s">
        <v>1064</v>
      </c>
      <c r="D267" t="s">
        <v>13</v>
      </c>
      <c r="E267" t="s">
        <v>34</v>
      </c>
      <c r="F267" t="s">
        <v>2</v>
      </c>
      <c r="H267" t="s">
        <v>1956</v>
      </c>
      <c r="I267" s="22" t="str">
        <f t="shared" si="29"/>
        <v>2020-10-13</v>
      </c>
      <c r="J267" s="23" t="str">
        <f t="shared" si="30"/>
        <v>13</v>
      </c>
      <c r="K267" t="str">
        <f t="shared" si="31"/>
        <v>no</v>
      </c>
      <c r="L267">
        <v>13</v>
      </c>
      <c r="M267" t="str">
        <f t="shared" si="32"/>
        <v>2020-10-13</v>
      </c>
      <c r="N267" s="20">
        <f t="shared" si="33"/>
        <v>44118</v>
      </c>
      <c r="O267" t="str">
        <f t="shared" si="34"/>
        <v>2020-10-14</v>
      </c>
    </row>
    <row r="268" spans="1:15" x14ac:dyDescent="0.2">
      <c r="A268" s="21" t="str">
        <f t="shared" si="28"/>
        <v>y</v>
      </c>
      <c r="B268" s="24" t="s">
        <v>1649</v>
      </c>
      <c r="C268" t="s">
        <v>1415</v>
      </c>
      <c r="D268" t="s">
        <v>14</v>
      </c>
      <c r="E268" t="s">
        <v>27</v>
      </c>
      <c r="F268" t="s">
        <v>2</v>
      </c>
      <c r="H268" t="s">
        <v>1972</v>
      </c>
      <c r="I268" s="22" t="str">
        <f t="shared" si="29"/>
        <v>2020-10-13</v>
      </c>
      <c r="J268" s="23" t="str">
        <f t="shared" si="30"/>
        <v>13</v>
      </c>
      <c r="K268" t="str">
        <f t="shared" si="31"/>
        <v>no</v>
      </c>
      <c r="L268">
        <v>13</v>
      </c>
      <c r="M268" t="str">
        <f t="shared" si="32"/>
        <v>2020-10-13</v>
      </c>
      <c r="N268" s="20">
        <f t="shared" si="33"/>
        <v>44118</v>
      </c>
      <c r="O268" t="str">
        <f t="shared" si="34"/>
        <v>2020-10-14</v>
      </c>
    </row>
    <row r="269" spans="1:15" x14ac:dyDescent="0.2">
      <c r="A269" s="21" t="str">
        <f t="shared" si="28"/>
        <v>y</v>
      </c>
      <c r="B269" s="24">
        <v>44175</v>
      </c>
      <c r="C269" t="s">
        <v>235</v>
      </c>
      <c r="D269" t="s">
        <v>13</v>
      </c>
      <c r="E269" t="s">
        <v>34</v>
      </c>
      <c r="F269" t="s">
        <v>2</v>
      </c>
      <c r="G269" t="s">
        <v>1449</v>
      </c>
      <c r="H269" t="s">
        <v>1958</v>
      </c>
      <c r="I269" s="22" t="str">
        <f t="shared" si="29"/>
        <v>2020-10-12</v>
      </c>
      <c r="J269" s="23" t="str">
        <f t="shared" si="30"/>
        <v>44</v>
      </c>
      <c r="K269" t="str">
        <f t="shared" si="31"/>
        <v>yes</v>
      </c>
      <c r="L269">
        <v>44</v>
      </c>
      <c r="M269" t="str">
        <f t="shared" si="32"/>
        <v>2020-10-12</v>
      </c>
      <c r="N269" s="20">
        <f t="shared" si="33"/>
        <v>44117</v>
      </c>
      <c r="O269" t="str">
        <f t="shared" si="34"/>
        <v>2020-10-13</v>
      </c>
    </row>
    <row r="270" spans="1:15" x14ac:dyDescent="0.2">
      <c r="A270" s="21" t="str">
        <f t="shared" si="28"/>
        <v>y</v>
      </c>
      <c r="B270" s="24">
        <v>44175</v>
      </c>
      <c r="C270" t="s">
        <v>235</v>
      </c>
      <c r="D270" t="s">
        <v>13</v>
      </c>
      <c r="E270" t="s">
        <v>34</v>
      </c>
      <c r="F270" t="s">
        <v>29</v>
      </c>
      <c r="G270" t="s">
        <v>1448</v>
      </c>
      <c r="H270" t="s">
        <v>1958</v>
      </c>
      <c r="I270" s="22" t="str">
        <f t="shared" si="29"/>
        <v>2020-10-12</v>
      </c>
      <c r="J270" s="23" t="str">
        <f t="shared" si="30"/>
        <v>44</v>
      </c>
      <c r="K270" t="str">
        <f t="shared" si="31"/>
        <v>yes</v>
      </c>
      <c r="L270">
        <v>44</v>
      </c>
      <c r="M270" t="str">
        <f t="shared" si="32"/>
        <v>2020-10-12</v>
      </c>
      <c r="N270" s="20" t="str">
        <f t="shared" si="33"/>
        <v>2020-10-12</v>
      </c>
      <c r="O270" t="str">
        <f t="shared" si="34"/>
        <v>2020-10-12</v>
      </c>
    </row>
    <row r="271" spans="1:15" x14ac:dyDescent="0.2">
      <c r="A271" s="21" t="str">
        <f t="shared" si="28"/>
        <v>y</v>
      </c>
      <c r="B271" s="24">
        <v>44175</v>
      </c>
      <c r="C271" t="s">
        <v>1064</v>
      </c>
      <c r="D271" t="s">
        <v>13</v>
      </c>
      <c r="E271" t="s">
        <v>34</v>
      </c>
      <c r="F271" t="s">
        <v>2</v>
      </c>
      <c r="G271" t="s">
        <v>1452</v>
      </c>
      <c r="H271" t="s">
        <v>1956</v>
      </c>
      <c r="I271" s="22" t="str">
        <f t="shared" si="29"/>
        <v>2020-10-12</v>
      </c>
      <c r="J271" s="23" t="str">
        <f t="shared" si="30"/>
        <v>44</v>
      </c>
      <c r="K271" t="str">
        <f t="shared" si="31"/>
        <v>yes</v>
      </c>
      <c r="L271">
        <v>44</v>
      </c>
      <c r="M271" t="str">
        <f t="shared" si="32"/>
        <v>2020-10-12</v>
      </c>
      <c r="N271" s="20">
        <f t="shared" si="33"/>
        <v>44117</v>
      </c>
      <c r="O271" t="str">
        <f t="shared" si="34"/>
        <v>2020-10-13</v>
      </c>
    </row>
    <row r="272" spans="1:15" x14ac:dyDescent="0.2">
      <c r="A272" s="21" t="str">
        <f t="shared" si="28"/>
        <v>y</v>
      </c>
      <c r="B272" s="24">
        <v>44175</v>
      </c>
      <c r="C272" t="s">
        <v>1423</v>
      </c>
      <c r="D272" t="s">
        <v>13</v>
      </c>
      <c r="E272" t="s">
        <v>27</v>
      </c>
      <c r="F272" t="s">
        <v>29</v>
      </c>
      <c r="G272" t="s">
        <v>1453</v>
      </c>
      <c r="H272" t="s">
        <v>1959</v>
      </c>
      <c r="I272" s="22" t="str">
        <f t="shared" si="29"/>
        <v>2020-10-12</v>
      </c>
      <c r="J272" s="23" t="str">
        <f t="shared" si="30"/>
        <v>44</v>
      </c>
      <c r="K272" t="str">
        <f t="shared" si="31"/>
        <v>yes</v>
      </c>
      <c r="L272">
        <v>44</v>
      </c>
      <c r="M272" t="str">
        <f t="shared" si="32"/>
        <v>2020-10-12</v>
      </c>
      <c r="N272" s="20" t="str">
        <f t="shared" si="33"/>
        <v>2020-10-12</v>
      </c>
      <c r="O272" t="str">
        <f t="shared" si="34"/>
        <v>2020-10-12</v>
      </c>
    </row>
    <row r="273" spans="1:15" x14ac:dyDescent="0.2">
      <c r="A273" s="21" t="str">
        <f t="shared" si="28"/>
        <v>y</v>
      </c>
      <c r="B273" s="24">
        <v>44175</v>
      </c>
      <c r="C273" t="s">
        <v>1415</v>
      </c>
      <c r="D273" t="s">
        <v>14</v>
      </c>
      <c r="E273" t="s">
        <v>27</v>
      </c>
      <c r="F273" t="s">
        <v>2</v>
      </c>
      <c r="G273" t="s">
        <v>1451</v>
      </c>
      <c r="H273" t="s">
        <v>1972</v>
      </c>
      <c r="I273" s="22" t="str">
        <f t="shared" si="29"/>
        <v>2020-10-12</v>
      </c>
      <c r="J273" s="23" t="str">
        <f t="shared" si="30"/>
        <v>44</v>
      </c>
      <c r="K273" t="str">
        <f t="shared" si="31"/>
        <v>yes</v>
      </c>
      <c r="L273">
        <v>44</v>
      </c>
      <c r="M273" t="str">
        <f t="shared" si="32"/>
        <v>2020-10-12</v>
      </c>
      <c r="N273" s="20">
        <f t="shared" si="33"/>
        <v>44117</v>
      </c>
      <c r="O273" t="str">
        <f t="shared" si="34"/>
        <v>2020-10-13</v>
      </c>
    </row>
    <row r="274" spans="1:15" x14ac:dyDescent="0.2">
      <c r="A274" s="21" t="str">
        <f t="shared" si="28"/>
        <v>y</v>
      </c>
      <c r="B274" s="24">
        <v>44145</v>
      </c>
      <c r="C274" t="s">
        <v>235</v>
      </c>
      <c r="D274" t="s">
        <v>13</v>
      </c>
      <c r="E274" t="s">
        <v>34</v>
      </c>
      <c r="F274" t="s">
        <v>2</v>
      </c>
      <c r="G274" t="s">
        <v>1444</v>
      </c>
      <c r="H274" t="s">
        <v>1958</v>
      </c>
      <c r="I274" s="22" t="str">
        <f t="shared" si="29"/>
        <v>2020-10-11</v>
      </c>
      <c r="J274" s="23" t="str">
        <f t="shared" si="30"/>
        <v>44</v>
      </c>
      <c r="K274" t="str">
        <f t="shared" si="31"/>
        <v>yes</v>
      </c>
      <c r="L274">
        <v>44</v>
      </c>
      <c r="M274" t="str">
        <f t="shared" si="32"/>
        <v>2020-10-11</v>
      </c>
      <c r="N274" s="20">
        <f t="shared" si="33"/>
        <v>44116</v>
      </c>
      <c r="O274" t="str">
        <f t="shared" si="34"/>
        <v>2020-10-12</v>
      </c>
    </row>
    <row r="275" spans="1:15" x14ac:dyDescent="0.2">
      <c r="A275" s="21" t="str">
        <f t="shared" si="28"/>
        <v>y</v>
      </c>
      <c r="B275" s="24">
        <v>44145</v>
      </c>
      <c r="C275" t="s">
        <v>235</v>
      </c>
      <c r="D275" t="s">
        <v>13</v>
      </c>
      <c r="E275" t="s">
        <v>34</v>
      </c>
      <c r="F275" t="s">
        <v>2</v>
      </c>
      <c r="G275" t="s">
        <v>1437</v>
      </c>
      <c r="H275" t="s">
        <v>1959</v>
      </c>
      <c r="I275" s="22" t="str">
        <f t="shared" si="29"/>
        <v>2020-10-11</v>
      </c>
      <c r="J275" s="23" t="str">
        <f t="shared" si="30"/>
        <v>44</v>
      </c>
      <c r="K275" t="str">
        <f t="shared" si="31"/>
        <v>yes</v>
      </c>
      <c r="L275">
        <v>44</v>
      </c>
      <c r="M275" t="str">
        <f t="shared" si="32"/>
        <v>2020-10-11</v>
      </c>
      <c r="N275" s="20">
        <f t="shared" si="33"/>
        <v>44116</v>
      </c>
      <c r="O275" t="str">
        <f t="shared" si="34"/>
        <v>2020-10-12</v>
      </c>
    </row>
    <row r="276" spans="1:15" x14ac:dyDescent="0.2">
      <c r="A276" s="21" t="str">
        <f t="shared" si="28"/>
        <v>y</v>
      </c>
      <c r="B276" s="24">
        <v>44145</v>
      </c>
      <c r="C276" t="s">
        <v>1423</v>
      </c>
      <c r="D276" t="s">
        <v>13</v>
      </c>
      <c r="E276" t="s">
        <v>27</v>
      </c>
      <c r="F276" t="s">
        <v>29</v>
      </c>
      <c r="G276" t="s">
        <v>1447</v>
      </c>
      <c r="H276" t="s">
        <v>1958</v>
      </c>
      <c r="I276" s="22" t="str">
        <f t="shared" si="29"/>
        <v>2020-10-11</v>
      </c>
      <c r="J276" s="23" t="str">
        <f t="shared" si="30"/>
        <v>44</v>
      </c>
      <c r="K276" t="str">
        <f t="shared" si="31"/>
        <v>yes</v>
      </c>
      <c r="L276">
        <v>44</v>
      </c>
      <c r="M276" t="str">
        <f t="shared" si="32"/>
        <v>2020-10-11</v>
      </c>
      <c r="N276" s="20" t="str">
        <f t="shared" si="33"/>
        <v>2020-10-11</v>
      </c>
      <c r="O276" t="str">
        <f t="shared" si="34"/>
        <v>2020-10-11</v>
      </c>
    </row>
    <row r="277" spans="1:15" x14ac:dyDescent="0.2">
      <c r="A277" s="21" t="str">
        <f t="shared" si="28"/>
        <v>y</v>
      </c>
      <c r="B277" s="24">
        <v>44145</v>
      </c>
      <c r="C277" t="s">
        <v>1064</v>
      </c>
      <c r="D277" t="s">
        <v>13</v>
      </c>
      <c r="E277" t="s">
        <v>49</v>
      </c>
      <c r="F277" t="s">
        <v>29</v>
      </c>
      <c r="G277" t="s">
        <v>1446</v>
      </c>
      <c r="H277" t="s">
        <v>1956</v>
      </c>
      <c r="I277" s="22" t="str">
        <f t="shared" si="29"/>
        <v>2020-10-11</v>
      </c>
      <c r="J277" s="23" t="str">
        <f t="shared" si="30"/>
        <v>44</v>
      </c>
      <c r="K277" t="str">
        <f t="shared" si="31"/>
        <v>yes</v>
      </c>
      <c r="L277">
        <v>44</v>
      </c>
      <c r="M277" t="str">
        <f t="shared" si="32"/>
        <v>2020-10-11</v>
      </c>
      <c r="N277" s="20" t="str">
        <f t="shared" si="33"/>
        <v>2020-10-11</v>
      </c>
      <c r="O277" t="str">
        <f t="shared" si="34"/>
        <v>2020-10-11</v>
      </c>
    </row>
    <row r="278" spans="1:15" x14ac:dyDescent="0.2">
      <c r="A278" s="21" t="str">
        <f t="shared" si="28"/>
        <v>y</v>
      </c>
      <c r="B278" s="24">
        <v>44145</v>
      </c>
      <c r="C278" t="s">
        <v>1064</v>
      </c>
      <c r="D278" t="s">
        <v>13</v>
      </c>
      <c r="E278" t="s">
        <v>34</v>
      </c>
      <c r="F278" t="s">
        <v>2</v>
      </c>
      <c r="H278" t="s">
        <v>1956</v>
      </c>
      <c r="I278" s="22" t="str">
        <f t="shared" si="29"/>
        <v>2020-10-11</v>
      </c>
      <c r="J278" s="23" t="str">
        <f t="shared" si="30"/>
        <v>44</v>
      </c>
      <c r="K278" t="str">
        <f t="shared" si="31"/>
        <v>yes</v>
      </c>
      <c r="L278">
        <v>44</v>
      </c>
      <c r="M278" t="str">
        <f t="shared" si="32"/>
        <v>2020-10-11</v>
      </c>
      <c r="N278" s="20">
        <f t="shared" si="33"/>
        <v>44116</v>
      </c>
      <c r="O278" t="str">
        <f t="shared" si="34"/>
        <v>2020-10-12</v>
      </c>
    </row>
    <row r="279" spans="1:15" x14ac:dyDescent="0.2">
      <c r="A279" s="21" t="str">
        <f t="shared" si="28"/>
        <v>y</v>
      </c>
      <c r="B279" s="24">
        <v>44114</v>
      </c>
      <c r="C279" t="s">
        <v>235</v>
      </c>
      <c r="D279" t="s">
        <v>13</v>
      </c>
      <c r="E279" t="s">
        <v>34</v>
      </c>
      <c r="F279" t="s">
        <v>2</v>
      </c>
      <c r="G279" t="s">
        <v>1444</v>
      </c>
      <c r="H279" t="s">
        <v>1958</v>
      </c>
      <c r="I279" s="22" t="str">
        <f t="shared" si="29"/>
        <v>2020-10-10</v>
      </c>
      <c r="J279" s="23" t="str">
        <f t="shared" si="30"/>
        <v>44</v>
      </c>
      <c r="K279" t="str">
        <f t="shared" si="31"/>
        <v>yes</v>
      </c>
      <c r="L279">
        <v>44</v>
      </c>
      <c r="M279" t="str">
        <f t="shared" si="32"/>
        <v>2020-10-10</v>
      </c>
      <c r="N279" s="20">
        <f t="shared" si="33"/>
        <v>44115</v>
      </c>
      <c r="O279" t="str">
        <f t="shared" si="34"/>
        <v>2020-10-11</v>
      </c>
    </row>
    <row r="280" spans="1:15" x14ac:dyDescent="0.2">
      <c r="A280" s="21" t="str">
        <f t="shared" si="28"/>
        <v>y</v>
      </c>
      <c r="B280" s="24">
        <v>44114</v>
      </c>
      <c r="C280" t="s">
        <v>235</v>
      </c>
      <c r="D280" t="s">
        <v>13</v>
      </c>
      <c r="E280" t="s">
        <v>34</v>
      </c>
      <c r="F280" t="s">
        <v>2</v>
      </c>
      <c r="G280" t="s">
        <v>1437</v>
      </c>
      <c r="H280" t="s">
        <v>1959</v>
      </c>
      <c r="I280" s="22" t="str">
        <f t="shared" si="29"/>
        <v>2020-10-10</v>
      </c>
      <c r="J280" s="23" t="str">
        <f t="shared" si="30"/>
        <v>44</v>
      </c>
      <c r="K280" t="str">
        <f t="shared" si="31"/>
        <v>yes</v>
      </c>
      <c r="L280">
        <v>44</v>
      </c>
      <c r="M280" t="str">
        <f t="shared" si="32"/>
        <v>2020-10-10</v>
      </c>
      <c r="N280" s="20">
        <f t="shared" si="33"/>
        <v>44115</v>
      </c>
      <c r="O280" t="str">
        <f t="shared" si="34"/>
        <v>2020-10-11</v>
      </c>
    </row>
    <row r="281" spans="1:15" x14ac:dyDescent="0.2">
      <c r="A281" s="21" t="str">
        <f t="shared" si="28"/>
        <v>y</v>
      </c>
      <c r="B281" s="24">
        <v>44114</v>
      </c>
      <c r="C281" t="s">
        <v>1423</v>
      </c>
      <c r="D281" t="s">
        <v>13</v>
      </c>
      <c r="E281" t="s">
        <v>27</v>
      </c>
      <c r="F281" t="s">
        <v>2</v>
      </c>
      <c r="G281" t="s">
        <v>1445</v>
      </c>
      <c r="H281" t="s">
        <v>1958</v>
      </c>
      <c r="I281" s="22" t="str">
        <f t="shared" si="29"/>
        <v>2020-10-10</v>
      </c>
      <c r="J281" s="23" t="str">
        <f t="shared" si="30"/>
        <v>44</v>
      </c>
      <c r="K281" t="str">
        <f t="shared" si="31"/>
        <v>yes</v>
      </c>
      <c r="L281">
        <v>44</v>
      </c>
      <c r="M281" t="str">
        <f t="shared" si="32"/>
        <v>2020-10-10</v>
      </c>
      <c r="N281" s="20">
        <f t="shared" si="33"/>
        <v>44115</v>
      </c>
      <c r="O281" t="str">
        <f t="shared" si="34"/>
        <v>2020-10-11</v>
      </c>
    </row>
    <row r="282" spans="1:15" x14ac:dyDescent="0.2">
      <c r="A282" s="21" t="str">
        <f t="shared" si="28"/>
        <v>y</v>
      </c>
      <c r="B282" s="24">
        <v>44114</v>
      </c>
      <c r="C282" t="s">
        <v>701</v>
      </c>
      <c r="D282" t="s">
        <v>13</v>
      </c>
      <c r="E282" t="s">
        <v>34</v>
      </c>
      <c r="F282" t="s">
        <v>2</v>
      </c>
      <c r="G282" t="s">
        <v>1450</v>
      </c>
      <c r="H282" t="s">
        <v>1966</v>
      </c>
      <c r="I282" s="22" t="str">
        <f t="shared" si="29"/>
        <v>2020-10-10</v>
      </c>
      <c r="J282" s="23" t="str">
        <f t="shared" si="30"/>
        <v>44</v>
      </c>
      <c r="K282" t="str">
        <f t="shared" si="31"/>
        <v>yes</v>
      </c>
      <c r="L282">
        <v>44</v>
      </c>
      <c r="M282" t="str">
        <f t="shared" si="32"/>
        <v>2020-10-10</v>
      </c>
      <c r="N282" s="20">
        <f t="shared" si="33"/>
        <v>44115</v>
      </c>
      <c r="O282" t="str">
        <f t="shared" si="34"/>
        <v>2020-10-11</v>
      </c>
    </row>
    <row r="283" spans="1:15" x14ac:dyDescent="0.2">
      <c r="A283" s="21" t="str">
        <f t="shared" si="28"/>
        <v>y</v>
      </c>
      <c r="B283" s="24">
        <v>44053</v>
      </c>
      <c r="C283" t="s">
        <v>235</v>
      </c>
      <c r="D283" t="s">
        <v>13</v>
      </c>
      <c r="E283" t="s">
        <v>34</v>
      </c>
      <c r="F283" t="s">
        <v>2</v>
      </c>
      <c r="H283" t="s">
        <v>1958</v>
      </c>
      <c r="I283" s="22" t="str">
        <f t="shared" si="29"/>
        <v>2020-10-08</v>
      </c>
      <c r="J283" s="23" t="str">
        <f t="shared" si="30"/>
        <v>44</v>
      </c>
      <c r="K283" t="str">
        <f t="shared" si="31"/>
        <v>yes</v>
      </c>
      <c r="L283">
        <v>44</v>
      </c>
      <c r="M283" t="str">
        <f t="shared" si="32"/>
        <v>2020-10-08</v>
      </c>
      <c r="N283" s="20">
        <f t="shared" si="33"/>
        <v>44113</v>
      </c>
      <c r="O283" t="str">
        <f t="shared" si="34"/>
        <v>2020-10-09</v>
      </c>
    </row>
    <row r="284" spans="1:15" x14ac:dyDescent="0.2">
      <c r="A284" s="21" t="str">
        <f t="shared" si="28"/>
        <v>y</v>
      </c>
      <c r="B284" s="24">
        <v>44053</v>
      </c>
      <c r="C284" t="s">
        <v>235</v>
      </c>
      <c r="D284" t="s">
        <v>13</v>
      </c>
      <c r="E284" t="s">
        <v>34</v>
      </c>
      <c r="F284" t="s">
        <v>2</v>
      </c>
      <c r="G284" t="s">
        <v>1437</v>
      </c>
      <c r="H284" t="s">
        <v>1959</v>
      </c>
      <c r="I284" s="22" t="str">
        <f t="shared" si="29"/>
        <v>2020-10-08</v>
      </c>
      <c r="J284" s="23" t="str">
        <f t="shared" si="30"/>
        <v>44</v>
      </c>
      <c r="K284" t="str">
        <f t="shared" si="31"/>
        <v>yes</v>
      </c>
      <c r="L284">
        <v>44</v>
      </c>
      <c r="M284" t="str">
        <f t="shared" si="32"/>
        <v>2020-10-08</v>
      </c>
      <c r="N284" s="20">
        <f t="shared" si="33"/>
        <v>44113</v>
      </c>
      <c r="O284" t="str">
        <f t="shared" si="34"/>
        <v>2020-10-09</v>
      </c>
    </row>
    <row r="285" spans="1:15" x14ac:dyDescent="0.2">
      <c r="A285" s="21" t="str">
        <f t="shared" si="28"/>
        <v>y</v>
      </c>
      <c r="B285" s="24">
        <v>44053</v>
      </c>
      <c r="C285" t="s">
        <v>1423</v>
      </c>
      <c r="D285" t="s">
        <v>13</v>
      </c>
      <c r="E285" t="s">
        <v>27</v>
      </c>
      <c r="F285" t="s">
        <v>2</v>
      </c>
      <c r="G285" t="s">
        <v>1439</v>
      </c>
      <c r="H285" t="s">
        <v>1958</v>
      </c>
      <c r="I285" s="22" t="str">
        <f t="shared" si="29"/>
        <v>2020-10-08</v>
      </c>
      <c r="J285" s="23" t="str">
        <f t="shared" si="30"/>
        <v>44</v>
      </c>
      <c r="K285" t="str">
        <f t="shared" si="31"/>
        <v>yes</v>
      </c>
      <c r="L285">
        <v>44</v>
      </c>
      <c r="M285" t="str">
        <f t="shared" si="32"/>
        <v>2020-10-08</v>
      </c>
      <c r="N285" s="20">
        <f t="shared" si="33"/>
        <v>44113</v>
      </c>
      <c r="O285" t="str">
        <f t="shared" si="34"/>
        <v>2020-10-09</v>
      </c>
    </row>
    <row r="286" spans="1:15" x14ac:dyDescent="0.2">
      <c r="A286" s="21" t="str">
        <f t="shared" si="28"/>
        <v>y</v>
      </c>
      <c r="B286" s="24">
        <v>44053</v>
      </c>
      <c r="C286" t="s">
        <v>1415</v>
      </c>
      <c r="D286" t="s">
        <v>14</v>
      </c>
      <c r="E286" t="s">
        <v>27</v>
      </c>
      <c r="F286" t="s">
        <v>2</v>
      </c>
      <c r="H286" t="s">
        <v>1972</v>
      </c>
      <c r="I286" s="22" t="str">
        <f t="shared" si="29"/>
        <v>2020-10-08</v>
      </c>
      <c r="J286" s="23" t="str">
        <f t="shared" si="30"/>
        <v>44</v>
      </c>
      <c r="K286" t="str">
        <f t="shared" si="31"/>
        <v>yes</v>
      </c>
      <c r="L286">
        <v>44</v>
      </c>
      <c r="M286" t="str">
        <f t="shared" si="32"/>
        <v>2020-10-08</v>
      </c>
      <c r="N286" s="20">
        <f t="shared" si="33"/>
        <v>44113</v>
      </c>
      <c r="O286" t="str">
        <f t="shared" si="34"/>
        <v>2020-10-09</v>
      </c>
    </row>
    <row r="287" spans="1:15" x14ac:dyDescent="0.2">
      <c r="A287" s="21" t="str">
        <f t="shared" si="28"/>
        <v>y</v>
      </c>
      <c r="B287" s="24">
        <v>44053</v>
      </c>
      <c r="C287" t="s">
        <v>701</v>
      </c>
      <c r="D287" t="s">
        <v>13</v>
      </c>
      <c r="E287" t="s">
        <v>34</v>
      </c>
      <c r="F287" t="s">
        <v>2</v>
      </c>
      <c r="G287" t="s">
        <v>1440</v>
      </c>
      <c r="H287" t="s">
        <v>1966</v>
      </c>
      <c r="I287" s="22" t="str">
        <f t="shared" si="29"/>
        <v>2020-10-08</v>
      </c>
      <c r="J287" s="23" t="str">
        <f t="shared" si="30"/>
        <v>44</v>
      </c>
      <c r="K287" t="str">
        <f t="shared" si="31"/>
        <v>yes</v>
      </c>
      <c r="L287">
        <v>44</v>
      </c>
      <c r="M287" t="str">
        <f t="shared" si="32"/>
        <v>2020-10-08</v>
      </c>
      <c r="N287" s="20">
        <f t="shared" si="33"/>
        <v>44113</v>
      </c>
      <c r="O287" t="str">
        <f t="shared" si="34"/>
        <v>2020-10-09</v>
      </c>
    </row>
    <row r="288" spans="1:15" x14ac:dyDescent="0.2">
      <c r="A288" s="21" t="str">
        <f t="shared" si="28"/>
        <v>y</v>
      </c>
      <c r="B288" s="24">
        <v>44053</v>
      </c>
      <c r="C288" t="s">
        <v>1064</v>
      </c>
      <c r="D288" t="s">
        <v>13</v>
      </c>
      <c r="E288" t="s">
        <v>27</v>
      </c>
      <c r="F288" t="s">
        <v>29</v>
      </c>
      <c r="G288" t="s">
        <v>1443</v>
      </c>
      <c r="H288" t="s">
        <v>1971</v>
      </c>
      <c r="I288" s="22" t="str">
        <f t="shared" si="29"/>
        <v>2020-10-08</v>
      </c>
      <c r="J288" s="23" t="str">
        <f t="shared" si="30"/>
        <v>44</v>
      </c>
      <c r="K288" t="str">
        <f t="shared" si="31"/>
        <v>yes</v>
      </c>
      <c r="L288">
        <v>44</v>
      </c>
      <c r="M288" t="str">
        <f t="shared" si="32"/>
        <v>2020-10-08</v>
      </c>
      <c r="N288" s="20" t="str">
        <f t="shared" si="33"/>
        <v>2020-10-08</v>
      </c>
      <c r="O288" t="str">
        <f t="shared" si="34"/>
        <v>2020-10-08</v>
      </c>
    </row>
    <row r="289" spans="1:15" x14ac:dyDescent="0.2">
      <c r="A289" s="21" t="str">
        <f t="shared" si="28"/>
        <v>y</v>
      </c>
      <c r="B289" s="24">
        <v>44053</v>
      </c>
      <c r="C289" t="s">
        <v>1397</v>
      </c>
      <c r="D289" t="s">
        <v>13</v>
      </c>
      <c r="E289" t="s">
        <v>27</v>
      </c>
      <c r="F289" t="s">
        <v>29</v>
      </c>
      <c r="G289" t="s">
        <v>1442</v>
      </c>
      <c r="H289" t="s">
        <v>1956</v>
      </c>
      <c r="I289" s="22" t="str">
        <f t="shared" si="29"/>
        <v>2020-10-08</v>
      </c>
      <c r="J289" s="23" t="str">
        <f t="shared" si="30"/>
        <v>44</v>
      </c>
      <c r="K289" t="str">
        <f t="shared" si="31"/>
        <v>yes</v>
      </c>
      <c r="L289">
        <v>44</v>
      </c>
      <c r="M289" t="str">
        <f t="shared" si="32"/>
        <v>2020-10-08</v>
      </c>
      <c r="N289" s="20" t="str">
        <f t="shared" si="33"/>
        <v>2020-10-08</v>
      </c>
      <c r="O289" t="str">
        <f t="shared" si="34"/>
        <v>2020-10-08</v>
      </c>
    </row>
    <row r="290" spans="1:15" x14ac:dyDescent="0.2">
      <c r="A290" s="21" t="str">
        <f t="shared" si="28"/>
        <v>y</v>
      </c>
      <c r="B290" s="24">
        <v>44022</v>
      </c>
      <c r="C290" t="s">
        <v>235</v>
      </c>
      <c r="D290" t="s">
        <v>13</v>
      </c>
      <c r="E290" t="s">
        <v>34</v>
      </c>
      <c r="F290" t="s">
        <v>2</v>
      </c>
      <c r="H290" t="s">
        <v>1958</v>
      </c>
      <c r="I290" s="22" t="str">
        <f t="shared" si="29"/>
        <v>2020-10-07</v>
      </c>
      <c r="J290" s="23" t="str">
        <f t="shared" si="30"/>
        <v>44</v>
      </c>
      <c r="K290" t="str">
        <f t="shared" si="31"/>
        <v>yes</v>
      </c>
      <c r="L290">
        <v>44</v>
      </c>
      <c r="M290" t="str">
        <f t="shared" si="32"/>
        <v>2020-10-07</v>
      </c>
      <c r="N290" s="20">
        <f t="shared" si="33"/>
        <v>44112</v>
      </c>
      <c r="O290" t="str">
        <f t="shared" si="34"/>
        <v>2020-10-08</v>
      </c>
    </row>
    <row r="291" spans="1:15" x14ac:dyDescent="0.2">
      <c r="A291" s="21" t="str">
        <f t="shared" si="28"/>
        <v>y</v>
      </c>
      <c r="B291" s="24">
        <v>44022</v>
      </c>
      <c r="C291" t="s">
        <v>235</v>
      </c>
      <c r="D291" t="s">
        <v>13</v>
      </c>
      <c r="E291" t="s">
        <v>34</v>
      </c>
      <c r="F291" t="s">
        <v>2</v>
      </c>
      <c r="G291" t="s">
        <v>1437</v>
      </c>
      <c r="H291" t="s">
        <v>1959</v>
      </c>
      <c r="I291" s="22" t="str">
        <f t="shared" si="29"/>
        <v>2020-10-07</v>
      </c>
      <c r="J291" s="23" t="str">
        <f t="shared" si="30"/>
        <v>44</v>
      </c>
      <c r="K291" t="str">
        <f t="shared" si="31"/>
        <v>yes</v>
      </c>
      <c r="L291">
        <v>44</v>
      </c>
      <c r="M291" t="str">
        <f t="shared" si="32"/>
        <v>2020-10-07</v>
      </c>
      <c r="N291" s="20">
        <f t="shared" si="33"/>
        <v>44112</v>
      </c>
      <c r="O291" t="str">
        <f t="shared" si="34"/>
        <v>2020-10-08</v>
      </c>
    </row>
    <row r="292" spans="1:15" x14ac:dyDescent="0.2">
      <c r="A292" s="21" t="str">
        <f t="shared" si="28"/>
        <v>y</v>
      </c>
      <c r="B292" s="24">
        <v>44022</v>
      </c>
      <c r="C292" t="s">
        <v>235</v>
      </c>
      <c r="D292" t="s">
        <v>13</v>
      </c>
      <c r="E292" t="s">
        <v>64</v>
      </c>
      <c r="F292" t="s">
        <v>2</v>
      </c>
      <c r="H292" t="s">
        <v>1958</v>
      </c>
      <c r="I292" s="22" t="str">
        <f t="shared" si="29"/>
        <v>2020-10-07</v>
      </c>
      <c r="J292" s="23" t="str">
        <f t="shared" si="30"/>
        <v>44</v>
      </c>
      <c r="K292" t="str">
        <f t="shared" si="31"/>
        <v>yes</v>
      </c>
      <c r="L292">
        <v>44</v>
      </c>
      <c r="M292" t="str">
        <f t="shared" si="32"/>
        <v>2020-10-07</v>
      </c>
      <c r="N292" s="20">
        <f t="shared" si="33"/>
        <v>44112</v>
      </c>
      <c r="O292" t="str">
        <f t="shared" si="34"/>
        <v>2020-10-08</v>
      </c>
    </row>
    <row r="293" spans="1:15" x14ac:dyDescent="0.2">
      <c r="A293" s="21" t="str">
        <f t="shared" si="28"/>
        <v>y</v>
      </c>
      <c r="B293" s="24">
        <v>44022</v>
      </c>
      <c r="C293" t="s">
        <v>1423</v>
      </c>
      <c r="D293" t="s">
        <v>13</v>
      </c>
      <c r="E293" t="s">
        <v>27</v>
      </c>
      <c r="F293" t="s">
        <v>2</v>
      </c>
      <c r="H293" t="s">
        <v>1958</v>
      </c>
      <c r="I293" s="22" t="str">
        <f t="shared" si="29"/>
        <v>2020-10-07</v>
      </c>
      <c r="J293" s="23" t="str">
        <f t="shared" si="30"/>
        <v>44</v>
      </c>
      <c r="K293" t="str">
        <f t="shared" si="31"/>
        <v>yes</v>
      </c>
      <c r="L293">
        <v>44</v>
      </c>
      <c r="M293" t="str">
        <f t="shared" si="32"/>
        <v>2020-10-07</v>
      </c>
      <c r="N293" s="20">
        <f t="shared" si="33"/>
        <v>44112</v>
      </c>
      <c r="O293" t="str">
        <f t="shared" si="34"/>
        <v>2020-10-08</v>
      </c>
    </row>
    <row r="294" spans="1:15" x14ac:dyDescent="0.2">
      <c r="A294" s="21" t="str">
        <f t="shared" si="28"/>
        <v>y</v>
      </c>
      <c r="B294" s="24">
        <v>44022</v>
      </c>
      <c r="C294" t="s">
        <v>1423</v>
      </c>
      <c r="D294" t="s">
        <v>13</v>
      </c>
      <c r="E294" t="s">
        <v>4</v>
      </c>
      <c r="F294" t="s">
        <v>29</v>
      </c>
      <c r="G294" t="s">
        <v>1438</v>
      </c>
      <c r="H294" t="s">
        <v>1972</v>
      </c>
      <c r="I294" s="22" t="str">
        <f t="shared" si="29"/>
        <v>2020-10-07</v>
      </c>
      <c r="J294" s="23" t="str">
        <f t="shared" si="30"/>
        <v>44</v>
      </c>
      <c r="K294" t="str">
        <f t="shared" si="31"/>
        <v>yes</v>
      </c>
      <c r="L294">
        <v>44</v>
      </c>
      <c r="M294" t="str">
        <f t="shared" si="32"/>
        <v>2020-10-07</v>
      </c>
      <c r="N294" s="20" t="str">
        <f t="shared" si="33"/>
        <v>2020-10-07</v>
      </c>
      <c r="O294" t="str">
        <f t="shared" si="34"/>
        <v>2020-10-07</v>
      </c>
    </row>
    <row r="295" spans="1:15" x14ac:dyDescent="0.2">
      <c r="A295" s="21" t="str">
        <f t="shared" si="28"/>
        <v>y</v>
      </c>
      <c r="B295" s="24">
        <v>44022</v>
      </c>
      <c r="C295" t="s">
        <v>1415</v>
      </c>
      <c r="D295" t="s">
        <v>14</v>
      </c>
      <c r="E295" t="s">
        <v>27</v>
      </c>
      <c r="F295" t="s">
        <v>2</v>
      </c>
      <c r="H295" t="s">
        <v>1962</v>
      </c>
      <c r="I295" s="22" t="str">
        <f t="shared" si="29"/>
        <v>2020-10-07</v>
      </c>
      <c r="J295" s="23" t="str">
        <f t="shared" si="30"/>
        <v>44</v>
      </c>
      <c r="K295" t="str">
        <f t="shared" si="31"/>
        <v>yes</v>
      </c>
      <c r="L295">
        <v>44</v>
      </c>
      <c r="M295" t="str">
        <f t="shared" si="32"/>
        <v>2020-10-07</v>
      </c>
      <c r="N295" s="20">
        <f t="shared" si="33"/>
        <v>44112</v>
      </c>
      <c r="O295" t="str">
        <f t="shared" si="34"/>
        <v>2020-10-08</v>
      </c>
    </row>
    <row r="296" spans="1:15" x14ac:dyDescent="0.2">
      <c r="A296" s="21" t="str">
        <f t="shared" si="28"/>
        <v>y</v>
      </c>
      <c r="B296" s="24">
        <v>44022</v>
      </c>
      <c r="C296" t="s">
        <v>964</v>
      </c>
      <c r="D296" t="s">
        <v>13</v>
      </c>
      <c r="E296" t="s">
        <v>27</v>
      </c>
      <c r="F296" t="s">
        <v>2</v>
      </c>
      <c r="G296" t="s">
        <v>1441</v>
      </c>
      <c r="H296" t="s">
        <v>1966</v>
      </c>
      <c r="I296" s="22" t="str">
        <f t="shared" si="29"/>
        <v>2020-10-07</v>
      </c>
      <c r="J296" s="23" t="str">
        <f t="shared" si="30"/>
        <v>44</v>
      </c>
      <c r="K296" t="str">
        <f t="shared" si="31"/>
        <v>yes</v>
      </c>
      <c r="L296">
        <v>44</v>
      </c>
      <c r="M296" t="str">
        <f t="shared" si="32"/>
        <v>2020-10-07</v>
      </c>
      <c r="N296" s="20">
        <f t="shared" si="33"/>
        <v>44112</v>
      </c>
      <c r="O296" t="str">
        <f t="shared" si="34"/>
        <v>2020-10-08</v>
      </c>
    </row>
    <row r="297" spans="1:15" x14ac:dyDescent="0.2">
      <c r="A297" s="21" t="str">
        <f t="shared" si="28"/>
        <v>y</v>
      </c>
      <c r="B297" s="24">
        <v>44022</v>
      </c>
      <c r="C297" t="s">
        <v>701</v>
      </c>
      <c r="D297" t="s">
        <v>13</v>
      </c>
      <c r="E297" t="s">
        <v>34</v>
      </c>
      <c r="F297" t="s">
        <v>2</v>
      </c>
      <c r="H297" t="s">
        <v>1959</v>
      </c>
      <c r="I297" s="22" t="str">
        <f t="shared" si="29"/>
        <v>2020-10-07</v>
      </c>
      <c r="J297" s="23" t="str">
        <f t="shared" si="30"/>
        <v>44</v>
      </c>
      <c r="K297" t="str">
        <f t="shared" si="31"/>
        <v>yes</v>
      </c>
      <c r="L297">
        <v>44</v>
      </c>
      <c r="M297" t="str">
        <f t="shared" si="32"/>
        <v>2020-10-07</v>
      </c>
      <c r="N297" s="20">
        <f t="shared" si="33"/>
        <v>44112</v>
      </c>
      <c r="O297" t="str">
        <f t="shared" si="34"/>
        <v>2020-10-08</v>
      </c>
    </row>
    <row r="298" spans="1:15" x14ac:dyDescent="0.2">
      <c r="A298" s="21" t="str">
        <f t="shared" si="28"/>
        <v>y</v>
      </c>
      <c r="B298" s="24">
        <v>43992</v>
      </c>
      <c r="C298" t="s">
        <v>235</v>
      </c>
      <c r="D298" t="s">
        <v>13</v>
      </c>
      <c r="E298" t="s">
        <v>34</v>
      </c>
      <c r="F298" t="s">
        <v>2</v>
      </c>
      <c r="G298" t="s">
        <v>1434</v>
      </c>
      <c r="H298" t="s">
        <v>1958</v>
      </c>
      <c r="I298" s="22" t="str">
        <f t="shared" si="29"/>
        <v>2020-10-06</v>
      </c>
      <c r="J298" s="23" t="str">
        <f t="shared" si="30"/>
        <v>43</v>
      </c>
      <c r="K298" t="str">
        <f t="shared" si="31"/>
        <v>yes</v>
      </c>
      <c r="L298">
        <v>43</v>
      </c>
      <c r="M298" t="str">
        <f t="shared" si="32"/>
        <v>2020-10-06</v>
      </c>
      <c r="N298" s="20">
        <f t="shared" si="33"/>
        <v>44111</v>
      </c>
      <c r="O298" t="str">
        <f t="shared" si="34"/>
        <v>2020-10-07</v>
      </c>
    </row>
    <row r="299" spans="1:15" x14ac:dyDescent="0.2">
      <c r="A299" s="21" t="str">
        <f t="shared" si="28"/>
        <v>y</v>
      </c>
      <c r="B299" s="24">
        <v>43992</v>
      </c>
      <c r="C299" t="s">
        <v>235</v>
      </c>
      <c r="D299" t="s">
        <v>13</v>
      </c>
      <c r="E299" t="s">
        <v>34</v>
      </c>
      <c r="F299" t="s">
        <v>29</v>
      </c>
      <c r="G299" t="s">
        <v>1432</v>
      </c>
      <c r="H299" t="s">
        <v>1959</v>
      </c>
      <c r="I299" s="22" t="str">
        <f t="shared" si="29"/>
        <v>2020-10-06</v>
      </c>
      <c r="J299" s="23" t="str">
        <f t="shared" si="30"/>
        <v>43</v>
      </c>
      <c r="K299" t="str">
        <f t="shared" si="31"/>
        <v>yes</v>
      </c>
      <c r="L299">
        <v>43</v>
      </c>
      <c r="M299" t="str">
        <f t="shared" si="32"/>
        <v>2020-10-06</v>
      </c>
      <c r="N299" s="20" t="str">
        <f t="shared" si="33"/>
        <v>2020-10-06</v>
      </c>
      <c r="O299" t="str">
        <f t="shared" si="34"/>
        <v>2020-10-06</v>
      </c>
    </row>
    <row r="300" spans="1:15" x14ac:dyDescent="0.2">
      <c r="A300" s="21" t="str">
        <f t="shared" si="28"/>
        <v>y</v>
      </c>
      <c r="B300" s="24">
        <v>43992</v>
      </c>
      <c r="C300" t="s">
        <v>235</v>
      </c>
      <c r="D300" t="s">
        <v>13</v>
      </c>
      <c r="E300" t="s">
        <v>42</v>
      </c>
      <c r="F300" t="s">
        <v>29</v>
      </c>
      <c r="G300" t="s">
        <v>1433</v>
      </c>
      <c r="H300" t="s">
        <v>1958</v>
      </c>
      <c r="I300" s="22" t="str">
        <f t="shared" si="29"/>
        <v>2020-10-06</v>
      </c>
      <c r="J300" s="23" t="str">
        <f t="shared" si="30"/>
        <v>43</v>
      </c>
      <c r="K300" t="str">
        <f t="shared" si="31"/>
        <v>yes</v>
      </c>
      <c r="L300">
        <v>43</v>
      </c>
      <c r="M300" t="str">
        <f t="shared" si="32"/>
        <v>2020-10-06</v>
      </c>
      <c r="N300" s="20" t="str">
        <f t="shared" si="33"/>
        <v>2020-10-06</v>
      </c>
      <c r="O300" t="str">
        <f t="shared" si="34"/>
        <v>2020-10-06</v>
      </c>
    </row>
    <row r="301" spans="1:15" x14ac:dyDescent="0.2">
      <c r="A301" s="21" t="str">
        <f t="shared" si="28"/>
        <v>y</v>
      </c>
      <c r="B301" s="24">
        <v>43992</v>
      </c>
      <c r="C301" t="s">
        <v>235</v>
      </c>
      <c r="D301" t="s">
        <v>13</v>
      </c>
      <c r="E301" t="s">
        <v>64</v>
      </c>
      <c r="F301" t="s">
        <v>2</v>
      </c>
      <c r="H301" t="s">
        <v>1958</v>
      </c>
      <c r="I301" s="22" t="str">
        <f t="shared" si="29"/>
        <v>2020-10-06</v>
      </c>
      <c r="J301" s="23" t="str">
        <f t="shared" si="30"/>
        <v>43</v>
      </c>
      <c r="K301" t="str">
        <f t="shared" si="31"/>
        <v>yes</v>
      </c>
      <c r="L301">
        <v>43</v>
      </c>
      <c r="M301" t="str">
        <f t="shared" si="32"/>
        <v>2020-10-06</v>
      </c>
      <c r="N301" s="20">
        <f t="shared" si="33"/>
        <v>44111</v>
      </c>
      <c r="O301" t="str">
        <f t="shared" si="34"/>
        <v>2020-10-07</v>
      </c>
    </row>
    <row r="302" spans="1:15" x14ac:dyDescent="0.2">
      <c r="A302" s="21" t="str">
        <f t="shared" si="28"/>
        <v>y</v>
      </c>
      <c r="B302" s="24">
        <v>43992</v>
      </c>
      <c r="C302" t="s">
        <v>1423</v>
      </c>
      <c r="D302" t="s">
        <v>13</v>
      </c>
      <c r="E302" t="s">
        <v>27</v>
      </c>
      <c r="F302" t="s">
        <v>2</v>
      </c>
      <c r="G302" t="s">
        <v>1435</v>
      </c>
      <c r="H302" t="s">
        <v>1958</v>
      </c>
      <c r="I302" s="22" t="str">
        <f t="shared" si="29"/>
        <v>2020-10-06</v>
      </c>
      <c r="J302" s="23" t="str">
        <f t="shared" si="30"/>
        <v>43</v>
      </c>
      <c r="K302" t="str">
        <f t="shared" si="31"/>
        <v>yes</v>
      </c>
      <c r="L302">
        <v>43</v>
      </c>
      <c r="M302" t="str">
        <f t="shared" si="32"/>
        <v>2020-10-06</v>
      </c>
      <c r="N302" s="20">
        <f t="shared" si="33"/>
        <v>44111</v>
      </c>
      <c r="O302" t="str">
        <f t="shared" si="34"/>
        <v>2020-10-07</v>
      </c>
    </row>
    <row r="303" spans="1:15" x14ac:dyDescent="0.2">
      <c r="A303" s="21" t="str">
        <f t="shared" si="28"/>
        <v>y</v>
      </c>
      <c r="B303" s="24">
        <v>43992</v>
      </c>
      <c r="C303" t="s">
        <v>1415</v>
      </c>
      <c r="D303" t="s">
        <v>14</v>
      </c>
      <c r="E303" t="s">
        <v>27</v>
      </c>
      <c r="F303" t="s">
        <v>2</v>
      </c>
      <c r="G303" t="s">
        <v>1436</v>
      </c>
      <c r="H303" t="s">
        <v>1972</v>
      </c>
      <c r="I303" s="22" t="str">
        <f t="shared" si="29"/>
        <v>2020-10-06</v>
      </c>
      <c r="J303" s="23" t="str">
        <f t="shared" si="30"/>
        <v>43</v>
      </c>
      <c r="K303" t="str">
        <f t="shared" si="31"/>
        <v>yes</v>
      </c>
      <c r="L303">
        <v>43</v>
      </c>
      <c r="M303" t="str">
        <f t="shared" si="32"/>
        <v>2020-10-06</v>
      </c>
      <c r="N303" s="20">
        <f t="shared" si="33"/>
        <v>44111</v>
      </c>
      <c r="O303" t="str">
        <f t="shared" si="34"/>
        <v>2020-10-07</v>
      </c>
    </row>
    <row r="304" spans="1:15" x14ac:dyDescent="0.2">
      <c r="A304" s="21" t="str">
        <f t="shared" si="28"/>
        <v>y</v>
      </c>
      <c r="B304" s="24">
        <v>43961</v>
      </c>
      <c r="C304" t="s">
        <v>235</v>
      </c>
      <c r="D304" t="s">
        <v>13</v>
      </c>
      <c r="E304" t="s">
        <v>34</v>
      </c>
      <c r="F304" t="s">
        <v>2</v>
      </c>
      <c r="G304" t="s">
        <v>1429</v>
      </c>
      <c r="H304" t="s">
        <v>1958</v>
      </c>
      <c r="I304" s="22" t="str">
        <f t="shared" si="29"/>
        <v>2020-10-05</v>
      </c>
      <c r="J304" s="23" t="str">
        <f t="shared" si="30"/>
        <v>43</v>
      </c>
      <c r="K304" t="str">
        <f t="shared" si="31"/>
        <v>yes</v>
      </c>
      <c r="L304">
        <v>43</v>
      </c>
      <c r="M304" t="str">
        <f t="shared" si="32"/>
        <v>2020-10-05</v>
      </c>
      <c r="N304" s="20">
        <f t="shared" si="33"/>
        <v>44110</v>
      </c>
      <c r="O304" t="str">
        <f t="shared" si="34"/>
        <v>2020-10-06</v>
      </c>
    </row>
    <row r="305" spans="1:15" x14ac:dyDescent="0.2">
      <c r="A305" s="21" t="str">
        <f t="shared" si="28"/>
        <v>y</v>
      </c>
      <c r="B305" s="24">
        <v>43961</v>
      </c>
      <c r="C305" t="s">
        <v>235</v>
      </c>
      <c r="D305" t="s">
        <v>13</v>
      </c>
      <c r="E305" t="s">
        <v>34</v>
      </c>
      <c r="F305" t="s">
        <v>2</v>
      </c>
      <c r="G305" t="s">
        <v>1430</v>
      </c>
      <c r="H305" t="s">
        <v>1959</v>
      </c>
      <c r="I305" s="22" t="str">
        <f t="shared" si="29"/>
        <v>2020-10-05</v>
      </c>
      <c r="J305" s="23" t="str">
        <f t="shared" si="30"/>
        <v>43</v>
      </c>
      <c r="K305" t="str">
        <f t="shared" si="31"/>
        <v>yes</v>
      </c>
      <c r="L305">
        <v>43</v>
      </c>
      <c r="M305" t="str">
        <f t="shared" si="32"/>
        <v>2020-10-05</v>
      </c>
      <c r="N305" s="20">
        <f t="shared" si="33"/>
        <v>44110</v>
      </c>
      <c r="O305" t="str">
        <f t="shared" si="34"/>
        <v>2020-10-06</v>
      </c>
    </row>
    <row r="306" spans="1:15" x14ac:dyDescent="0.2">
      <c r="A306" s="21" t="str">
        <f t="shared" si="28"/>
        <v>y</v>
      </c>
      <c r="B306" s="24">
        <v>43961</v>
      </c>
      <c r="C306" t="s">
        <v>235</v>
      </c>
      <c r="D306" t="s">
        <v>13</v>
      </c>
      <c r="E306" t="s">
        <v>64</v>
      </c>
      <c r="F306" t="s">
        <v>2</v>
      </c>
      <c r="G306" t="s">
        <v>1431</v>
      </c>
      <c r="H306" t="s">
        <v>1958</v>
      </c>
      <c r="I306" s="22" t="str">
        <f t="shared" si="29"/>
        <v>2020-10-05</v>
      </c>
      <c r="J306" s="23" t="str">
        <f t="shared" si="30"/>
        <v>43</v>
      </c>
      <c r="K306" t="str">
        <f t="shared" si="31"/>
        <v>yes</v>
      </c>
      <c r="L306">
        <v>43</v>
      </c>
      <c r="M306" t="str">
        <f t="shared" si="32"/>
        <v>2020-10-05</v>
      </c>
      <c r="N306" s="20">
        <f t="shared" si="33"/>
        <v>44110</v>
      </c>
      <c r="O306" t="str">
        <f t="shared" si="34"/>
        <v>2020-10-06</v>
      </c>
    </row>
    <row r="307" spans="1:15" x14ac:dyDescent="0.2">
      <c r="A307" s="21" t="str">
        <f t="shared" si="28"/>
        <v>y</v>
      </c>
      <c r="B307" s="24">
        <v>43961</v>
      </c>
      <c r="C307" t="s">
        <v>1423</v>
      </c>
      <c r="D307" t="s">
        <v>13</v>
      </c>
      <c r="E307" t="s">
        <v>27</v>
      </c>
      <c r="F307" t="s">
        <v>2</v>
      </c>
      <c r="H307" t="s">
        <v>1958</v>
      </c>
      <c r="I307" s="22" t="str">
        <f t="shared" si="29"/>
        <v>2020-10-05</v>
      </c>
      <c r="J307" s="23" t="str">
        <f t="shared" si="30"/>
        <v>43</v>
      </c>
      <c r="K307" t="str">
        <f t="shared" si="31"/>
        <v>yes</v>
      </c>
      <c r="L307">
        <v>43</v>
      </c>
      <c r="M307" t="str">
        <f t="shared" si="32"/>
        <v>2020-10-05</v>
      </c>
      <c r="N307" s="20">
        <f t="shared" si="33"/>
        <v>44110</v>
      </c>
      <c r="O307" t="str">
        <f t="shared" si="34"/>
        <v>2020-10-06</v>
      </c>
    </row>
    <row r="308" spans="1:15" x14ac:dyDescent="0.2">
      <c r="A308" s="21" t="str">
        <f t="shared" si="28"/>
        <v>y</v>
      </c>
      <c r="B308" s="24">
        <v>43961</v>
      </c>
      <c r="C308" t="s">
        <v>1064</v>
      </c>
      <c r="D308" t="s">
        <v>13</v>
      </c>
      <c r="E308" t="s">
        <v>42</v>
      </c>
      <c r="F308" t="s">
        <v>29</v>
      </c>
      <c r="G308" t="s">
        <v>1424</v>
      </c>
      <c r="H308" t="s">
        <v>1956</v>
      </c>
      <c r="I308" s="22" t="str">
        <f t="shared" si="29"/>
        <v>2020-10-05</v>
      </c>
      <c r="J308" s="23" t="str">
        <f t="shared" si="30"/>
        <v>43</v>
      </c>
      <c r="K308" t="str">
        <f t="shared" si="31"/>
        <v>yes</v>
      </c>
      <c r="L308">
        <v>43</v>
      </c>
      <c r="M308" t="str">
        <f t="shared" si="32"/>
        <v>2020-10-05</v>
      </c>
      <c r="N308" s="20" t="str">
        <f t="shared" si="33"/>
        <v>2020-10-05</v>
      </c>
      <c r="O308" t="str">
        <f t="shared" si="34"/>
        <v>2020-10-05</v>
      </c>
    </row>
    <row r="309" spans="1:15" x14ac:dyDescent="0.2">
      <c r="A309" s="21" t="str">
        <f t="shared" si="28"/>
        <v>y</v>
      </c>
      <c r="B309" s="24">
        <v>43931</v>
      </c>
      <c r="C309" t="s">
        <v>235</v>
      </c>
      <c r="D309" t="s">
        <v>13</v>
      </c>
      <c r="E309" t="s">
        <v>34</v>
      </c>
      <c r="F309" t="s">
        <v>2</v>
      </c>
      <c r="G309" t="s">
        <v>1422</v>
      </c>
      <c r="H309" t="s">
        <v>1958</v>
      </c>
      <c r="I309" s="22" t="str">
        <f t="shared" si="29"/>
        <v>2020-10-04</v>
      </c>
      <c r="J309" s="23" t="str">
        <f t="shared" si="30"/>
        <v>43</v>
      </c>
      <c r="K309" t="str">
        <f t="shared" si="31"/>
        <v>yes</v>
      </c>
      <c r="L309">
        <v>43</v>
      </c>
      <c r="M309" t="str">
        <f t="shared" si="32"/>
        <v>2020-10-04</v>
      </c>
      <c r="N309" s="20">
        <f t="shared" si="33"/>
        <v>44109</v>
      </c>
      <c r="O309" t="str">
        <f t="shared" si="34"/>
        <v>2020-10-05</v>
      </c>
    </row>
    <row r="310" spans="1:15" x14ac:dyDescent="0.2">
      <c r="A310" s="21" t="str">
        <f t="shared" si="28"/>
        <v>y</v>
      </c>
      <c r="B310" s="24">
        <v>43931</v>
      </c>
      <c r="C310" t="s">
        <v>235</v>
      </c>
      <c r="D310" t="s">
        <v>13</v>
      </c>
      <c r="E310" t="s">
        <v>34</v>
      </c>
      <c r="F310" t="s">
        <v>29</v>
      </c>
      <c r="G310" t="s">
        <v>1426</v>
      </c>
      <c r="H310" t="s">
        <v>1958</v>
      </c>
      <c r="I310" s="22" t="str">
        <f t="shared" si="29"/>
        <v>2020-10-04</v>
      </c>
      <c r="J310" s="23" t="str">
        <f t="shared" si="30"/>
        <v>43</v>
      </c>
      <c r="K310" t="str">
        <f t="shared" si="31"/>
        <v>yes</v>
      </c>
      <c r="L310">
        <v>43</v>
      </c>
      <c r="M310" t="str">
        <f t="shared" si="32"/>
        <v>2020-10-04</v>
      </c>
      <c r="N310" s="20" t="str">
        <f t="shared" si="33"/>
        <v>2020-10-04</v>
      </c>
      <c r="O310" t="str">
        <f t="shared" si="34"/>
        <v>2020-10-04</v>
      </c>
    </row>
    <row r="311" spans="1:15" x14ac:dyDescent="0.2">
      <c r="A311" s="21" t="str">
        <f t="shared" si="28"/>
        <v>y</v>
      </c>
      <c r="B311" s="24">
        <v>43931</v>
      </c>
      <c r="C311" t="s">
        <v>235</v>
      </c>
      <c r="D311" t="s">
        <v>13</v>
      </c>
      <c r="E311" t="s">
        <v>34</v>
      </c>
      <c r="F311" t="s">
        <v>29</v>
      </c>
      <c r="G311" t="s">
        <v>1427</v>
      </c>
      <c r="H311" t="s">
        <v>1958</v>
      </c>
      <c r="I311" s="22" t="str">
        <f t="shared" si="29"/>
        <v>2020-10-04</v>
      </c>
      <c r="J311" s="23" t="str">
        <f t="shared" si="30"/>
        <v>43</v>
      </c>
      <c r="K311" t="str">
        <f t="shared" si="31"/>
        <v>yes</v>
      </c>
      <c r="L311">
        <v>43</v>
      </c>
      <c r="M311" t="str">
        <f t="shared" si="32"/>
        <v>2020-10-04</v>
      </c>
      <c r="N311" s="20" t="str">
        <f t="shared" si="33"/>
        <v>2020-10-04</v>
      </c>
      <c r="O311" t="str">
        <f t="shared" si="34"/>
        <v>2020-10-04</v>
      </c>
    </row>
    <row r="312" spans="1:15" x14ac:dyDescent="0.2">
      <c r="A312" s="21" t="str">
        <f t="shared" si="28"/>
        <v>y</v>
      </c>
      <c r="B312" s="24">
        <v>43931</v>
      </c>
      <c r="C312" t="s">
        <v>235</v>
      </c>
      <c r="D312" t="s">
        <v>13</v>
      </c>
      <c r="E312" t="s">
        <v>34</v>
      </c>
      <c r="F312" t="s">
        <v>29</v>
      </c>
      <c r="G312" t="s">
        <v>1428</v>
      </c>
      <c r="H312" t="s">
        <v>1959</v>
      </c>
      <c r="I312" s="22" t="str">
        <f t="shared" si="29"/>
        <v>2020-10-04</v>
      </c>
      <c r="J312" s="23" t="str">
        <f t="shared" si="30"/>
        <v>43</v>
      </c>
      <c r="K312" t="str">
        <f t="shared" si="31"/>
        <v>yes</v>
      </c>
      <c r="L312">
        <v>43</v>
      </c>
      <c r="M312" t="str">
        <f t="shared" si="32"/>
        <v>2020-10-04</v>
      </c>
      <c r="N312" s="20" t="str">
        <f t="shared" si="33"/>
        <v>2020-10-04</v>
      </c>
      <c r="O312" t="str">
        <f t="shared" si="34"/>
        <v>2020-10-04</v>
      </c>
    </row>
    <row r="313" spans="1:15" x14ac:dyDescent="0.2">
      <c r="A313" s="21" t="str">
        <f t="shared" si="28"/>
        <v>y</v>
      </c>
      <c r="B313" s="24">
        <v>43931</v>
      </c>
      <c r="C313" t="s">
        <v>1423</v>
      </c>
      <c r="D313" t="s">
        <v>13</v>
      </c>
      <c r="E313" t="s">
        <v>27</v>
      </c>
      <c r="F313" t="s">
        <v>2</v>
      </c>
      <c r="H313" t="s">
        <v>1973</v>
      </c>
      <c r="I313" s="22" t="str">
        <f t="shared" si="29"/>
        <v>2020-10-04</v>
      </c>
      <c r="J313" s="23" t="str">
        <f t="shared" si="30"/>
        <v>43</v>
      </c>
      <c r="K313" t="str">
        <f t="shared" si="31"/>
        <v>yes</v>
      </c>
      <c r="L313">
        <v>43</v>
      </c>
      <c r="M313" t="str">
        <f t="shared" si="32"/>
        <v>2020-10-04</v>
      </c>
      <c r="N313" s="20">
        <f t="shared" si="33"/>
        <v>44109</v>
      </c>
      <c r="O313" t="str">
        <f t="shared" si="34"/>
        <v>2020-10-05</v>
      </c>
    </row>
    <row r="314" spans="1:15" x14ac:dyDescent="0.2">
      <c r="A314" s="21" t="str">
        <f t="shared" si="28"/>
        <v>y</v>
      </c>
      <c r="B314" s="24">
        <v>43931</v>
      </c>
      <c r="C314" t="s">
        <v>891</v>
      </c>
      <c r="D314" t="s">
        <v>13</v>
      </c>
      <c r="E314" t="s">
        <v>64</v>
      </c>
      <c r="F314" t="s">
        <v>29</v>
      </c>
      <c r="G314" t="s">
        <v>1425</v>
      </c>
      <c r="H314" t="s">
        <v>1956</v>
      </c>
      <c r="I314" s="22" t="str">
        <f t="shared" si="29"/>
        <v>2020-10-04</v>
      </c>
      <c r="J314" s="23" t="str">
        <f t="shared" si="30"/>
        <v>43</v>
      </c>
      <c r="K314" t="str">
        <f t="shared" si="31"/>
        <v>yes</v>
      </c>
      <c r="L314">
        <v>43</v>
      </c>
      <c r="M314" t="str">
        <f t="shared" si="32"/>
        <v>2020-10-04</v>
      </c>
      <c r="N314" s="20" t="str">
        <f t="shared" si="33"/>
        <v>2020-10-04</v>
      </c>
      <c r="O314" t="str">
        <f t="shared" si="34"/>
        <v>2020-10-04</v>
      </c>
    </row>
    <row r="315" spans="1:15" x14ac:dyDescent="0.2">
      <c r="A315" s="21" t="str">
        <f t="shared" si="28"/>
        <v>y</v>
      </c>
      <c r="B315" s="24">
        <v>43931</v>
      </c>
      <c r="C315" t="s">
        <v>1064</v>
      </c>
      <c r="D315" t="s">
        <v>13</v>
      </c>
      <c r="E315" t="s">
        <v>42</v>
      </c>
      <c r="F315" t="s">
        <v>29</v>
      </c>
      <c r="G315" t="s">
        <v>1424</v>
      </c>
      <c r="H315" t="s">
        <v>1958</v>
      </c>
      <c r="I315" s="22" t="str">
        <f t="shared" si="29"/>
        <v>2020-10-04</v>
      </c>
      <c r="J315" s="23" t="str">
        <f t="shared" si="30"/>
        <v>43</v>
      </c>
      <c r="K315" t="str">
        <f t="shared" si="31"/>
        <v>yes</v>
      </c>
      <c r="L315">
        <v>43</v>
      </c>
      <c r="M315" t="str">
        <f t="shared" si="32"/>
        <v>2020-10-04</v>
      </c>
      <c r="N315" s="20" t="str">
        <f t="shared" si="33"/>
        <v>2020-10-04</v>
      </c>
      <c r="O315" t="str">
        <f t="shared" si="34"/>
        <v>2020-10-04</v>
      </c>
    </row>
    <row r="316" spans="1:15" x14ac:dyDescent="0.2">
      <c r="A316" s="21" t="str">
        <f t="shared" si="28"/>
        <v>y</v>
      </c>
      <c r="B316" s="24" t="s">
        <v>1650</v>
      </c>
      <c r="C316" t="s">
        <v>235</v>
      </c>
      <c r="D316" t="s">
        <v>13</v>
      </c>
      <c r="E316" t="s">
        <v>34</v>
      </c>
      <c r="F316" t="s">
        <v>2</v>
      </c>
      <c r="G316" t="s">
        <v>1419</v>
      </c>
      <c r="H316" t="s">
        <v>1958</v>
      </c>
      <c r="I316" s="22" t="str">
        <f t="shared" si="29"/>
        <v>2020-09-30</v>
      </c>
      <c r="J316" s="23" t="str">
        <f t="shared" si="30"/>
        <v>30</v>
      </c>
      <c r="K316" t="str">
        <f t="shared" si="31"/>
        <v>no</v>
      </c>
      <c r="L316">
        <v>30</v>
      </c>
      <c r="M316" t="str">
        <f t="shared" si="32"/>
        <v>2020-09-30</v>
      </c>
      <c r="N316" s="20">
        <f t="shared" si="33"/>
        <v>44105</v>
      </c>
      <c r="O316" t="str">
        <f t="shared" si="34"/>
        <v>2020-10-01</v>
      </c>
    </row>
    <row r="317" spans="1:15" x14ac:dyDescent="0.2">
      <c r="A317" s="21" t="str">
        <f t="shared" si="28"/>
        <v>y</v>
      </c>
      <c r="B317" s="24" t="s">
        <v>1650</v>
      </c>
      <c r="C317" t="s">
        <v>235</v>
      </c>
      <c r="D317" t="s">
        <v>13</v>
      </c>
      <c r="E317" t="s">
        <v>43</v>
      </c>
      <c r="F317" t="s">
        <v>29</v>
      </c>
      <c r="G317" t="s">
        <v>1420</v>
      </c>
      <c r="H317" t="s">
        <v>1972</v>
      </c>
      <c r="I317" s="22" t="str">
        <f t="shared" si="29"/>
        <v>2020-09-30</v>
      </c>
      <c r="J317" s="23" t="str">
        <f t="shared" si="30"/>
        <v>30</v>
      </c>
      <c r="K317" t="str">
        <f t="shared" si="31"/>
        <v>no</v>
      </c>
      <c r="L317">
        <v>30</v>
      </c>
      <c r="M317" t="str">
        <f t="shared" si="32"/>
        <v>2020-09-30</v>
      </c>
      <c r="N317" s="20" t="str">
        <f t="shared" si="33"/>
        <v>2020-09-30</v>
      </c>
      <c r="O317" t="str">
        <f t="shared" si="34"/>
        <v>2020-09-30</v>
      </c>
    </row>
    <row r="318" spans="1:15" x14ac:dyDescent="0.2">
      <c r="A318" s="21" t="str">
        <f t="shared" si="28"/>
        <v>y</v>
      </c>
      <c r="B318" s="24" t="s">
        <v>1650</v>
      </c>
      <c r="C318" t="s">
        <v>1415</v>
      </c>
      <c r="D318" t="s">
        <v>14</v>
      </c>
      <c r="E318" t="s">
        <v>27</v>
      </c>
      <c r="F318" t="s">
        <v>29</v>
      </c>
      <c r="G318" t="s">
        <v>1417</v>
      </c>
      <c r="H318" t="s">
        <v>1958</v>
      </c>
      <c r="I318" s="22" t="str">
        <f t="shared" si="29"/>
        <v>2020-09-30</v>
      </c>
      <c r="J318" s="23" t="str">
        <f t="shared" si="30"/>
        <v>30</v>
      </c>
      <c r="K318" t="str">
        <f t="shared" si="31"/>
        <v>no</v>
      </c>
      <c r="L318">
        <v>30</v>
      </c>
      <c r="M318" t="str">
        <f t="shared" si="32"/>
        <v>2020-09-30</v>
      </c>
      <c r="N318" s="20" t="str">
        <f t="shared" si="33"/>
        <v>2020-09-30</v>
      </c>
      <c r="O318" t="str">
        <f t="shared" si="34"/>
        <v>2020-09-30</v>
      </c>
    </row>
    <row r="319" spans="1:15" x14ac:dyDescent="0.2">
      <c r="A319" s="21" t="str">
        <f t="shared" si="28"/>
        <v>y</v>
      </c>
      <c r="B319" s="24" t="s">
        <v>1650</v>
      </c>
      <c r="C319" t="s">
        <v>1064</v>
      </c>
      <c r="D319" t="s">
        <v>13</v>
      </c>
      <c r="E319" t="s">
        <v>27</v>
      </c>
      <c r="F319" t="s">
        <v>29</v>
      </c>
      <c r="G319" t="s">
        <v>1418</v>
      </c>
      <c r="H319" t="s">
        <v>1956</v>
      </c>
      <c r="I319" s="22" t="str">
        <f t="shared" si="29"/>
        <v>2020-09-30</v>
      </c>
      <c r="J319" s="23" t="str">
        <f t="shared" si="30"/>
        <v>30</v>
      </c>
      <c r="K319" t="str">
        <f t="shared" si="31"/>
        <v>no</v>
      </c>
      <c r="L319">
        <v>30</v>
      </c>
      <c r="M319" t="str">
        <f t="shared" si="32"/>
        <v>2020-09-30</v>
      </c>
      <c r="N319" s="20" t="str">
        <f t="shared" si="33"/>
        <v>2020-09-30</v>
      </c>
      <c r="O319" t="str">
        <f t="shared" si="34"/>
        <v>2020-09-30</v>
      </c>
    </row>
    <row r="320" spans="1:15" x14ac:dyDescent="0.2">
      <c r="A320" s="21" t="str">
        <f t="shared" si="28"/>
        <v>y</v>
      </c>
      <c r="B320" s="24" t="s">
        <v>1650</v>
      </c>
      <c r="C320" t="s">
        <v>891</v>
      </c>
      <c r="D320" t="s">
        <v>13</v>
      </c>
      <c r="E320" t="s">
        <v>64</v>
      </c>
      <c r="F320" t="s">
        <v>29</v>
      </c>
      <c r="G320" t="s">
        <v>1421</v>
      </c>
      <c r="H320" t="s">
        <v>1973</v>
      </c>
      <c r="I320" s="22" t="str">
        <f t="shared" si="29"/>
        <v>2020-09-30</v>
      </c>
      <c r="J320" s="23" t="str">
        <f t="shared" si="30"/>
        <v>30</v>
      </c>
      <c r="K320" t="str">
        <f t="shared" si="31"/>
        <v>no</v>
      </c>
      <c r="L320">
        <v>30</v>
      </c>
      <c r="M320" t="str">
        <f t="shared" si="32"/>
        <v>2020-09-30</v>
      </c>
      <c r="N320" s="20" t="str">
        <f t="shared" si="33"/>
        <v>2020-09-30</v>
      </c>
      <c r="O320" t="str">
        <f t="shared" si="34"/>
        <v>2020-09-30</v>
      </c>
    </row>
    <row r="321" spans="1:15" x14ac:dyDescent="0.2">
      <c r="A321" s="21" t="str">
        <f t="shared" si="28"/>
        <v>y</v>
      </c>
      <c r="B321" s="24" t="s">
        <v>1651</v>
      </c>
      <c r="C321" t="s">
        <v>235</v>
      </c>
      <c r="D321" t="s">
        <v>13</v>
      </c>
      <c r="E321" t="s">
        <v>34</v>
      </c>
      <c r="F321" t="s">
        <v>2</v>
      </c>
      <c r="H321" t="s">
        <v>1958</v>
      </c>
      <c r="I321" s="22" t="str">
        <f t="shared" si="29"/>
        <v>2020-09-29</v>
      </c>
      <c r="J321" s="23" t="str">
        <f t="shared" si="30"/>
        <v>29</v>
      </c>
      <c r="K321" t="str">
        <f t="shared" si="31"/>
        <v>no</v>
      </c>
      <c r="L321">
        <v>29</v>
      </c>
      <c r="M321" t="str">
        <f t="shared" si="32"/>
        <v>2020-09-29</v>
      </c>
      <c r="N321" s="20">
        <f t="shared" si="33"/>
        <v>44104</v>
      </c>
      <c r="O321" t="str">
        <f t="shared" si="34"/>
        <v>2020-09-30</v>
      </c>
    </row>
    <row r="322" spans="1:15" x14ac:dyDescent="0.2">
      <c r="A322" s="21" t="str">
        <f t="shared" si="28"/>
        <v>y</v>
      </c>
      <c r="B322" s="24" t="s">
        <v>1651</v>
      </c>
      <c r="C322" t="s">
        <v>235</v>
      </c>
      <c r="D322" t="s">
        <v>13</v>
      </c>
      <c r="E322" t="s">
        <v>43</v>
      </c>
      <c r="F322" t="s">
        <v>2</v>
      </c>
      <c r="H322" t="s">
        <v>1972</v>
      </c>
      <c r="I322" s="22" t="str">
        <f t="shared" si="29"/>
        <v>2020-09-29</v>
      </c>
      <c r="J322" s="23" t="str">
        <f t="shared" si="30"/>
        <v>29</v>
      </c>
      <c r="K322" t="str">
        <f t="shared" si="31"/>
        <v>no</v>
      </c>
      <c r="L322">
        <v>29</v>
      </c>
      <c r="M322" t="str">
        <f t="shared" si="32"/>
        <v>2020-09-29</v>
      </c>
      <c r="N322" s="20">
        <f t="shared" si="33"/>
        <v>44104</v>
      </c>
      <c r="O322" t="str">
        <f t="shared" si="34"/>
        <v>2020-09-30</v>
      </c>
    </row>
    <row r="323" spans="1:15" x14ac:dyDescent="0.2">
      <c r="A323" s="21" t="str">
        <f t="shared" si="28"/>
        <v>y</v>
      </c>
      <c r="B323" s="24" t="s">
        <v>1651</v>
      </c>
      <c r="C323" t="s">
        <v>1415</v>
      </c>
      <c r="D323" t="s">
        <v>14</v>
      </c>
      <c r="E323" t="s">
        <v>27</v>
      </c>
      <c r="F323" t="s">
        <v>2</v>
      </c>
      <c r="G323" t="s">
        <v>1416</v>
      </c>
      <c r="H323" t="s">
        <v>1958</v>
      </c>
      <c r="I323" s="22" t="str">
        <f t="shared" si="29"/>
        <v>2020-09-29</v>
      </c>
      <c r="J323" s="23" t="str">
        <f t="shared" si="30"/>
        <v>29</v>
      </c>
      <c r="K323" t="str">
        <f t="shared" si="31"/>
        <v>no</v>
      </c>
      <c r="L323">
        <v>29</v>
      </c>
      <c r="M323" t="str">
        <f t="shared" si="32"/>
        <v>2020-09-29</v>
      </c>
      <c r="N323" s="20">
        <f t="shared" si="33"/>
        <v>44104</v>
      </c>
      <c r="O323" t="str">
        <f t="shared" si="34"/>
        <v>2020-09-30</v>
      </c>
    </row>
    <row r="324" spans="1:15" x14ac:dyDescent="0.2">
      <c r="A324" s="21" t="str">
        <f t="shared" ref="A324:A387" si="35">IF(LEFT(B324,2)&gt;12,"y","-")</f>
        <v>y</v>
      </c>
      <c r="B324" s="24" t="s">
        <v>1652</v>
      </c>
      <c r="C324" t="s">
        <v>235</v>
      </c>
      <c r="D324" t="s">
        <v>13</v>
      </c>
      <c r="E324" t="s">
        <v>34</v>
      </c>
      <c r="F324" t="s">
        <v>2</v>
      </c>
      <c r="H324" t="s">
        <v>1958</v>
      </c>
      <c r="I324" s="22" t="str">
        <f t="shared" ref="I324:I387" si="36">IF(K324="yes",TEXT(B324,"YYYY-DD-MM"),TEXT(B324,"YYYY-MM-DD"))</f>
        <v>2020-09-28</v>
      </c>
      <c r="J324" s="23" t="str">
        <f t="shared" ref="J324:J387" si="37">LEFT(B324,2)</f>
        <v>28</v>
      </c>
      <c r="K324" t="str">
        <f t="shared" ref="K324:K387" si="38">IF(L324&gt;31,"yes","no")</f>
        <v>no</v>
      </c>
      <c r="L324">
        <v>28</v>
      </c>
      <c r="M324" t="str">
        <f t="shared" ref="M324:M387" si="39">I324</f>
        <v>2020-09-28</v>
      </c>
      <c r="N324" s="20">
        <f t="shared" ref="N324:N387" si="40">IF(F324="DONE",M324,M324+1)</f>
        <v>44103</v>
      </c>
      <c r="O324" t="str">
        <f t="shared" ref="O324:O387" si="41">TEXT(N324,"YYYY-MM-DD")</f>
        <v>2020-09-29</v>
      </c>
    </row>
    <row r="325" spans="1:15" x14ac:dyDescent="0.2">
      <c r="A325" s="21" t="str">
        <f t="shared" si="35"/>
        <v>y</v>
      </c>
      <c r="B325" s="24" t="s">
        <v>1652</v>
      </c>
      <c r="C325" t="s">
        <v>235</v>
      </c>
      <c r="D325" t="s">
        <v>13</v>
      </c>
      <c r="E325" t="s">
        <v>43</v>
      </c>
      <c r="F325" t="s">
        <v>2</v>
      </c>
      <c r="H325" t="s">
        <v>1973</v>
      </c>
      <c r="I325" s="22" t="str">
        <f t="shared" si="36"/>
        <v>2020-09-28</v>
      </c>
      <c r="J325" s="23" t="str">
        <f t="shared" si="37"/>
        <v>28</v>
      </c>
      <c r="K325" t="str">
        <f t="shared" si="38"/>
        <v>no</v>
      </c>
      <c r="L325">
        <v>28</v>
      </c>
      <c r="M325" t="str">
        <f t="shared" si="39"/>
        <v>2020-09-28</v>
      </c>
      <c r="N325" s="20">
        <f t="shared" si="40"/>
        <v>44103</v>
      </c>
      <c r="O325" t="str">
        <f t="shared" si="41"/>
        <v>2020-09-29</v>
      </c>
    </row>
    <row r="326" spans="1:15" x14ac:dyDescent="0.2">
      <c r="A326" s="21" t="str">
        <f t="shared" si="35"/>
        <v>y</v>
      </c>
      <c r="B326" s="24" t="s">
        <v>1652</v>
      </c>
      <c r="C326" t="s">
        <v>891</v>
      </c>
      <c r="D326" t="s">
        <v>13</v>
      </c>
      <c r="E326" t="s">
        <v>27</v>
      </c>
      <c r="F326" t="s">
        <v>29</v>
      </c>
      <c r="G326" t="s">
        <v>1414</v>
      </c>
      <c r="H326" t="s">
        <v>1972</v>
      </c>
      <c r="I326" s="22" t="str">
        <f t="shared" si="36"/>
        <v>2020-09-28</v>
      </c>
      <c r="J326" s="23" t="str">
        <f t="shared" si="37"/>
        <v>28</v>
      </c>
      <c r="K326" t="str">
        <f t="shared" si="38"/>
        <v>no</v>
      </c>
      <c r="L326">
        <v>28</v>
      </c>
      <c r="M326" t="str">
        <f t="shared" si="39"/>
        <v>2020-09-28</v>
      </c>
      <c r="N326" s="20" t="str">
        <f t="shared" si="40"/>
        <v>2020-09-28</v>
      </c>
      <c r="O326" t="str">
        <f t="shared" si="41"/>
        <v>2020-09-28</v>
      </c>
    </row>
    <row r="327" spans="1:15" x14ac:dyDescent="0.2">
      <c r="A327" s="21" t="str">
        <f t="shared" si="35"/>
        <v>y</v>
      </c>
      <c r="B327" s="24" t="s">
        <v>1652</v>
      </c>
      <c r="C327" t="s">
        <v>1415</v>
      </c>
      <c r="D327" t="s">
        <v>14</v>
      </c>
      <c r="E327" t="s">
        <v>27</v>
      </c>
      <c r="F327" t="s">
        <v>2</v>
      </c>
      <c r="H327" t="s">
        <v>1958</v>
      </c>
      <c r="I327" s="22" t="str">
        <f t="shared" si="36"/>
        <v>2020-09-28</v>
      </c>
      <c r="J327" s="23" t="str">
        <f t="shared" si="37"/>
        <v>28</v>
      </c>
      <c r="K327" t="str">
        <f t="shared" si="38"/>
        <v>no</v>
      </c>
      <c r="L327">
        <v>28</v>
      </c>
      <c r="M327" t="str">
        <f t="shared" si="39"/>
        <v>2020-09-28</v>
      </c>
      <c r="N327" s="20">
        <f t="shared" si="40"/>
        <v>44103</v>
      </c>
      <c r="O327" t="str">
        <f t="shared" si="41"/>
        <v>2020-09-29</v>
      </c>
    </row>
    <row r="328" spans="1:15" x14ac:dyDescent="0.2">
      <c r="A328" s="21" t="str">
        <f t="shared" si="35"/>
        <v>y</v>
      </c>
      <c r="B328" s="24" t="s">
        <v>1653</v>
      </c>
      <c r="C328" t="s">
        <v>235</v>
      </c>
      <c r="D328" t="s">
        <v>13</v>
      </c>
      <c r="E328" t="s">
        <v>34</v>
      </c>
      <c r="F328" t="s">
        <v>2</v>
      </c>
      <c r="H328" t="s">
        <v>1958</v>
      </c>
      <c r="I328" s="22" t="str">
        <f t="shared" si="36"/>
        <v>2020-09-27</v>
      </c>
      <c r="J328" s="23" t="str">
        <f t="shared" si="37"/>
        <v>27</v>
      </c>
      <c r="K328" t="str">
        <f t="shared" si="38"/>
        <v>no</v>
      </c>
      <c r="L328">
        <v>27</v>
      </c>
      <c r="M328" t="str">
        <f t="shared" si="39"/>
        <v>2020-09-27</v>
      </c>
      <c r="N328" s="20">
        <f t="shared" si="40"/>
        <v>44102</v>
      </c>
      <c r="O328" t="str">
        <f t="shared" si="41"/>
        <v>2020-09-28</v>
      </c>
    </row>
    <row r="329" spans="1:15" x14ac:dyDescent="0.2">
      <c r="A329" s="21" t="str">
        <f t="shared" si="35"/>
        <v>y</v>
      </c>
      <c r="B329" s="24" t="s">
        <v>1653</v>
      </c>
      <c r="C329" t="s">
        <v>235</v>
      </c>
      <c r="D329" t="s">
        <v>13</v>
      </c>
      <c r="E329" t="s">
        <v>115</v>
      </c>
      <c r="F329" t="s">
        <v>29</v>
      </c>
      <c r="G329" t="s">
        <v>1412</v>
      </c>
      <c r="H329" t="s">
        <v>1971</v>
      </c>
      <c r="I329" s="22" t="str">
        <f t="shared" si="36"/>
        <v>2020-09-27</v>
      </c>
      <c r="J329" s="23" t="str">
        <f t="shared" si="37"/>
        <v>27</v>
      </c>
      <c r="K329" t="str">
        <f t="shared" si="38"/>
        <v>no</v>
      </c>
      <c r="L329">
        <v>27</v>
      </c>
      <c r="M329" t="str">
        <f t="shared" si="39"/>
        <v>2020-09-27</v>
      </c>
      <c r="N329" s="20" t="str">
        <f t="shared" si="40"/>
        <v>2020-09-27</v>
      </c>
      <c r="O329" t="str">
        <f t="shared" si="41"/>
        <v>2020-09-27</v>
      </c>
    </row>
    <row r="330" spans="1:15" x14ac:dyDescent="0.2">
      <c r="A330" s="21" t="str">
        <f t="shared" si="35"/>
        <v>y</v>
      </c>
      <c r="B330" s="24" t="s">
        <v>1653</v>
      </c>
      <c r="C330" t="s">
        <v>1397</v>
      </c>
      <c r="D330" t="s">
        <v>13</v>
      </c>
      <c r="E330" t="s">
        <v>27</v>
      </c>
      <c r="F330" t="s">
        <v>2</v>
      </c>
      <c r="H330" t="s">
        <v>1958</v>
      </c>
      <c r="I330" s="22" t="str">
        <f t="shared" si="36"/>
        <v>2020-09-27</v>
      </c>
      <c r="J330" s="23" t="str">
        <f t="shared" si="37"/>
        <v>27</v>
      </c>
      <c r="K330" t="str">
        <f t="shared" si="38"/>
        <v>no</v>
      </c>
      <c r="L330">
        <v>27</v>
      </c>
      <c r="M330" t="str">
        <f t="shared" si="39"/>
        <v>2020-09-27</v>
      </c>
      <c r="N330" s="20">
        <f t="shared" si="40"/>
        <v>44102</v>
      </c>
      <c r="O330" t="str">
        <f t="shared" si="41"/>
        <v>2020-09-28</v>
      </c>
    </row>
    <row r="331" spans="1:15" x14ac:dyDescent="0.2">
      <c r="A331" s="21" t="str">
        <f t="shared" si="35"/>
        <v>y</v>
      </c>
      <c r="B331" s="24" t="s">
        <v>1653</v>
      </c>
      <c r="C331" t="s">
        <v>891</v>
      </c>
      <c r="D331" t="s">
        <v>13</v>
      </c>
      <c r="E331" t="s">
        <v>27</v>
      </c>
      <c r="F331" t="s">
        <v>29</v>
      </c>
      <c r="G331" t="s">
        <v>1413</v>
      </c>
      <c r="H331" t="s">
        <v>1973</v>
      </c>
      <c r="I331" s="22" t="str">
        <f t="shared" si="36"/>
        <v>2020-09-27</v>
      </c>
      <c r="J331" s="23" t="str">
        <f t="shared" si="37"/>
        <v>27</v>
      </c>
      <c r="K331" t="str">
        <f t="shared" si="38"/>
        <v>no</v>
      </c>
      <c r="L331">
        <v>27</v>
      </c>
      <c r="M331" t="str">
        <f t="shared" si="39"/>
        <v>2020-09-27</v>
      </c>
      <c r="N331" s="20" t="str">
        <f t="shared" si="40"/>
        <v>2020-09-27</v>
      </c>
      <c r="O331" t="str">
        <f t="shared" si="41"/>
        <v>2020-09-27</v>
      </c>
    </row>
    <row r="332" spans="1:15" x14ac:dyDescent="0.2">
      <c r="A332" s="21" t="str">
        <f t="shared" si="35"/>
        <v>y</v>
      </c>
      <c r="B332" s="24" t="s">
        <v>1654</v>
      </c>
      <c r="C332" t="s">
        <v>235</v>
      </c>
      <c r="D332" t="s">
        <v>13</v>
      </c>
      <c r="E332" t="s">
        <v>34</v>
      </c>
      <c r="F332" t="s">
        <v>2</v>
      </c>
      <c r="H332" t="s">
        <v>1958</v>
      </c>
      <c r="I332" s="22" t="str">
        <f t="shared" si="36"/>
        <v>2020-09-26</v>
      </c>
      <c r="J332" s="23" t="str">
        <f t="shared" si="37"/>
        <v>26</v>
      </c>
      <c r="K332" t="str">
        <f t="shared" si="38"/>
        <v>no</v>
      </c>
      <c r="L332">
        <v>26</v>
      </c>
      <c r="M332" t="str">
        <f t="shared" si="39"/>
        <v>2020-09-26</v>
      </c>
      <c r="N332" s="20">
        <f t="shared" si="40"/>
        <v>44101</v>
      </c>
      <c r="O332" t="str">
        <f t="shared" si="41"/>
        <v>2020-09-27</v>
      </c>
    </row>
    <row r="333" spans="1:15" x14ac:dyDescent="0.2">
      <c r="A333" s="21" t="str">
        <f t="shared" si="35"/>
        <v>y</v>
      </c>
      <c r="B333" s="24" t="s">
        <v>1654</v>
      </c>
      <c r="C333" t="s">
        <v>235</v>
      </c>
      <c r="D333" t="s">
        <v>13</v>
      </c>
      <c r="E333" t="s">
        <v>50</v>
      </c>
      <c r="F333" t="s">
        <v>29</v>
      </c>
      <c r="G333" t="s">
        <v>1411</v>
      </c>
      <c r="H333" t="s">
        <v>1958</v>
      </c>
      <c r="I333" s="22" t="str">
        <f t="shared" si="36"/>
        <v>2020-09-26</v>
      </c>
      <c r="J333" s="23" t="str">
        <f t="shared" si="37"/>
        <v>26</v>
      </c>
      <c r="K333" t="str">
        <f t="shared" si="38"/>
        <v>no</v>
      </c>
      <c r="L333">
        <v>26</v>
      </c>
      <c r="M333" t="str">
        <f t="shared" si="39"/>
        <v>2020-09-26</v>
      </c>
      <c r="N333" s="20" t="str">
        <f t="shared" si="40"/>
        <v>2020-09-26</v>
      </c>
      <c r="O333" t="str">
        <f t="shared" si="41"/>
        <v>2020-09-26</v>
      </c>
    </row>
    <row r="334" spans="1:15" x14ac:dyDescent="0.2">
      <c r="A334" s="21" t="str">
        <f t="shared" si="35"/>
        <v>y</v>
      </c>
      <c r="B334" s="24" t="s">
        <v>1654</v>
      </c>
      <c r="C334" t="s">
        <v>1397</v>
      </c>
      <c r="D334" t="s">
        <v>13</v>
      </c>
      <c r="E334" t="s">
        <v>27</v>
      </c>
      <c r="F334" t="s">
        <v>2</v>
      </c>
      <c r="H334" t="s">
        <v>1971</v>
      </c>
      <c r="I334" s="22" t="str">
        <f t="shared" si="36"/>
        <v>2020-09-26</v>
      </c>
      <c r="J334" s="23" t="str">
        <f t="shared" si="37"/>
        <v>26</v>
      </c>
      <c r="K334" t="str">
        <f t="shared" si="38"/>
        <v>no</v>
      </c>
      <c r="L334">
        <v>26</v>
      </c>
      <c r="M334" t="str">
        <f t="shared" si="39"/>
        <v>2020-09-26</v>
      </c>
      <c r="N334" s="20">
        <f t="shared" si="40"/>
        <v>44101</v>
      </c>
      <c r="O334" t="str">
        <f t="shared" si="41"/>
        <v>2020-09-27</v>
      </c>
    </row>
    <row r="335" spans="1:15" x14ac:dyDescent="0.2">
      <c r="A335" s="21" t="str">
        <f t="shared" si="35"/>
        <v>y</v>
      </c>
      <c r="B335" s="24" t="s">
        <v>1654</v>
      </c>
      <c r="C335" t="s">
        <v>891</v>
      </c>
      <c r="D335" t="s">
        <v>13</v>
      </c>
      <c r="E335" t="s">
        <v>27</v>
      </c>
      <c r="F335" t="s">
        <v>29</v>
      </c>
      <c r="G335" t="s">
        <v>1410</v>
      </c>
      <c r="H335" t="s">
        <v>1973</v>
      </c>
      <c r="I335" s="22" t="str">
        <f t="shared" si="36"/>
        <v>2020-09-26</v>
      </c>
      <c r="J335" s="23" t="str">
        <f t="shared" si="37"/>
        <v>26</v>
      </c>
      <c r="K335" t="str">
        <f t="shared" si="38"/>
        <v>no</v>
      </c>
      <c r="L335">
        <v>26</v>
      </c>
      <c r="M335" t="str">
        <f t="shared" si="39"/>
        <v>2020-09-26</v>
      </c>
      <c r="N335" s="20" t="str">
        <f t="shared" si="40"/>
        <v>2020-09-26</v>
      </c>
      <c r="O335" t="str">
        <f t="shared" si="41"/>
        <v>2020-09-26</v>
      </c>
    </row>
    <row r="336" spans="1:15" x14ac:dyDescent="0.2">
      <c r="A336" s="21" t="str">
        <f t="shared" si="35"/>
        <v>y</v>
      </c>
      <c r="B336" s="24" t="s">
        <v>1655</v>
      </c>
      <c r="C336" t="s">
        <v>235</v>
      </c>
      <c r="D336" t="s">
        <v>13</v>
      </c>
      <c r="E336" t="s">
        <v>34</v>
      </c>
      <c r="F336" t="s">
        <v>2</v>
      </c>
      <c r="H336" t="s">
        <v>1958</v>
      </c>
      <c r="I336" s="22" t="str">
        <f t="shared" si="36"/>
        <v>2020-09-24</v>
      </c>
      <c r="J336" s="23" t="str">
        <f t="shared" si="37"/>
        <v>24</v>
      </c>
      <c r="K336" t="str">
        <f t="shared" si="38"/>
        <v>no</v>
      </c>
      <c r="L336">
        <v>24</v>
      </c>
      <c r="M336" t="str">
        <f t="shared" si="39"/>
        <v>2020-09-24</v>
      </c>
      <c r="N336" s="20">
        <f t="shared" si="40"/>
        <v>44099</v>
      </c>
      <c r="O336" t="str">
        <f t="shared" si="41"/>
        <v>2020-09-25</v>
      </c>
    </row>
    <row r="337" spans="1:15" x14ac:dyDescent="0.2">
      <c r="A337" s="21" t="str">
        <f t="shared" si="35"/>
        <v>y</v>
      </c>
      <c r="B337" s="24" t="s">
        <v>1655</v>
      </c>
      <c r="C337" t="s">
        <v>235</v>
      </c>
      <c r="D337" t="s">
        <v>13</v>
      </c>
      <c r="E337" t="s">
        <v>43</v>
      </c>
      <c r="F337" t="s">
        <v>2</v>
      </c>
      <c r="H337" t="s">
        <v>1958</v>
      </c>
      <c r="I337" s="22" t="str">
        <f t="shared" si="36"/>
        <v>2020-09-24</v>
      </c>
      <c r="J337" s="23" t="str">
        <f t="shared" si="37"/>
        <v>24</v>
      </c>
      <c r="K337" t="str">
        <f t="shared" si="38"/>
        <v>no</v>
      </c>
      <c r="L337">
        <v>24</v>
      </c>
      <c r="M337" t="str">
        <f t="shared" si="39"/>
        <v>2020-09-24</v>
      </c>
      <c r="N337" s="20">
        <f t="shared" si="40"/>
        <v>44099</v>
      </c>
      <c r="O337" t="str">
        <f t="shared" si="41"/>
        <v>2020-09-25</v>
      </c>
    </row>
    <row r="338" spans="1:15" x14ac:dyDescent="0.2">
      <c r="A338" s="21" t="str">
        <f t="shared" si="35"/>
        <v>y</v>
      </c>
      <c r="B338" s="24" t="s">
        <v>1655</v>
      </c>
      <c r="C338" t="s">
        <v>1397</v>
      </c>
      <c r="D338" t="s">
        <v>13</v>
      </c>
      <c r="E338" t="s">
        <v>27</v>
      </c>
      <c r="F338" t="s">
        <v>2</v>
      </c>
      <c r="H338" t="s">
        <v>1971</v>
      </c>
      <c r="I338" s="22" t="str">
        <f t="shared" si="36"/>
        <v>2020-09-24</v>
      </c>
      <c r="J338" s="23" t="str">
        <f t="shared" si="37"/>
        <v>24</v>
      </c>
      <c r="K338" t="str">
        <f t="shared" si="38"/>
        <v>no</v>
      </c>
      <c r="L338">
        <v>24</v>
      </c>
      <c r="M338" t="str">
        <f t="shared" si="39"/>
        <v>2020-09-24</v>
      </c>
      <c r="N338" s="20">
        <f t="shared" si="40"/>
        <v>44099</v>
      </c>
      <c r="O338" t="str">
        <f t="shared" si="41"/>
        <v>2020-09-25</v>
      </c>
    </row>
    <row r="339" spans="1:15" x14ac:dyDescent="0.2">
      <c r="A339" s="21" t="str">
        <f t="shared" si="35"/>
        <v>y</v>
      </c>
      <c r="B339" s="24" t="s">
        <v>1655</v>
      </c>
      <c r="C339" t="s">
        <v>891</v>
      </c>
      <c r="D339" t="s">
        <v>13</v>
      </c>
      <c r="E339" t="s">
        <v>27</v>
      </c>
      <c r="F339" t="s">
        <v>29</v>
      </c>
      <c r="G339" t="s">
        <v>1410</v>
      </c>
      <c r="H339" t="s">
        <v>1973</v>
      </c>
      <c r="I339" s="22" t="str">
        <f t="shared" si="36"/>
        <v>2020-09-24</v>
      </c>
      <c r="J339" s="23" t="str">
        <f t="shared" si="37"/>
        <v>24</v>
      </c>
      <c r="K339" t="str">
        <f t="shared" si="38"/>
        <v>no</v>
      </c>
      <c r="L339">
        <v>24</v>
      </c>
      <c r="M339" t="str">
        <f t="shared" si="39"/>
        <v>2020-09-24</v>
      </c>
      <c r="N339" s="20" t="str">
        <f t="shared" si="40"/>
        <v>2020-09-24</v>
      </c>
      <c r="O339" t="str">
        <f t="shared" si="41"/>
        <v>2020-09-24</v>
      </c>
    </row>
    <row r="340" spans="1:15" x14ac:dyDescent="0.2">
      <c r="A340" s="21" t="str">
        <f t="shared" si="35"/>
        <v>y</v>
      </c>
      <c r="B340" s="24" t="s">
        <v>1656</v>
      </c>
      <c r="C340" t="s">
        <v>235</v>
      </c>
      <c r="D340" t="s">
        <v>13</v>
      </c>
      <c r="E340" t="s">
        <v>34</v>
      </c>
      <c r="F340" t="s">
        <v>2</v>
      </c>
      <c r="H340" t="s">
        <v>1958</v>
      </c>
      <c r="I340" s="22" t="str">
        <f t="shared" si="36"/>
        <v>2020-09-23</v>
      </c>
      <c r="J340" s="23" t="str">
        <f t="shared" si="37"/>
        <v>23</v>
      </c>
      <c r="K340" t="str">
        <f t="shared" si="38"/>
        <v>no</v>
      </c>
      <c r="L340">
        <v>23</v>
      </c>
      <c r="M340" t="str">
        <f t="shared" si="39"/>
        <v>2020-09-23</v>
      </c>
      <c r="N340" s="20">
        <f t="shared" si="40"/>
        <v>44098</v>
      </c>
      <c r="O340" t="str">
        <f t="shared" si="41"/>
        <v>2020-09-24</v>
      </c>
    </row>
    <row r="341" spans="1:15" x14ac:dyDescent="0.2">
      <c r="A341" s="21" t="str">
        <f t="shared" si="35"/>
        <v>y</v>
      </c>
      <c r="B341" s="24" t="s">
        <v>1656</v>
      </c>
      <c r="C341" t="s">
        <v>235</v>
      </c>
      <c r="D341" t="s">
        <v>13</v>
      </c>
      <c r="E341" t="s">
        <v>43</v>
      </c>
      <c r="F341" t="s">
        <v>2</v>
      </c>
      <c r="H341" t="s">
        <v>1958</v>
      </c>
      <c r="I341" s="22" t="str">
        <f t="shared" si="36"/>
        <v>2020-09-23</v>
      </c>
      <c r="J341" s="23" t="str">
        <f t="shared" si="37"/>
        <v>23</v>
      </c>
      <c r="K341" t="str">
        <f t="shared" si="38"/>
        <v>no</v>
      </c>
      <c r="L341">
        <v>23</v>
      </c>
      <c r="M341" t="str">
        <f t="shared" si="39"/>
        <v>2020-09-23</v>
      </c>
      <c r="N341" s="20">
        <f t="shared" si="40"/>
        <v>44098</v>
      </c>
      <c r="O341" t="str">
        <f t="shared" si="41"/>
        <v>2020-09-24</v>
      </c>
    </row>
    <row r="342" spans="1:15" x14ac:dyDescent="0.2">
      <c r="A342" s="21" t="str">
        <f t="shared" si="35"/>
        <v>y</v>
      </c>
      <c r="B342" s="24" t="s">
        <v>1656</v>
      </c>
      <c r="C342" t="s">
        <v>1397</v>
      </c>
      <c r="D342" t="s">
        <v>13</v>
      </c>
      <c r="E342" t="s">
        <v>27</v>
      </c>
      <c r="F342" t="s">
        <v>2</v>
      </c>
      <c r="H342" t="s">
        <v>1971</v>
      </c>
      <c r="I342" s="22" t="str">
        <f t="shared" si="36"/>
        <v>2020-09-23</v>
      </c>
      <c r="J342" s="23" t="str">
        <f t="shared" si="37"/>
        <v>23</v>
      </c>
      <c r="K342" t="str">
        <f t="shared" si="38"/>
        <v>no</v>
      </c>
      <c r="L342">
        <v>23</v>
      </c>
      <c r="M342" t="str">
        <f t="shared" si="39"/>
        <v>2020-09-23</v>
      </c>
      <c r="N342" s="20">
        <f t="shared" si="40"/>
        <v>44098</v>
      </c>
      <c r="O342" t="str">
        <f t="shared" si="41"/>
        <v>2020-09-24</v>
      </c>
    </row>
    <row r="343" spans="1:15" x14ac:dyDescent="0.2">
      <c r="A343" s="21" t="str">
        <f t="shared" si="35"/>
        <v>y</v>
      </c>
      <c r="B343" s="24" t="s">
        <v>1656</v>
      </c>
      <c r="C343" t="s">
        <v>1064</v>
      </c>
      <c r="D343" t="s">
        <v>13</v>
      </c>
      <c r="E343" t="s">
        <v>27</v>
      </c>
      <c r="F343" t="s">
        <v>29</v>
      </c>
      <c r="G343" t="s">
        <v>1409</v>
      </c>
      <c r="H343" t="s">
        <v>1956</v>
      </c>
      <c r="I343" s="22" t="str">
        <f t="shared" si="36"/>
        <v>2020-09-23</v>
      </c>
      <c r="J343" s="23" t="str">
        <f t="shared" si="37"/>
        <v>23</v>
      </c>
      <c r="K343" t="str">
        <f t="shared" si="38"/>
        <v>no</v>
      </c>
      <c r="L343">
        <v>23</v>
      </c>
      <c r="M343" t="str">
        <f t="shared" si="39"/>
        <v>2020-09-23</v>
      </c>
      <c r="N343" s="20" t="str">
        <f t="shared" si="40"/>
        <v>2020-09-23</v>
      </c>
      <c r="O343" t="str">
        <f t="shared" si="41"/>
        <v>2020-09-23</v>
      </c>
    </row>
    <row r="344" spans="1:15" x14ac:dyDescent="0.2">
      <c r="A344" s="21" t="str">
        <f t="shared" si="35"/>
        <v>y</v>
      </c>
      <c r="B344" s="24" t="s">
        <v>1656</v>
      </c>
      <c r="C344" t="s">
        <v>891</v>
      </c>
      <c r="D344" t="s">
        <v>13</v>
      </c>
      <c r="E344" t="s">
        <v>27</v>
      </c>
      <c r="F344" t="s">
        <v>2</v>
      </c>
      <c r="G344" t="s">
        <v>1408</v>
      </c>
      <c r="H344" t="s">
        <v>1973</v>
      </c>
      <c r="I344" s="22" t="str">
        <f t="shared" si="36"/>
        <v>2020-09-23</v>
      </c>
      <c r="J344" s="23" t="str">
        <f t="shared" si="37"/>
        <v>23</v>
      </c>
      <c r="K344" t="str">
        <f t="shared" si="38"/>
        <v>no</v>
      </c>
      <c r="L344">
        <v>23</v>
      </c>
      <c r="M344" t="str">
        <f t="shared" si="39"/>
        <v>2020-09-23</v>
      </c>
      <c r="N344" s="20">
        <f t="shared" si="40"/>
        <v>44098</v>
      </c>
      <c r="O344" t="str">
        <f t="shared" si="41"/>
        <v>2020-09-24</v>
      </c>
    </row>
    <row r="345" spans="1:15" x14ac:dyDescent="0.2">
      <c r="A345" s="21" t="str">
        <f t="shared" si="35"/>
        <v>y</v>
      </c>
      <c r="B345" s="24" t="s">
        <v>1656</v>
      </c>
      <c r="C345" t="s">
        <v>1113</v>
      </c>
      <c r="D345" t="s">
        <v>13</v>
      </c>
      <c r="E345" t="s">
        <v>27</v>
      </c>
      <c r="F345" t="s">
        <v>29</v>
      </c>
      <c r="G345" t="s">
        <v>1407</v>
      </c>
      <c r="H345" t="s">
        <v>1974</v>
      </c>
      <c r="I345" s="22" t="str">
        <f t="shared" si="36"/>
        <v>2020-09-23</v>
      </c>
      <c r="J345" s="23" t="str">
        <f t="shared" si="37"/>
        <v>23</v>
      </c>
      <c r="K345" t="str">
        <f t="shared" si="38"/>
        <v>no</v>
      </c>
      <c r="L345">
        <v>23</v>
      </c>
      <c r="M345" t="str">
        <f t="shared" si="39"/>
        <v>2020-09-23</v>
      </c>
      <c r="N345" s="20" t="str">
        <f t="shared" si="40"/>
        <v>2020-09-23</v>
      </c>
      <c r="O345" t="str">
        <f t="shared" si="41"/>
        <v>2020-09-23</v>
      </c>
    </row>
    <row r="346" spans="1:15" x14ac:dyDescent="0.2">
      <c r="A346" s="21" t="str">
        <f t="shared" si="35"/>
        <v>y</v>
      </c>
      <c r="B346" s="24" t="s">
        <v>1657</v>
      </c>
      <c r="C346" t="s">
        <v>235</v>
      </c>
      <c r="D346" t="s">
        <v>13</v>
      </c>
      <c r="E346" t="s">
        <v>34</v>
      </c>
      <c r="F346" t="s">
        <v>2</v>
      </c>
      <c r="H346" t="s">
        <v>1958</v>
      </c>
      <c r="I346" s="22" t="str">
        <f t="shared" si="36"/>
        <v>2020-09-22</v>
      </c>
      <c r="J346" s="23" t="str">
        <f t="shared" si="37"/>
        <v>22</v>
      </c>
      <c r="K346" t="str">
        <f t="shared" si="38"/>
        <v>no</v>
      </c>
      <c r="L346">
        <v>22</v>
      </c>
      <c r="M346" t="str">
        <f t="shared" si="39"/>
        <v>2020-09-22</v>
      </c>
      <c r="N346" s="20">
        <f t="shared" si="40"/>
        <v>44097</v>
      </c>
      <c r="O346" t="str">
        <f t="shared" si="41"/>
        <v>2020-09-23</v>
      </c>
    </row>
    <row r="347" spans="1:15" x14ac:dyDescent="0.2">
      <c r="A347" s="21" t="str">
        <f t="shared" si="35"/>
        <v>y</v>
      </c>
      <c r="B347" s="24" t="s">
        <v>1657</v>
      </c>
      <c r="C347" t="s">
        <v>235</v>
      </c>
      <c r="D347" t="s">
        <v>13</v>
      </c>
      <c r="E347" t="s">
        <v>43</v>
      </c>
      <c r="F347" t="s">
        <v>2</v>
      </c>
      <c r="H347" t="s">
        <v>1958</v>
      </c>
      <c r="I347" s="22" t="str">
        <f t="shared" si="36"/>
        <v>2020-09-22</v>
      </c>
      <c r="J347" s="23" t="str">
        <f t="shared" si="37"/>
        <v>22</v>
      </c>
      <c r="K347" t="str">
        <f t="shared" si="38"/>
        <v>no</v>
      </c>
      <c r="L347">
        <v>22</v>
      </c>
      <c r="M347" t="str">
        <f t="shared" si="39"/>
        <v>2020-09-22</v>
      </c>
      <c r="N347" s="20">
        <f t="shared" si="40"/>
        <v>44097</v>
      </c>
      <c r="O347" t="str">
        <f t="shared" si="41"/>
        <v>2020-09-23</v>
      </c>
    </row>
    <row r="348" spans="1:15" x14ac:dyDescent="0.2">
      <c r="A348" s="21" t="str">
        <f t="shared" si="35"/>
        <v>y</v>
      </c>
      <c r="B348" s="24" t="s">
        <v>1657</v>
      </c>
      <c r="C348" t="s">
        <v>1397</v>
      </c>
      <c r="D348" t="s">
        <v>13</v>
      </c>
      <c r="E348" t="s">
        <v>27</v>
      </c>
      <c r="F348" t="s">
        <v>2</v>
      </c>
      <c r="G348" t="s">
        <v>1404</v>
      </c>
      <c r="H348" t="s">
        <v>1971</v>
      </c>
      <c r="I348" s="22" t="str">
        <f t="shared" si="36"/>
        <v>2020-09-22</v>
      </c>
      <c r="J348" s="23" t="str">
        <f t="shared" si="37"/>
        <v>22</v>
      </c>
      <c r="K348" t="str">
        <f t="shared" si="38"/>
        <v>no</v>
      </c>
      <c r="L348">
        <v>22</v>
      </c>
      <c r="M348" t="str">
        <f t="shared" si="39"/>
        <v>2020-09-22</v>
      </c>
      <c r="N348" s="20">
        <f t="shared" si="40"/>
        <v>44097</v>
      </c>
      <c r="O348" t="str">
        <f t="shared" si="41"/>
        <v>2020-09-23</v>
      </c>
    </row>
    <row r="349" spans="1:15" x14ac:dyDescent="0.2">
      <c r="A349" s="21" t="str">
        <f t="shared" si="35"/>
        <v>y</v>
      </c>
      <c r="B349" s="24" t="s">
        <v>1657</v>
      </c>
      <c r="C349" t="s">
        <v>1064</v>
      </c>
      <c r="D349" t="s">
        <v>13</v>
      </c>
      <c r="E349" t="s">
        <v>27</v>
      </c>
      <c r="F349" t="s">
        <v>2</v>
      </c>
      <c r="G349" t="s">
        <v>1406</v>
      </c>
      <c r="H349" t="s">
        <v>1956</v>
      </c>
      <c r="I349" s="22" t="str">
        <f t="shared" si="36"/>
        <v>2020-09-22</v>
      </c>
      <c r="J349" s="23" t="str">
        <f t="shared" si="37"/>
        <v>22</v>
      </c>
      <c r="K349" t="str">
        <f t="shared" si="38"/>
        <v>no</v>
      </c>
      <c r="L349">
        <v>22</v>
      </c>
      <c r="M349" t="str">
        <f t="shared" si="39"/>
        <v>2020-09-22</v>
      </c>
      <c r="N349" s="20">
        <f t="shared" si="40"/>
        <v>44097</v>
      </c>
      <c r="O349" t="str">
        <f t="shared" si="41"/>
        <v>2020-09-23</v>
      </c>
    </row>
    <row r="350" spans="1:15" x14ac:dyDescent="0.2">
      <c r="A350" s="21" t="str">
        <f t="shared" si="35"/>
        <v>y</v>
      </c>
      <c r="B350" s="24" t="s">
        <v>1657</v>
      </c>
      <c r="C350" t="s">
        <v>891</v>
      </c>
      <c r="D350" t="s">
        <v>13</v>
      </c>
      <c r="E350" t="s">
        <v>27</v>
      </c>
      <c r="F350" t="s">
        <v>2</v>
      </c>
      <c r="G350" t="s">
        <v>1405</v>
      </c>
      <c r="H350" t="s">
        <v>1973</v>
      </c>
      <c r="I350" s="22" t="str">
        <f t="shared" si="36"/>
        <v>2020-09-22</v>
      </c>
      <c r="J350" s="23" t="str">
        <f t="shared" si="37"/>
        <v>22</v>
      </c>
      <c r="K350" t="str">
        <f t="shared" si="38"/>
        <v>no</v>
      </c>
      <c r="L350">
        <v>22</v>
      </c>
      <c r="M350" t="str">
        <f t="shared" si="39"/>
        <v>2020-09-22</v>
      </c>
      <c r="N350" s="20">
        <f t="shared" si="40"/>
        <v>44097</v>
      </c>
      <c r="O350" t="str">
        <f t="shared" si="41"/>
        <v>2020-09-23</v>
      </c>
    </row>
    <row r="351" spans="1:15" x14ac:dyDescent="0.2">
      <c r="A351" s="21" t="str">
        <f t="shared" si="35"/>
        <v>y</v>
      </c>
      <c r="B351" s="24" t="s">
        <v>1658</v>
      </c>
      <c r="C351" t="s">
        <v>235</v>
      </c>
      <c r="D351" t="s">
        <v>13</v>
      </c>
      <c r="E351" t="s">
        <v>34</v>
      </c>
      <c r="F351" t="s">
        <v>2</v>
      </c>
      <c r="G351" t="s">
        <v>1400</v>
      </c>
      <c r="H351" t="s">
        <v>1958</v>
      </c>
      <c r="I351" s="22" t="str">
        <f t="shared" si="36"/>
        <v>2020-09-21</v>
      </c>
      <c r="J351" s="23" t="str">
        <f t="shared" si="37"/>
        <v>21</v>
      </c>
      <c r="K351" t="str">
        <f t="shared" si="38"/>
        <v>no</v>
      </c>
      <c r="L351">
        <v>21</v>
      </c>
      <c r="M351" t="str">
        <f t="shared" si="39"/>
        <v>2020-09-21</v>
      </c>
      <c r="N351" s="20">
        <f t="shared" si="40"/>
        <v>44096</v>
      </c>
      <c r="O351" t="str">
        <f t="shared" si="41"/>
        <v>2020-09-22</v>
      </c>
    </row>
    <row r="352" spans="1:15" x14ac:dyDescent="0.2">
      <c r="A352" s="21" t="str">
        <f t="shared" si="35"/>
        <v>y</v>
      </c>
      <c r="B352" s="24" t="s">
        <v>1658</v>
      </c>
      <c r="C352" t="s">
        <v>235</v>
      </c>
      <c r="D352" t="s">
        <v>13</v>
      </c>
      <c r="E352" t="s">
        <v>43</v>
      </c>
      <c r="F352" t="s">
        <v>2</v>
      </c>
      <c r="H352" t="s">
        <v>1958</v>
      </c>
      <c r="I352" s="22" t="str">
        <f t="shared" si="36"/>
        <v>2020-09-21</v>
      </c>
      <c r="J352" s="23" t="str">
        <f t="shared" si="37"/>
        <v>21</v>
      </c>
      <c r="K352" t="str">
        <f t="shared" si="38"/>
        <v>no</v>
      </c>
      <c r="L352">
        <v>21</v>
      </c>
      <c r="M352" t="str">
        <f t="shared" si="39"/>
        <v>2020-09-21</v>
      </c>
      <c r="N352" s="20">
        <f t="shared" si="40"/>
        <v>44096</v>
      </c>
      <c r="O352" t="str">
        <f t="shared" si="41"/>
        <v>2020-09-22</v>
      </c>
    </row>
    <row r="353" spans="1:15" x14ac:dyDescent="0.2">
      <c r="A353" s="21" t="str">
        <f t="shared" si="35"/>
        <v>y</v>
      </c>
      <c r="B353" s="24" t="s">
        <v>1658</v>
      </c>
      <c r="C353" t="s">
        <v>1397</v>
      </c>
      <c r="D353" t="s">
        <v>13</v>
      </c>
      <c r="E353" t="s">
        <v>42</v>
      </c>
      <c r="F353" t="s">
        <v>29</v>
      </c>
      <c r="G353" t="s">
        <v>1402</v>
      </c>
      <c r="H353" t="s">
        <v>1971</v>
      </c>
      <c r="I353" s="22" t="str">
        <f t="shared" si="36"/>
        <v>2020-09-21</v>
      </c>
      <c r="J353" s="23" t="str">
        <f t="shared" si="37"/>
        <v>21</v>
      </c>
      <c r="K353" t="str">
        <f t="shared" si="38"/>
        <v>no</v>
      </c>
      <c r="L353">
        <v>21</v>
      </c>
      <c r="M353" t="str">
        <f t="shared" si="39"/>
        <v>2020-09-21</v>
      </c>
      <c r="N353" s="20" t="str">
        <f t="shared" si="40"/>
        <v>2020-09-21</v>
      </c>
      <c r="O353" t="str">
        <f t="shared" si="41"/>
        <v>2020-09-21</v>
      </c>
    </row>
    <row r="354" spans="1:15" x14ac:dyDescent="0.2">
      <c r="A354" s="21" t="str">
        <f t="shared" si="35"/>
        <v>y</v>
      </c>
      <c r="B354" s="24" t="s">
        <v>1658</v>
      </c>
      <c r="C354" t="s">
        <v>1397</v>
      </c>
      <c r="D354" t="s">
        <v>13</v>
      </c>
      <c r="E354" t="s">
        <v>27</v>
      </c>
      <c r="F354" t="s">
        <v>2</v>
      </c>
      <c r="H354" t="s">
        <v>1956</v>
      </c>
      <c r="I354" s="22" t="str">
        <f t="shared" si="36"/>
        <v>2020-09-21</v>
      </c>
      <c r="J354" s="23" t="str">
        <f t="shared" si="37"/>
        <v>21</v>
      </c>
      <c r="K354" t="str">
        <f t="shared" si="38"/>
        <v>no</v>
      </c>
      <c r="L354">
        <v>21</v>
      </c>
      <c r="M354" t="str">
        <f t="shared" si="39"/>
        <v>2020-09-21</v>
      </c>
      <c r="N354" s="20">
        <f t="shared" si="40"/>
        <v>44096</v>
      </c>
      <c r="O354" t="str">
        <f t="shared" si="41"/>
        <v>2020-09-22</v>
      </c>
    </row>
    <row r="355" spans="1:15" x14ac:dyDescent="0.2">
      <c r="A355" s="21" t="str">
        <f t="shared" si="35"/>
        <v>y</v>
      </c>
      <c r="B355" s="24" t="s">
        <v>1658</v>
      </c>
      <c r="C355" t="s">
        <v>1064</v>
      </c>
      <c r="D355" t="s">
        <v>13</v>
      </c>
      <c r="E355" t="s">
        <v>27</v>
      </c>
      <c r="F355" t="s">
        <v>2</v>
      </c>
      <c r="H355" t="s">
        <v>1971</v>
      </c>
      <c r="I355" s="22" t="str">
        <f t="shared" si="36"/>
        <v>2020-09-21</v>
      </c>
      <c r="J355" s="23" t="str">
        <f t="shared" si="37"/>
        <v>21</v>
      </c>
      <c r="K355" t="str">
        <f t="shared" si="38"/>
        <v>no</v>
      </c>
      <c r="L355">
        <v>21</v>
      </c>
      <c r="M355" t="str">
        <f t="shared" si="39"/>
        <v>2020-09-21</v>
      </c>
      <c r="N355" s="20">
        <f t="shared" si="40"/>
        <v>44096</v>
      </c>
      <c r="O355" t="str">
        <f t="shared" si="41"/>
        <v>2020-09-22</v>
      </c>
    </row>
    <row r="356" spans="1:15" x14ac:dyDescent="0.2">
      <c r="A356" s="21" t="str">
        <f t="shared" si="35"/>
        <v>y</v>
      </c>
      <c r="B356" s="24" t="s">
        <v>1658</v>
      </c>
      <c r="C356" t="s">
        <v>891</v>
      </c>
      <c r="D356" t="s">
        <v>13</v>
      </c>
      <c r="E356" t="s">
        <v>27</v>
      </c>
      <c r="F356" t="s">
        <v>2</v>
      </c>
      <c r="G356" t="s">
        <v>1403</v>
      </c>
      <c r="H356" t="s">
        <v>1973</v>
      </c>
      <c r="I356" s="22" t="str">
        <f t="shared" si="36"/>
        <v>2020-09-21</v>
      </c>
      <c r="J356" s="23" t="str">
        <f t="shared" si="37"/>
        <v>21</v>
      </c>
      <c r="K356" t="str">
        <f t="shared" si="38"/>
        <v>no</v>
      </c>
      <c r="L356">
        <v>21</v>
      </c>
      <c r="M356" t="str">
        <f t="shared" si="39"/>
        <v>2020-09-21</v>
      </c>
      <c r="N356" s="20">
        <f t="shared" si="40"/>
        <v>44096</v>
      </c>
      <c r="O356" t="str">
        <f t="shared" si="41"/>
        <v>2020-09-22</v>
      </c>
    </row>
    <row r="357" spans="1:15" x14ac:dyDescent="0.2">
      <c r="A357" s="21" t="str">
        <f t="shared" si="35"/>
        <v>y</v>
      </c>
      <c r="B357" s="24" t="s">
        <v>1659</v>
      </c>
      <c r="C357" t="s">
        <v>235</v>
      </c>
      <c r="D357" t="s">
        <v>13</v>
      </c>
      <c r="E357" t="s">
        <v>34</v>
      </c>
      <c r="F357" t="s">
        <v>2</v>
      </c>
      <c r="G357" t="s">
        <v>1400</v>
      </c>
      <c r="H357" t="s">
        <v>1958</v>
      </c>
      <c r="I357" s="22" t="str">
        <f t="shared" si="36"/>
        <v>2020-09-20</v>
      </c>
      <c r="J357" s="23" t="str">
        <f t="shared" si="37"/>
        <v>20</v>
      </c>
      <c r="K357" t="str">
        <f t="shared" si="38"/>
        <v>no</v>
      </c>
      <c r="L357">
        <v>20</v>
      </c>
      <c r="M357" t="str">
        <f t="shared" si="39"/>
        <v>2020-09-20</v>
      </c>
      <c r="N357" s="20">
        <f t="shared" si="40"/>
        <v>44095</v>
      </c>
      <c r="O357" t="str">
        <f t="shared" si="41"/>
        <v>2020-09-21</v>
      </c>
    </row>
    <row r="358" spans="1:15" x14ac:dyDescent="0.2">
      <c r="A358" s="21" t="str">
        <f t="shared" si="35"/>
        <v>y</v>
      </c>
      <c r="B358" s="24" t="s">
        <v>1659</v>
      </c>
      <c r="C358" t="s">
        <v>235</v>
      </c>
      <c r="D358" t="s">
        <v>13</v>
      </c>
      <c r="E358" t="s">
        <v>43</v>
      </c>
      <c r="F358" t="s">
        <v>2</v>
      </c>
      <c r="H358" t="s">
        <v>1958</v>
      </c>
      <c r="I358" s="22" t="str">
        <f t="shared" si="36"/>
        <v>2020-09-20</v>
      </c>
      <c r="J358" s="23" t="str">
        <f t="shared" si="37"/>
        <v>20</v>
      </c>
      <c r="K358" t="str">
        <f t="shared" si="38"/>
        <v>no</v>
      </c>
      <c r="L358">
        <v>20</v>
      </c>
      <c r="M358" t="str">
        <f t="shared" si="39"/>
        <v>2020-09-20</v>
      </c>
      <c r="N358" s="20">
        <f t="shared" si="40"/>
        <v>44095</v>
      </c>
      <c r="O358" t="str">
        <f t="shared" si="41"/>
        <v>2020-09-21</v>
      </c>
    </row>
    <row r="359" spans="1:15" x14ac:dyDescent="0.2">
      <c r="A359" s="21" t="str">
        <f t="shared" si="35"/>
        <v>y</v>
      </c>
      <c r="B359" s="24" t="s">
        <v>1659</v>
      </c>
      <c r="C359" t="s">
        <v>235</v>
      </c>
      <c r="D359" t="s">
        <v>13</v>
      </c>
      <c r="E359" t="s">
        <v>42</v>
      </c>
      <c r="F359" t="s">
        <v>29</v>
      </c>
      <c r="G359" t="s">
        <v>1401</v>
      </c>
      <c r="H359" t="s">
        <v>1971</v>
      </c>
      <c r="I359" s="22" t="str">
        <f t="shared" si="36"/>
        <v>2020-09-20</v>
      </c>
      <c r="J359" s="23" t="str">
        <f t="shared" si="37"/>
        <v>20</v>
      </c>
      <c r="K359" t="str">
        <f t="shared" si="38"/>
        <v>no</v>
      </c>
      <c r="L359">
        <v>20</v>
      </c>
      <c r="M359" t="str">
        <f t="shared" si="39"/>
        <v>2020-09-20</v>
      </c>
      <c r="N359" s="20" t="str">
        <f t="shared" si="40"/>
        <v>2020-09-20</v>
      </c>
      <c r="O359" t="str">
        <f t="shared" si="41"/>
        <v>2020-09-20</v>
      </c>
    </row>
    <row r="360" spans="1:15" x14ac:dyDescent="0.2">
      <c r="A360" s="21" t="str">
        <f t="shared" si="35"/>
        <v>y</v>
      </c>
      <c r="B360" s="24" t="s">
        <v>1659</v>
      </c>
      <c r="C360" t="s">
        <v>1397</v>
      </c>
      <c r="D360" t="s">
        <v>13</v>
      </c>
      <c r="E360" t="s">
        <v>27</v>
      </c>
      <c r="F360" t="s">
        <v>2</v>
      </c>
      <c r="H360" t="s">
        <v>1958</v>
      </c>
      <c r="I360" s="22" t="str">
        <f t="shared" si="36"/>
        <v>2020-09-20</v>
      </c>
      <c r="J360" s="23" t="str">
        <f t="shared" si="37"/>
        <v>20</v>
      </c>
      <c r="K360" t="str">
        <f t="shared" si="38"/>
        <v>no</v>
      </c>
      <c r="L360">
        <v>20</v>
      </c>
      <c r="M360" t="str">
        <f t="shared" si="39"/>
        <v>2020-09-20</v>
      </c>
      <c r="N360" s="20">
        <f t="shared" si="40"/>
        <v>44095</v>
      </c>
      <c r="O360" t="str">
        <f t="shared" si="41"/>
        <v>2020-09-21</v>
      </c>
    </row>
    <row r="361" spans="1:15" x14ac:dyDescent="0.2">
      <c r="A361" s="21" t="str">
        <f t="shared" si="35"/>
        <v>y</v>
      </c>
      <c r="B361" s="24" t="s">
        <v>1660</v>
      </c>
      <c r="C361" t="s">
        <v>235</v>
      </c>
      <c r="D361" t="s">
        <v>13</v>
      </c>
      <c r="E361" t="s">
        <v>34</v>
      </c>
      <c r="F361" t="s">
        <v>2</v>
      </c>
      <c r="H361" t="s">
        <v>1958</v>
      </c>
      <c r="I361" s="22" t="str">
        <f t="shared" si="36"/>
        <v>2020-09-19</v>
      </c>
      <c r="J361" s="23" t="str">
        <f t="shared" si="37"/>
        <v>19</v>
      </c>
      <c r="K361" t="str">
        <f t="shared" si="38"/>
        <v>no</v>
      </c>
      <c r="L361">
        <v>19</v>
      </c>
      <c r="M361" t="str">
        <f t="shared" si="39"/>
        <v>2020-09-19</v>
      </c>
      <c r="N361" s="20">
        <f t="shared" si="40"/>
        <v>44094</v>
      </c>
      <c r="O361" t="str">
        <f t="shared" si="41"/>
        <v>2020-09-20</v>
      </c>
    </row>
    <row r="362" spans="1:15" x14ac:dyDescent="0.2">
      <c r="A362" s="21" t="str">
        <f t="shared" si="35"/>
        <v>y</v>
      </c>
      <c r="B362" s="24" t="s">
        <v>1660</v>
      </c>
      <c r="C362" t="s">
        <v>235</v>
      </c>
      <c r="D362" t="s">
        <v>13</v>
      </c>
      <c r="E362" t="s">
        <v>4</v>
      </c>
      <c r="F362" t="s">
        <v>29</v>
      </c>
      <c r="G362" t="s">
        <v>1399</v>
      </c>
      <c r="H362" t="s">
        <v>1958</v>
      </c>
      <c r="I362" s="22" t="str">
        <f t="shared" si="36"/>
        <v>2020-09-19</v>
      </c>
      <c r="J362" s="23" t="str">
        <f t="shared" si="37"/>
        <v>19</v>
      </c>
      <c r="K362" t="str">
        <f t="shared" si="38"/>
        <v>no</v>
      </c>
      <c r="L362">
        <v>19</v>
      </c>
      <c r="M362" t="str">
        <f t="shared" si="39"/>
        <v>2020-09-19</v>
      </c>
      <c r="N362" s="20" t="str">
        <f t="shared" si="40"/>
        <v>2020-09-19</v>
      </c>
      <c r="O362" t="str">
        <f t="shared" si="41"/>
        <v>2020-09-19</v>
      </c>
    </row>
    <row r="363" spans="1:15" x14ac:dyDescent="0.2">
      <c r="A363" s="21" t="str">
        <f t="shared" si="35"/>
        <v>y</v>
      </c>
      <c r="B363" s="24" t="s">
        <v>1660</v>
      </c>
      <c r="C363" t="s">
        <v>1397</v>
      </c>
      <c r="D363" t="s">
        <v>13</v>
      </c>
      <c r="E363" t="s">
        <v>27</v>
      </c>
      <c r="F363" t="s">
        <v>2</v>
      </c>
      <c r="H363" t="s">
        <v>1971</v>
      </c>
      <c r="I363" s="22" t="str">
        <f t="shared" si="36"/>
        <v>2020-09-19</v>
      </c>
      <c r="J363" s="23" t="str">
        <f t="shared" si="37"/>
        <v>19</v>
      </c>
      <c r="K363" t="str">
        <f t="shared" si="38"/>
        <v>no</v>
      </c>
      <c r="L363">
        <v>19</v>
      </c>
      <c r="M363" t="str">
        <f t="shared" si="39"/>
        <v>2020-09-19</v>
      </c>
      <c r="N363" s="20">
        <f t="shared" si="40"/>
        <v>44094</v>
      </c>
      <c r="O363" t="str">
        <f t="shared" si="41"/>
        <v>2020-09-20</v>
      </c>
    </row>
    <row r="364" spans="1:15" x14ac:dyDescent="0.2">
      <c r="A364" s="21" t="str">
        <f t="shared" si="35"/>
        <v>y</v>
      </c>
      <c r="B364" s="24" t="s">
        <v>1661</v>
      </c>
      <c r="C364" t="s">
        <v>235</v>
      </c>
      <c r="D364" t="s">
        <v>13</v>
      </c>
      <c r="E364" t="s">
        <v>34</v>
      </c>
      <c r="F364" t="s">
        <v>2</v>
      </c>
      <c r="H364" t="s">
        <v>1958</v>
      </c>
      <c r="I364" s="22" t="str">
        <f t="shared" si="36"/>
        <v>2020-09-17</v>
      </c>
      <c r="J364" s="23" t="str">
        <f t="shared" si="37"/>
        <v>17</v>
      </c>
      <c r="K364" t="str">
        <f t="shared" si="38"/>
        <v>no</v>
      </c>
      <c r="L364">
        <v>17</v>
      </c>
      <c r="M364" t="str">
        <f t="shared" si="39"/>
        <v>2020-09-17</v>
      </c>
      <c r="N364" s="20">
        <f t="shared" si="40"/>
        <v>44092</v>
      </c>
      <c r="O364" t="str">
        <f t="shared" si="41"/>
        <v>2020-09-18</v>
      </c>
    </row>
    <row r="365" spans="1:15" x14ac:dyDescent="0.2">
      <c r="A365" s="21" t="str">
        <f t="shared" si="35"/>
        <v>y</v>
      </c>
      <c r="B365" s="24" t="s">
        <v>1661</v>
      </c>
      <c r="C365" t="s">
        <v>235</v>
      </c>
      <c r="D365" t="s">
        <v>13</v>
      </c>
      <c r="E365" t="s">
        <v>43</v>
      </c>
      <c r="F365" t="s">
        <v>29</v>
      </c>
      <c r="G365" t="s">
        <v>1398</v>
      </c>
      <c r="H365" t="s">
        <v>1958</v>
      </c>
      <c r="I365" s="22" t="str">
        <f t="shared" si="36"/>
        <v>2020-09-17</v>
      </c>
      <c r="J365" s="23" t="str">
        <f t="shared" si="37"/>
        <v>17</v>
      </c>
      <c r="K365" t="str">
        <f t="shared" si="38"/>
        <v>no</v>
      </c>
      <c r="L365">
        <v>17</v>
      </c>
      <c r="M365" t="str">
        <f t="shared" si="39"/>
        <v>2020-09-17</v>
      </c>
      <c r="N365" s="20" t="str">
        <f t="shared" si="40"/>
        <v>2020-09-17</v>
      </c>
      <c r="O365" t="str">
        <f t="shared" si="41"/>
        <v>2020-09-17</v>
      </c>
    </row>
    <row r="366" spans="1:15" x14ac:dyDescent="0.2">
      <c r="A366" s="21" t="str">
        <f t="shared" si="35"/>
        <v>y</v>
      </c>
      <c r="B366" s="24" t="s">
        <v>1661</v>
      </c>
      <c r="C366" t="s">
        <v>1397</v>
      </c>
      <c r="D366" t="s">
        <v>13</v>
      </c>
      <c r="E366" t="s">
        <v>27</v>
      </c>
      <c r="F366" t="s">
        <v>2</v>
      </c>
      <c r="H366" t="s">
        <v>1971</v>
      </c>
      <c r="I366" s="22" t="str">
        <f t="shared" si="36"/>
        <v>2020-09-17</v>
      </c>
      <c r="J366" s="23" t="str">
        <f t="shared" si="37"/>
        <v>17</v>
      </c>
      <c r="K366" t="str">
        <f t="shared" si="38"/>
        <v>no</v>
      </c>
      <c r="L366">
        <v>17</v>
      </c>
      <c r="M366" t="str">
        <f t="shared" si="39"/>
        <v>2020-09-17</v>
      </c>
      <c r="N366" s="20">
        <f t="shared" si="40"/>
        <v>44092</v>
      </c>
      <c r="O366" t="str">
        <f t="shared" si="41"/>
        <v>2020-09-18</v>
      </c>
    </row>
    <row r="367" spans="1:15" x14ac:dyDescent="0.2">
      <c r="A367" s="21" t="str">
        <f t="shared" si="35"/>
        <v>y</v>
      </c>
      <c r="B367" s="24" t="s">
        <v>1662</v>
      </c>
      <c r="C367" t="s">
        <v>235</v>
      </c>
      <c r="D367" t="s">
        <v>13</v>
      </c>
      <c r="E367" t="s">
        <v>34</v>
      </c>
      <c r="F367" t="s">
        <v>2</v>
      </c>
      <c r="H367" t="s">
        <v>1958</v>
      </c>
      <c r="I367" s="22" t="str">
        <f t="shared" si="36"/>
        <v>2020-09-16</v>
      </c>
      <c r="J367" s="23" t="str">
        <f t="shared" si="37"/>
        <v>16</v>
      </c>
      <c r="K367" t="str">
        <f t="shared" si="38"/>
        <v>no</v>
      </c>
      <c r="L367">
        <v>16</v>
      </c>
      <c r="M367" t="str">
        <f t="shared" si="39"/>
        <v>2020-09-16</v>
      </c>
      <c r="N367" s="20">
        <f t="shared" si="40"/>
        <v>44091</v>
      </c>
      <c r="O367" t="str">
        <f t="shared" si="41"/>
        <v>2020-09-17</v>
      </c>
    </row>
    <row r="368" spans="1:15" x14ac:dyDescent="0.2">
      <c r="A368" s="21" t="str">
        <f t="shared" si="35"/>
        <v>y</v>
      </c>
      <c r="B368" s="24" t="s">
        <v>1662</v>
      </c>
      <c r="C368" t="s">
        <v>235</v>
      </c>
      <c r="D368" t="s">
        <v>13</v>
      </c>
      <c r="E368" t="s">
        <v>4</v>
      </c>
      <c r="F368" t="s">
        <v>29</v>
      </c>
      <c r="G368" t="s">
        <v>1396</v>
      </c>
      <c r="H368" t="s">
        <v>1958</v>
      </c>
      <c r="I368" s="22" t="str">
        <f t="shared" si="36"/>
        <v>2020-09-16</v>
      </c>
      <c r="J368" s="23" t="str">
        <f t="shared" si="37"/>
        <v>16</v>
      </c>
      <c r="K368" t="str">
        <f t="shared" si="38"/>
        <v>no</v>
      </c>
      <c r="L368">
        <v>16</v>
      </c>
      <c r="M368" t="str">
        <f t="shared" si="39"/>
        <v>2020-09-16</v>
      </c>
      <c r="N368" s="20" t="str">
        <f t="shared" si="40"/>
        <v>2020-09-16</v>
      </c>
      <c r="O368" t="str">
        <f t="shared" si="41"/>
        <v>2020-09-16</v>
      </c>
    </row>
    <row r="369" spans="1:15" x14ac:dyDescent="0.2">
      <c r="A369" s="21" t="str">
        <f t="shared" si="35"/>
        <v>y</v>
      </c>
      <c r="B369" s="24" t="s">
        <v>1662</v>
      </c>
      <c r="C369" t="s">
        <v>235</v>
      </c>
      <c r="D369" t="s">
        <v>13</v>
      </c>
      <c r="E369" t="s">
        <v>42</v>
      </c>
      <c r="F369" t="s">
        <v>29</v>
      </c>
      <c r="G369" t="s">
        <v>1395</v>
      </c>
      <c r="H369" t="s">
        <v>1958</v>
      </c>
      <c r="I369" s="22" t="str">
        <f t="shared" si="36"/>
        <v>2020-09-16</v>
      </c>
      <c r="J369" s="23" t="str">
        <f t="shared" si="37"/>
        <v>16</v>
      </c>
      <c r="K369" t="str">
        <f t="shared" si="38"/>
        <v>no</v>
      </c>
      <c r="L369">
        <v>16</v>
      </c>
      <c r="M369" t="str">
        <f t="shared" si="39"/>
        <v>2020-09-16</v>
      </c>
      <c r="N369" s="20" t="str">
        <f t="shared" si="40"/>
        <v>2020-09-16</v>
      </c>
      <c r="O369" t="str">
        <f t="shared" si="41"/>
        <v>2020-09-16</v>
      </c>
    </row>
    <row r="370" spans="1:15" x14ac:dyDescent="0.2">
      <c r="A370" s="21" t="str">
        <f t="shared" si="35"/>
        <v>y</v>
      </c>
      <c r="B370" s="24" t="s">
        <v>1663</v>
      </c>
      <c r="C370" t="s">
        <v>235</v>
      </c>
      <c r="D370" t="s">
        <v>13</v>
      </c>
      <c r="E370" t="s">
        <v>4</v>
      </c>
      <c r="F370" t="s">
        <v>29</v>
      </c>
      <c r="G370" t="s">
        <v>1391</v>
      </c>
      <c r="H370" t="s">
        <v>1958</v>
      </c>
      <c r="I370" s="22" t="str">
        <f t="shared" si="36"/>
        <v>2020-09-15</v>
      </c>
      <c r="J370" s="23" t="str">
        <f t="shared" si="37"/>
        <v>15</v>
      </c>
      <c r="K370" t="str">
        <f t="shared" si="38"/>
        <v>no</v>
      </c>
      <c r="L370">
        <v>15</v>
      </c>
      <c r="M370" t="str">
        <f t="shared" si="39"/>
        <v>2020-09-15</v>
      </c>
      <c r="N370" s="20" t="str">
        <f t="shared" si="40"/>
        <v>2020-09-15</v>
      </c>
      <c r="O370" t="str">
        <f t="shared" si="41"/>
        <v>2020-09-15</v>
      </c>
    </row>
    <row r="371" spans="1:15" x14ac:dyDescent="0.2">
      <c r="A371" s="21" t="str">
        <f t="shared" si="35"/>
        <v>y</v>
      </c>
      <c r="B371" s="24" t="s">
        <v>1663</v>
      </c>
      <c r="C371" t="s">
        <v>235</v>
      </c>
      <c r="D371" t="s">
        <v>13</v>
      </c>
      <c r="E371" t="s">
        <v>43</v>
      </c>
      <c r="F371" t="s">
        <v>29</v>
      </c>
      <c r="G371" t="s">
        <v>1392</v>
      </c>
      <c r="H371" t="s">
        <v>1958</v>
      </c>
      <c r="I371" s="22" t="str">
        <f t="shared" si="36"/>
        <v>2020-09-15</v>
      </c>
      <c r="J371" s="23" t="str">
        <f t="shared" si="37"/>
        <v>15</v>
      </c>
      <c r="K371" t="str">
        <f t="shared" si="38"/>
        <v>no</v>
      </c>
      <c r="L371">
        <v>15</v>
      </c>
      <c r="M371" t="str">
        <f t="shared" si="39"/>
        <v>2020-09-15</v>
      </c>
      <c r="N371" s="20" t="str">
        <f t="shared" si="40"/>
        <v>2020-09-15</v>
      </c>
      <c r="O371" t="str">
        <f t="shared" si="41"/>
        <v>2020-09-15</v>
      </c>
    </row>
    <row r="372" spans="1:15" x14ac:dyDescent="0.2">
      <c r="A372" s="21" t="str">
        <f t="shared" si="35"/>
        <v>y</v>
      </c>
      <c r="B372" s="24" t="s">
        <v>1663</v>
      </c>
      <c r="C372" t="s">
        <v>235</v>
      </c>
      <c r="D372" t="s">
        <v>13</v>
      </c>
      <c r="E372" t="s">
        <v>34</v>
      </c>
      <c r="F372" t="s">
        <v>2</v>
      </c>
      <c r="G372" t="s">
        <v>1393</v>
      </c>
      <c r="H372" t="s">
        <v>1956</v>
      </c>
      <c r="I372" s="22" t="str">
        <f t="shared" si="36"/>
        <v>2020-09-15</v>
      </c>
      <c r="J372" s="23" t="str">
        <f t="shared" si="37"/>
        <v>15</v>
      </c>
      <c r="K372" t="str">
        <f t="shared" si="38"/>
        <v>no</v>
      </c>
      <c r="L372">
        <v>15</v>
      </c>
      <c r="M372" t="str">
        <f t="shared" si="39"/>
        <v>2020-09-15</v>
      </c>
      <c r="N372" s="20">
        <f t="shared" si="40"/>
        <v>44090</v>
      </c>
      <c r="O372" t="str">
        <f t="shared" si="41"/>
        <v>2020-09-16</v>
      </c>
    </row>
    <row r="373" spans="1:15" x14ac:dyDescent="0.2">
      <c r="A373" s="21" t="str">
        <f t="shared" si="35"/>
        <v>y</v>
      </c>
      <c r="B373" s="24" t="s">
        <v>1663</v>
      </c>
      <c r="C373" t="s">
        <v>1064</v>
      </c>
      <c r="D373" t="s">
        <v>13</v>
      </c>
      <c r="E373" t="s">
        <v>8</v>
      </c>
      <c r="F373" t="s">
        <v>29</v>
      </c>
      <c r="G373" t="s">
        <v>1394</v>
      </c>
      <c r="H373" t="s">
        <v>1958</v>
      </c>
      <c r="I373" s="22" t="str">
        <f t="shared" si="36"/>
        <v>2020-09-15</v>
      </c>
      <c r="J373" s="23" t="str">
        <f t="shared" si="37"/>
        <v>15</v>
      </c>
      <c r="K373" t="str">
        <f t="shared" si="38"/>
        <v>no</v>
      </c>
      <c r="L373">
        <v>15</v>
      </c>
      <c r="M373" t="str">
        <f t="shared" si="39"/>
        <v>2020-09-15</v>
      </c>
      <c r="N373" s="20" t="str">
        <f t="shared" si="40"/>
        <v>2020-09-15</v>
      </c>
      <c r="O373" t="str">
        <f t="shared" si="41"/>
        <v>2020-09-15</v>
      </c>
    </row>
    <row r="374" spans="1:15" x14ac:dyDescent="0.2">
      <c r="A374" s="21" t="str">
        <f t="shared" si="35"/>
        <v>y</v>
      </c>
      <c r="B374" s="24" t="s">
        <v>1664</v>
      </c>
      <c r="C374" t="s">
        <v>235</v>
      </c>
      <c r="D374" t="s">
        <v>13</v>
      </c>
      <c r="E374" t="s">
        <v>43</v>
      </c>
      <c r="F374" t="s">
        <v>29</v>
      </c>
      <c r="G374" t="s">
        <v>1390</v>
      </c>
      <c r="H374" t="s">
        <v>1958</v>
      </c>
      <c r="I374" s="22" t="str">
        <f t="shared" si="36"/>
        <v>2020-09-14</v>
      </c>
      <c r="J374" s="23" t="str">
        <f t="shared" si="37"/>
        <v>14</v>
      </c>
      <c r="K374" t="str">
        <f t="shared" si="38"/>
        <v>no</v>
      </c>
      <c r="L374">
        <v>14</v>
      </c>
      <c r="M374" t="str">
        <f t="shared" si="39"/>
        <v>2020-09-14</v>
      </c>
      <c r="N374" s="20" t="str">
        <f t="shared" si="40"/>
        <v>2020-09-14</v>
      </c>
      <c r="O374" t="str">
        <f t="shared" si="41"/>
        <v>2020-09-14</v>
      </c>
    </row>
    <row r="375" spans="1:15" x14ac:dyDescent="0.2">
      <c r="A375" s="21" t="str">
        <f t="shared" si="35"/>
        <v>y</v>
      </c>
      <c r="B375" s="24" t="s">
        <v>1664</v>
      </c>
      <c r="C375" t="s">
        <v>235</v>
      </c>
      <c r="D375" t="s">
        <v>13</v>
      </c>
      <c r="E375" t="s">
        <v>43</v>
      </c>
      <c r="F375" t="s">
        <v>2</v>
      </c>
      <c r="H375" t="s">
        <v>1958</v>
      </c>
      <c r="I375" s="22" t="str">
        <f t="shared" si="36"/>
        <v>2020-09-14</v>
      </c>
      <c r="J375" s="23" t="str">
        <f t="shared" si="37"/>
        <v>14</v>
      </c>
      <c r="K375" t="str">
        <f t="shared" si="38"/>
        <v>no</v>
      </c>
      <c r="L375">
        <v>14</v>
      </c>
      <c r="M375" t="str">
        <f t="shared" si="39"/>
        <v>2020-09-14</v>
      </c>
      <c r="N375" s="20">
        <f t="shared" si="40"/>
        <v>44089</v>
      </c>
      <c r="O375" t="str">
        <f t="shared" si="41"/>
        <v>2020-09-15</v>
      </c>
    </row>
    <row r="376" spans="1:15" x14ac:dyDescent="0.2">
      <c r="A376" s="21" t="str">
        <f t="shared" si="35"/>
        <v>y</v>
      </c>
      <c r="B376" s="24" t="s">
        <v>1665</v>
      </c>
      <c r="C376" t="s">
        <v>235</v>
      </c>
      <c r="D376" t="s">
        <v>13</v>
      </c>
      <c r="E376" t="s">
        <v>43</v>
      </c>
      <c r="F376" t="s">
        <v>2</v>
      </c>
      <c r="G376" t="s">
        <v>1386</v>
      </c>
      <c r="H376" t="s">
        <v>1958</v>
      </c>
      <c r="I376" s="22" t="str">
        <f t="shared" si="36"/>
        <v>2020-09-13</v>
      </c>
      <c r="J376" s="23" t="str">
        <f t="shared" si="37"/>
        <v>13</v>
      </c>
      <c r="K376" t="str">
        <f t="shared" si="38"/>
        <v>no</v>
      </c>
      <c r="L376">
        <v>13</v>
      </c>
      <c r="M376" t="str">
        <f t="shared" si="39"/>
        <v>2020-09-13</v>
      </c>
      <c r="N376" s="20">
        <f t="shared" si="40"/>
        <v>44088</v>
      </c>
      <c r="O376" t="str">
        <f t="shared" si="41"/>
        <v>2020-09-14</v>
      </c>
    </row>
    <row r="377" spans="1:15" x14ac:dyDescent="0.2">
      <c r="A377" s="21" t="str">
        <f t="shared" si="35"/>
        <v>y</v>
      </c>
      <c r="B377" s="24" t="s">
        <v>1665</v>
      </c>
      <c r="C377" t="s">
        <v>1192</v>
      </c>
      <c r="D377" t="s">
        <v>13</v>
      </c>
      <c r="E377" t="s">
        <v>27</v>
      </c>
      <c r="F377" t="s">
        <v>29</v>
      </c>
      <c r="G377" t="s">
        <v>1387</v>
      </c>
      <c r="H377" t="s">
        <v>1975</v>
      </c>
      <c r="I377" s="22" t="str">
        <f t="shared" si="36"/>
        <v>2020-09-13</v>
      </c>
      <c r="J377" s="23" t="str">
        <f t="shared" si="37"/>
        <v>13</v>
      </c>
      <c r="K377" t="str">
        <f t="shared" si="38"/>
        <v>no</v>
      </c>
      <c r="L377">
        <v>13</v>
      </c>
      <c r="M377" t="str">
        <f t="shared" si="39"/>
        <v>2020-09-13</v>
      </c>
      <c r="N377" s="20" t="str">
        <f t="shared" si="40"/>
        <v>2020-09-13</v>
      </c>
      <c r="O377" t="str">
        <f t="shared" si="41"/>
        <v>2020-09-13</v>
      </c>
    </row>
    <row r="378" spans="1:15" x14ac:dyDescent="0.2">
      <c r="A378" s="21" t="str">
        <f t="shared" si="35"/>
        <v>y</v>
      </c>
      <c r="B378" s="24" t="s">
        <v>1665</v>
      </c>
      <c r="C378" t="s">
        <v>235</v>
      </c>
      <c r="D378" t="s">
        <v>13</v>
      </c>
      <c r="E378" t="s">
        <v>115</v>
      </c>
      <c r="F378" t="s">
        <v>29</v>
      </c>
      <c r="G378" t="s">
        <v>1388</v>
      </c>
      <c r="H378" t="s">
        <v>1958</v>
      </c>
      <c r="I378" s="22" t="str">
        <f t="shared" si="36"/>
        <v>2020-09-13</v>
      </c>
      <c r="J378" s="23" t="str">
        <f t="shared" si="37"/>
        <v>13</v>
      </c>
      <c r="K378" t="str">
        <f t="shared" si="38"/>
        <v>no</v>
      </c>
      <c r="L378">
        <v>13</v>
      </c>
      <c r="M378" t="str">
        <f t="shared" si="39"/>
        <v>2020-09-13</v>
      </c>
      <c r="N378" s="20" t="str">
        <f t="shared" si="40"/>
        <v>2020-09-13</v>
      </c>
      <c r="O378" t="str">
        <f t="shared" si="41"/>
        <v>2020-09-13</v>
      </c>
    </row>
    <row r="379" spans="1:15" x14ac:dyDescent="0.2">
      <c r="A379" s="21" t="str">
        <f t="shared" si="35"/>
        <v>y</v>
      </c>
      <c r="B379" s="24" t="s">
        <v>1665</v>
      </c>
      <c r="C379" t="s">
        <v>616</v>
      </c>
      <c r="D379" t="s">
        <v>13</v>
      </c>
      <c r="E379" t="s">
        <v>34</v>
      </c>
      <c r="F379" t="s">
        <v>29</v>
      </c>
      <c r="G379" t="s">
        <v>1389</v>
      </c>
      <c r="H379" t="s">
        <v>1976</v>
      </c>
      <c r="I379" s="22" t="str">
        <f t="shared" si="36"/>
        <v>2020-09-13</v>
      </c>
      <c r="J379" s="23" t="str">
        <f t="shared" si="37"/>
        <v>13</v>
      </c>
      <c r="K379" t="str">
        <f t="shared" si="38"/>
        <v>no</v>
      </c>
      <c r="L379">
        <v>13</v>
      </c>
      <c r="M379" t="str">
        <f t="shared" si="39"/>
        <v>2020-09-13</v>
      </c>
      <c r="N379" s="20" t="str">
        <f t="shared" si="40"/>
        <v>2020-09-13</v>
      </c>
      <c r="O379" t="str">
        <f t="shared" si="41"/>
        <v>2020-09-13</v>
      </c>
    </row>
    <row r="380" spans="1:15" x14ac:dyDescent="0.2">
      <c r="A380" s="21" t="str">
        <f t="shared" si="35"/>
        <v>y</v>
      </c>
      <c r="B380" s="24">
        <v>44174</v>
      </c>
      <c r="C380" t="s">
        <v>235</v>
      </c>
      <c r="D380" t="s">
        <v>13</v>
      </c>
      <c r="E380" t="s">
        <v>43</v>
      </c>
      <c r="F380" t="s">
        <v>2</v>
      </c>
      <c r="G380" t="s">
        <v>1385</v>
      </c>
      <c r="H380" t="s">
        <v>1958</v>
      </c>
      <c r="I380" s="22" t="str">
        <f t="shared" si="36"/>
        <v>2020-09-12</v>
      </c>
      <c r="J380" s="23" t="str">
        <f t="shared" si="37"/>
        <v>44</v>
      </c>
      <c r="K380" t="str">
        <f t="shared" si="38"/>
        <v>yes</v>
      </c>
      <c r="L380">
        <v>44</v>
      </c>
      <c r="M380" t="str">
        <f t="shared" si="39"/>
        <v>2020-09-12</v>
      </c>
      <c r="N380" s="20">
        <f t="shared" si="40"/>
        <v>44087</v>
      </c>
      <c r="O380" t="str">
        <f t="shared" si="41"/>
        <v>2020-09-13</v>
      </c>
    </row>
    <row r="381" spans="1:15" x14ac:dyDescent="0.2">
      <c r="A381" s="21" t="str">
        <f t="shared" si="35"/>
        <v>y</v>
      </c>
      <c r="B381" s="24">
        <v>44174</v>
      </c>
      <c r="C381" t="s">
        <v>1192</v>
      </c>
      <c r="D381" t="s">
        <v>13</v>
      </c>
      <c r="E381" t="s">
        <v>27</v>
      </c>
      <c r="F381" t="s">
        <v>2</v>
      </c>
      <c r="H381" t="s">
        <v>1975</v>
      </c>
      <c r="I381" s="22" t="str">
        <f t="shared" si="36"/>
        <v>2020-09-12</v>
      </c>
      <c r="J381" s="23" t="str">
        <f t="shared" si="37"/>
        <v>44</v>
      </c>
      <c r="K381" t="str">
        <f t="shared" si="38"/>
        <v>yes</v>
      </c>
      <c r="L381">
        <v>44</v>
      </c>
      <c r="M381" t="str">
        <f t="shared" si="39"/>
        <v>2020-09-12</v>
      </c>
      <c r="N381" s="20">
        <f t="shared" si="40"/>
        <v>44087</v>
      </c>
      <c r="O381" t="str">
        <f t="shared" si="41"/>
        <v>2020-09-13</v>
      </c>
    </row>
    <row r="382" spans="1:15" x14ac:dyDescent="0.2">
      <c r="A382" s="21" t="str">
        <f t="shared" si="35"/>
        <v>y</v>
      </c>
      <c r="B382" s="24">
        <v>44113</v>
      </c>
      <c r="C382" t="s">
        <v>235</v>
      </c>
      <c r="D382" t="s">
        <v>13</v>
      </c>
      <c r="E382" t="s">
        <v>43</v>
      </c>
      <c r="F382" t="s">
        <v>2</v>
      </c>
      <c r="G382" t="s">
        <v>1385</v>
      </c>
      <c r="H382" t="s">
        <v>1958</v>
      </c>
      <c r="I382" s="22" t="str">
        <f t="shared" si="36"/>
        <v>2020-09-10</v>
      </c>
      <c r="J382" s="23" t="str">
        <f t="shared" si="37"/>
        <v>44</v>
      </c>
      <c r="K382" t="str">
        <f t="shared" si="38"/>
        <v>yes</v>
      </c>
      <c r="L382">
        <v>44</v>
      </c>
      <c r="M382" t="str">
        <f t="shared" si="39"/>
        <v>2020-09-10</v>
      </c>
      <c r="N382" s="20">
        <f t="shared" si="40"/>
        <v>44085</v>
      </c>
      <c r="O382" t="str">
        <f t="shared" si="41"/>
        <v>2020-09-11</v>
      </c>
    </row>
    <row r="383" spans="1:15" x14ac:dyDescent="0.2">
      <c r="A383" s="21" t="str">
        <f t="shared" si="35"/>
        <v>y</v>
      </c>
      <c r="B383" s="24">
        <v>44113</v>
      </c>
      <c r="C383" t="s">
        <v>756</v>
      </c>
      <c r="D383" t="s">
        <v>13</v>
      </c>
      <c r="E383" t="s">
        <v>34</v>
      </c>
      <c r="F383" t="s">
        <v>29</v>
      </c>
      <c r="G383" t="s">
        <v>1384</v>
      </c>
      <c r="H383" t="s">
        <v>1977</v>
      </c>
      <c r="I383" s="22" t="str">
        <f t="shared" si="36"/>
        <v>2020-09-10</v>
      </c>
      <c r="J383" s="23" t="str">
        <f t="shared" si="37"/>
        <v>44</v>
      </c>
      <c r="K383" t="str">
        <f t="shared" si="38"/>
        <v>yes</v>
      </c>
      <c r="L383">
        <v>44</v>
      </c>
      <c r="M383" t="str">
        <f t="shared" si="39"/>
        <v>2020-09-10</v>
      </c>
      <c r="N383" s="20" t="str">
        <f t="shared" si="40"/>
        <v>2020-09-10</v>
      </c>
      <c r="O383" t="str">
        <f t="shared" si="41"/>
        <v>2020-09-10</v>
      </c>
    </row>
    <row r="384" spans="1:15" x14ac:dyDescent="0.2">
      <c r="A384" s="21" t="str">
        <f t="shared" si="35"/>
        <v>y</v>
      </c>
      <c r="B384" s="24">
        <v>44113</v>
      </c>
      <c r="C384" t="s">
        <v>616</v>
      </c>
      <c r="D384" t="s">
        <v>13</v>
      </c>
      <c r="E384" t="s">
        <v>34</v>
      </c>
      <c r="F384" t="s">
        <v>29</v>
      </c>
      <c r="G384" t="s">
        <v>1383</v>
      </c>
      <c r="H384" t="s">
        <v>1976</v>
      </c>
      <c r="I384" s="22" t="str">
        <f t="shared" si="36"/>
        <v>2020-09-10</v>
      </c>
      <c r="J384" s="23" t="str">
        <f t="shared" si="37"/>
        <v>44</v>
      </c>
      <c r="K384" t="str">
        <f t="shared" si="38"/>
        <v>yes</v>
      </c>
      <c r="L384">
        <v>44</v>
      </c>
      <c r="M384" t="str">
        <f t="shared" si="39"/>
        <v>2020-09-10</v>
      </c>
      <c r="N384" s="20" t="str">
        <f t="shared" si="40"/>
        <v>2020-09-10</v>
      </c>
      <c r="O384" t="str">
        <f t="shared" si="41"/>
        <v>2020-09-10</v>
      </c>
    </row>
    <row r="385" spans="1:15" x14ac:dyDescent="0.2">
      <c r="A385" s="21" t="str">
        <f t="shared" si="35"/>
        <v>y</v>
      </c>
      <c r="B385" s="24">
        <v>44113</v>
      </c>
      <c r="C385" t="s">
        <v>1192</v>
      </c>
      <c r="D385" t="s">
        <v>13</v>
      </c>
      <c r="E385" t="s">
        <v>27</v>
      </c>
      <c r="F385" t="s">
        <v>2</v>
      </c>
      <c r="H385" t="s">
        <v>1975</v>
      </c>
      <c r="I385" s="22" t="str">
        <f t="shared" si="36"/>
        <v>2020-09-10</v>
      </c>
      <c r="J385" s="23" t="str">
        <f t="shared" si="37"/>
        <v>44</v>
      </c>
      <c r="K385" t="str">
        <f t="shared" si="38"/>
        <v>yes</v>
      </c>
      <c r="L385">
        <v>44</v>
      </c>
      <c r="M385" t="str">
        <f t="shared" si="39"/>
        <v>2020-09-10</v>
      </c>
      <c r="N385" s="20">
        <f t="shared" si="40"/>
        <v>44085</v>
      </c>
      <c r="O385" t="str">
        <f t="shared" si="41"/>
        <v>2020-09-11</v>
      </c>
    </row>
    <row r="386" spans="1:15" x14ac:dyDescent="0.2">
      <c r="A386" s="21" t="str">
        <f t="shared" si="35"/>
        <v>y</v>
      </c>
      <c r="B386" s="24">
        <v>44083</v>
      </c>
      <c r="C386" t="s">
        <v>235</v>
      </c>
      <c r="D386" t="s">
        <v>13</v>
      </c>
      <c r="E386" t="s">
        <v>64</v>
      </c>
      <c r="F386" t="s">
        <v>29</v>
      </c>
      <c r="G386" t="s">
        <v>1379</v>
      </c>
      <c r="H386" t="s">
        <v>1958</v>
      </c>
      <c r="I386" s="22" t="str">
        <f t="shared" si="36"/>
        <v>2020-09-09</v>
      </c>
      <c r="J386" s="23" t="str">
        <f t="shared" si="37"/>
        <v>44</v>
      </c>
      <c r="K386" t="str">
        <f t="shared" si="38"/>
        <v>yes</v>
      </c>
      <c r="L386">
        <v>44</v>
      </c>
      <c r="M386" t="str">
        <f t="shared" si="39"/>
        <v>2020-09-09</v>
      </c>
      <c r="N386" s="20" t="str">
        <f t="shared" si="40"/>
        <v>2020-09-09</v>
      </c>
      <c r="O386" t="str">
        <f t="shared" si="41"/>
        <v>2020-09-09</v>
      </c>
    </row>
    <row r="387" spans="1:15" x14ac:dyDescent="0.2">
      <c r="A387" s="21" t="str">
        <f t="shared" si="35"/>
        <v>y</v>
      </c>
      <c r="B387" s="24">
        <v>44083</v>
      </c>
      <c r="C387" t="s">
        <v>235</v>
      </c>
      <c r="D387" t="s">
        <v>13</v>
      </c>
      <c r="E387" t="s">
        <v>43</v>
      </c>
      <c r="F387" t="s">
        <v>2</v>
      </c>
      <c r="G387" t="s">
        <v>1380</v>
      </c>
      <c r="H387" t="s">
        <v>1978</v>
      </c>
      <c r="I387" s="22" t="str">
        <f t="shared" si="36"/>
        <v>2020-09-09</v>
      </c>
      <c r="J387" s="23" t="str">
        <f t="shared" si="37"/>
        <v>44</v>
      </c>
      <c r="K387" t="str">
        <f t="shared" si="38"/>
        <v>yes</v>
      </c>
      <c r="L387">
        <v>44</v>
      </c>
      <c r="M387" t="str">
        <f t="shared" si="39"/>
        <v>2020-09-09</v>
      </c>
      <c r="N387" s="20">
        <f t="shared" si="40"/>
        <v>44084</v>
      </c>
      <c r="O387" t="str">
        <f t="shared" si="41"/>
        <v>2020-09-10</v>
      </c>
    </row>
    <row r="388" spans="1:15" x14ac:dyDescent="0.2">
      <c r="A388" s="21" t="str">
        <f t="shared" ref="A388:A451" si="42">IF(LEFT(B388,2)&gt;12,"y","-")</f>
        <v>y</v>
      </c>
      <c r="B388" s="24">
        <v>44083</v>
      </c>
      <c r="C388" t="s">
        <v>975</v>
      </c>
      <c r="D388" t="s">
        <v>13</v>
      </c>
      <c r="E388" t="s">
        <v>27</v>
      </c>
      <c r="F388" t="s">
        <v>29</v>
      </c>
      <c r="G388" t="s">
        <v>1381</v>
      </c>
      <c r="H388" t="s">
        <v>1958</v>
      </c>
      <c r="I388" s="22" t="str">
        <f t="shared" ref="I388:I451" si="43">IF(K388="yes",TEXT(B388,"YYYY-DD-MM"),TEXT(B388,"YYYY-MM-DD"))</f>
        <v>2020-09-09</v>
      </c>
      <c r="J388" s="23" t="str">
        <f t="shared" ref="J388:J451" si="44">LEFT(B388,2)</f>
        <v>44</v>
      </c>
      <c r="K388" t="str">
        <f t="shared" ref="K388:K451" si="45">IF(L388&gt;31,"yes","no")</f>
        <v>yes</v>
      </c>
      <c r="L388">
        <v>44</v>
      </c>
      <c r="M388" t="str">
        <f t="shared" ref="M388:M451" si="46">I388</f>
        <v>2020-09-09</v>
      </c>
      <c r="N388" s="20" t="str">
        <f t="shared" ref="N388:N451" si="47">IF(F388="DONE",M388,M388+1)</f>
        <v>2020-09-09</v>
      </c>
      <c r="O388" t="str">
        <f t="shared" ref="O388:O451" si="48">TEXT(N388,"YYYY-MM-DD")</f>
        <v>2020-09-09</v>
      </c>
    </row>
    <row r="389" spans="1:15" x14ac:dyDescent="0.2">
      <c r="A389" s="21" t="str">
        <f t="shared" si="42"/>
        <v>y</v>
      </c>
      <c r="B389" s="24">
        <v>44083</v>
      </c>
      <c r="C389" t="s">
        <v>756</v>
      </c>
      <c r="D389" t="s">
        <v>13</v>
      </c>
      <c r="E389" t="s">
        <v>34</v>
      </c>
      <c r="F389" t="s">
        <v>2</v>
      </c>
      <c r="G389" t="s">
        <v>1382</v>
      </c>
      <c r="H389" t="s">
        <v>1977</v>
      </c>
      <c r="I389" s="22" t="str">
        <f t="shared" si="43"/>
        <v>2020-09-09</v>
      </c>
      <c r="J389" s="23" t="str">
        <f t="shared" si="44"/>
        <v>44</v>
      </c>
      <c r="K389" t="str">
        <f t="shared" si="45"/>
        <v>yes</v>
      </c>
      <c r="L389">
        <v>44</v>
      </c>
      <c r="M389" t="str">
        <f t="shared" si="46"/>
        <v>2020-09-09</v>
      </c>
      <c r="N389" s="20">
        <f t="shared" si="47"/>
        <v>44084</v>
      </c>
      <c r="O389" t="str">
        <f t="shared" si="48"/>
        <v>2020-09-10</v>
      </c>
    </row>
    <row r="390" spans="1:15" x14ac:dyDescent="0.2">
      <c r="A390" s="21" t="str">
        <f t="shared" si="42"/>
        <v>y</v>
      </c>
      <c r="B390" s="24">
        <v>44052</v>
      </c>
      <c r="C390" t="s">
        <v>235</v>
      </c>
      <c r="D390" t="s">
        <v>13</v>
      </c>
      <c r="E390" t="s">
        <v>115</v>
      </c>
      <c r="F390" t="s">
        <v>2</v>
      </c>
      <c r="H390" t="s">
        <v>1958</v>
      </c>
      <c r="I390" s="22" t="str">
        <f t="shared" si="43"/>
        <v>2020-09-08</v>
      </c>
      <c r="J390" s="23" t="str">
        <f t="shared" si="44"/>
        <v>44</v>
      </c>
      <c r="K390" t="str">
        <f t="shared" si="45"/>
        <v>yes</v>
      </c>
      <c r="L390">
        <v>44</v>
      </c>
      <c r="M390" t="str">
        <f t="shared" si="46"/>
        <v>2020-09-08</v>
      </c>
      <c r="N390" s="20">
        <f t="shared" si="47"/>
        <v>44083</v>
      </c>
      <c r="O390" t="str">
        <f t="shared" si="48"/>
        <v>2020-09-09</v>
      </c>
    </row>
    <row r="391" spans="1:15" x14ac:dyDescent="0.2">
      <c r="A391" s="21" t="str">
        <f t="shared" si="42"/>
        <v>y</v>
      </c>
      <c r="B391" s="24">
        <v>44052</v>
      </c>
      <c r="C391" t="s">
        <v>1064</v>
      </c>
      <c r="D391" t="s">
        <v>13</v>
      </c>
      <c r="E391" t="s">
        <v>28</v>
      </c>
      <c r="F391" t="s">
        <v>29</v>
      </c>
      <c r="G391" t="s">
        <v>1377</v>
      </c>
      <c r="H391" t="s">
        <v>1956</v>
      </c>
      <c r="I391" s="22" t="str">
        <f t="shared" si="43"/>
        <v>2020-09-08</v>
      </c>
      <c r="J391" s="23" t="str">
        <f t="shared" si="44"/>
        <v>44</v>
      </c>
      <c r="K391" t="str">
        <f t="shared" si="45"/>
        <v>yes</v>
      </c>
      <c r="L391">
        <v>44</v>
      </c>
      <c r="M391" t="str">
        <f t="shared" si="46"/>
        <v>2020-09-08</v>
      </c>
      <c r="N391" s="20" t="str">
        <f t="shared" si="47"/>
        <v>2020-09-08</v>
      </c>
      <c r="O391" t="str">
        <f t="shared" si="48"/>
        <v>2020-09-08</v>
      </c>
    </row>
    <row r="392" spans="1:15" x14ac:dyDescent="0.2">
      <c r="A392" s="21" t="str">
        <f t="shared" si="42"/>
        <v>y</v>
      </c>
      <c r="B392" s="24">
        <v>44052</v>
      </c>
      <c r="C392" t="s">
        <v>756</v>
      </c>
      <c r="D392" t="s">
        <v>13</v>
      </c>
      <c r="E392" t="s">
        <v>34</v>
      </c>
      <c r="F392" t="s">
        <v>29</v>
      </c>
      <c r="G392" t="s">
        <v>1376</v>
      </c>
      <c r="H392" t="s">
        <v>1977</v>
      </c>
      <c r="I392" s="22" t="str">
        <f t="shared" si="43"/>
        <v>2020-09-08</v>
      </c>
      <c r="J392" s="23" t="str">
        <f t="shared" si="44"/>
        <v>44</v>
      </c>
      <c r="K392" t="str">
        <f t="shared" si="45"/>
        <v>yes</v>
      </c>
      <c r="L392">
        <v>44</v>
      </c>
      <c r="M392" t="str">
        <f t="shared" si="46"/>
        <v>2020-09-08</v>
      </c>
      <c r="N392" s="20" t="str">
        <f t="shared" si="47"/>
        <v>2020-09-08</v>
      </c>
      <c r="O392" t="str">
        <f t="shared" si="48"/>
        <v>2020-09-08</v>
      </c>
    </row>
    <row r="393" spans="1:15" x14ac:dyDescent="0.2">
      <c r="A393" s="21" t="str">
        <f t="shared" si="42"/>
        <v>y</v>
      </c>
      <c r="B393" s="24">
        <v>44052</v>
      </c>
      <c r="C393" t="s">
        <v>1375</v>
      </c>
      <c r="D393" t="s">
        <v>13</v>
      </c>
      <c r="E393" t="s">
        <v>49</v>
      </c>
      <c r="F393" t="s">
        <v>29</v>
      </c>
      <c r="G393" t="s">
        <v>1378</v>
      </c>
      <c r="H393" t="s">
        <v>1979</v>
      </c>
      <c r="I393" s="22" t="str">
        <f t="shared" si="43"/>
        <v>2020-09-08</v>
      </c>
      <c r="J393" s="23" t="str">
        <f t="shared" si="44"/>
        <v>44</v>
      </c>
      <c r="K393" t="str">
        <f t="shared" si="45"/>
        <v>yes</v>
      </c>
      <c r="L393">
        <v>44</v>
      </c>
      <c r="M393" t="str">
        <f t="shared" si="46"/>
        <v>2020-09-08</v>
      </c>
      <c r="N393" s="20" t="str">
        <f t="shared" si="47"/>
        <v>2020-09-08</v>
      </c>
      <c r="O393" t="str">
        <f t="shared" si="48"/>
        <v>2020-09-08</v>
      </c>
    </row>
    <row r="394" spans="1:15" x14ac:dyDescent="0.2">
      <c r="A394" s="21" t="str">
        <f t="shared" si="42"/>
        <v>y</v>
      </c>
      <c r="B394" s="24">
        <v>44021</v>
      </c>
      <c r="C394" t="s">
        <v>235</v>
      </c>
      <c r="D394" t="s">
        <v>13</v>
      </c>
      <c r="E394" t="s">
        <v>115</v>
      </c>
      <c r="F394" t="s">
        <v>2</v>
      </c>
      <c r="G394" t="s">
        <v>1372</v>
      </c>
      <c r="H394" t="s">
        <v>1958</v>
      </c>
      <c r="I394" s="22" t="str">
        <f t="shared" si="43"/>
        <v>2020-09-07</v>
      </c>
      <c r="J394" s="23" t="str">
        <f t="shared" si="44"/>
        <v>44</v>
      </c>
      <c r="K394" t="str">
        <f t="shared" si="45"/>
        <v>yes</v>
      </c>
      <c r="L394">
        <v>44</v>
      </c>
      <c r="M394" t="str">
        <f t="shared" si="46"/>
        <v>2020-09-07</v>
      </c>
      <c r="N394" s="20">
        <f t="shared" si="47"/>
        <v>44082</v>
      </c>
      <c r="O394" t="str">
        <f t="shared" si="48"/>
        <v>2020-09-08</v>
      </c>
    </row>
    <row r="395" spans="1:15" x14ac:dyDescent="0.2">
      <c r="A395" s="21" t="str">
        <f t="shared" si="42"/>
        <v>y</v>
      </c>
      <c r="B395" s="24">
        <v>44021</v>
      </c>
      <c r="C395" t="s">
        <v>1064</v>
      </c>
      <c r="D395" t="s">
        <v>13</v>
      </c>
      <c r="E395" t="s">
        <v>28</v>
      </c>
      <c r="F395" t="s">
        <v>2</v>
      </c>
      <c r="G395" t="s">
        <v>1373</v>
      </c>
      <c r="H395" t="s">
        <v>1956</v>
      </c>
      <c r="I395" s="22" t="str">
        <f t="shared" si="43"/>
        <v>2020-09-07</v>
      </c>
      <c r="J395" s="23" t="str">
        <f t="shared" si="44"/>
        <v>44</v>
      </c>
      <c r="K395" t="str">
        <f t="shared" si="45"/>
        <v>yes</v>
      </c>
      <c r="L395">
        <v>44</v>
      </c>
      <c r="M395" t="str">
        <f t="shared" si="46"/>
        <v>2020-09-07</v>
      </c>
      <c r="N395" s="20">
        <f t="shared" si="47"/>
        <v>44082</v>
      </c>
      <c r="O395" t="str">
        <f t="shared" si="48"/>
        <v>2020-09-08</v>
      </c>
    </row>
    <row r="396" spans="1:15" x14ac:dyDescent="0.2">
      <c r="A396" s="21" t="str">
        <f t="shared" si="42"/>
        <v>y</v>
      </c>
      <c r="B396" s="24">
        <v>44021</v>
      </c>
      <c r="C396" t="s">
        <v>756</v>
      </c>
      <c r="D396" t="s">
        <v>13</v>
      </c>
      <c r="E396" t="s">
        <v>34</v>
      </c>
      <c r="F396" t="s">
        <v>2</v>
      </c>
      <c r="G396" t="s">
        <v>1374</v>
      </c>
      <c r="H396" t="s">
        <v>1977</v>
      </c>
      <c r="I396" s="22" t="str">
        <f t="shared" si="43"/>
        <v>2020-09-07</v>
      </c>
      <c r="J396" s="23" t="str">
        <f t="shared" si="44"/>
        <v>44</v>
      </c>
      <c r="K396" t="str">
        <f t="shared" si="45"/>
        <v>yes</v>
      </c>
      <c r="L396">
        <v>44</v>
      </c>
      <c r="M396" t="str">
        <f t="shared" si="46"/>
        <v>2020-09-07</v>
      </c>
      <c r="N396" s="20">
        <f t="shared" si="47"/>
        <v>44082</v>
      </c>
      <c r="O396" t="str">
        <f t="shared" si="48"/>
        <v>2020-09-08</v>
      </c>
    </row>
    <row r="397" spans="1:15" x14ac:dyDescent="0.2">
      <c r="A397" s="21" t="str">
        <f t="shared" si="42"/>
        <v>y</v>
      </c>
      <c r="B397" s="24">
        <v>43991</v>
      </c>
      <c r="C397" t="s">
        <v>235</v>
      </c>
      <c r="D397" t="s">
        <v>13</v>
      </c>
      <c r="E397" t="s">
        <v>43</v>
      </c>
      <c r="F397" t="s">
        <v>2</v>
      </c>
      <c r="G397" t="s">
        <v>1371</v>
      </c>
      <c r="H397" t="s">
        <v>1958</v>
      </c>
      <c r="I397" s="22" t="str">
        <f t="shared" si="43"/>
        <v>2020-09-06</v>
      </c>
      <c r="J397" s="23" t="str">
        <f t="shared" si="44"/>
        <v>43</v>
      </c>
      <c r="K397" t="str">
        <f t="shared" si="45"/>
        <v>yes</v>
      </c>
      <c r="L397">
        <v>43</v>
      </c>
      <c r="M397" t="str">
        <f t="shared" si="46"/>
        <v>2020-09-06</v>
      </c>
      <c r="N397" s="20">
        <f t="shared" si="47"/>
        <v>44081</v>
      </c>
      <c r="O397" t="str">
        <f t="shared" si="48"/>
        <v>2020-09-07</v>
      </c>
    </row>
    <row r="398" spans="1:15" x14ac:dyDescent="0.2">
      <c r="A398" s="21" t="str">
        <f t="shared" si="42"/>
        <v>y</v>
      </c>
      <c r="B398" s="24">
        <v>43960</v>
      </c>
      <c r="C398" t="s">
        <v>235</v>
      </c>
      <c r="D398" t="s">
        <v>13</v>
      </c>
      <c r="E398" t="s">
        <v>43</v>
      </c>
      <c r="F398" t="s">
        <v>2</v>
      </c>
      <c r="G398" t="s">
        <v>1371</v>
      </c>
      <c r="H398" t="s">
        <v>1958</v>
      </c>
      <c r="I398" s="22" t="str">
        <f t="shared" si="43"/>
        <v>2020-09-05</v>
      </c>
      <c r="J398" s="23" t="str">
        <f t="shared" si="44"/>
        <v>43</v>
      </c>
      <c r="K398" t="str">
        <f t="shared" si="45"/>
        <v>yes</v>
      </c>
      <c r="L398">
        <v>43</v>
      </c>
      <c r="M398" t="str">
        <f t="shared" si="46"/>
        <v>2020-09-05</v>
      </c>
      <c r="N398" s="20">
        <f t="shared" si="47"/>
        <v>44080</v>
      </c>
      <c r="O398" t="str">
        <f t="shared" si="48"/>
        <v>2020-09-06</v>
      </c>
    </row>
    <row r="399" spans="1:15" x14ac:dyDescent="0.2">
      <c r="A399" s="21" t="str">
        <f t="shared" si="42"/>
        <v>y</v>
      </c>
      <c r="B399" s="24">
        <v>43899</v>
      </c>
      <c r="C399" t="s">
        <v>235</v>
      </c>
      <c r="D399" t="s">
        <v>13</v>
      </c>
      <c r="E399" t="s">
        <v>43</v>
      </c>
      <c r="F399" t="s">
        <v>2</v>
      </c>
      <c r="H399" t="s">
        <v>1958</v>
      </c>
      <c r="I399" s="22" t="str">
        <f t="shared" si="43"/>
        <v>2020-09-03</v>
      </c>
      <c r="J399" s="23" t="str">
        <f t="shared" si="44"/>
        <v>43</v>
      </c>
      <c r="K399" t="str">
        <f t="shared" si="45"/>
        <v>yes</v>
      </c>
      <c r="L399">
        <v>43</v>
      </c>
      <c r="M399" t="str">
        <f t="shared" si="46"/>
        <v>2020-09-03</v>
      </c>
      <c r="N399" s="20">
        <f t="shared" si="47"/>
        <v>44078</v>
      </c>
      <c r="O399" t="str">
        <f t="shared" si="48"/>
        <v>2020-09-04</v>
      </c>
    </row>
    <row r="400" spans="1:15" x14ac:dyDescent="0.2">
      <c r="A400" s="21" t="str">
        <f t="shared" si="42"/>
        <v>y</v>
      </c>
      <c r="B400" s="24">
        <v>43899</v>
      </c>
      <c r="C400" t="s">
        <v>235</v>
      </c>
      <c r="D400" t="s">
        <v>13</v>
      </c>
      <c r="E400" t="s">
        <v>4</v>
      </c>
      <c r="F400" t="s">
        <v>29</v>
      </c>
      <c r="G400" t="s">
        <v>1370</v>
      </c>
      <c r="H400" t="s">
        <v>1958</v>
      </c>
      <c r="I400" s="22" t="str">
        <f t="shared" si="43"/>
        <v>2020-09-03</v>
      </c>
      <c r="J400" s="23" t="str">
        <f t="shared" si="44"/>
        <v>43</v>
      </c>
      <c r="K400" t="str">
        <f t="shared" si="45"/>
        <v>yes</v>
      </c>
      <c r="L400">
        <v>43</v>
      </c>
      <c r="M400" t="str">
        <f t="shared" si="46"/>
        <v>2020-09-03</v>
      </c>
      <c r="N400" s="20" t="str">
        <f t="shared" si="47"/>
        <v>2020-09-03</v>
      </c>
      <c r="O400" t="str">
        <f t="shared" si="48"/>
        <v>2020-09-03</v>
      </c>
    </row>
    <row r="401" spans="1:15" x14ac:dyDescent="0.2">
      <c r="A401" s="21" t="str">
        <f t="shared" si="42"/>
        <v>y</v>
      </c>
      <c r="B401" s="24">
        <v>43899</v>
      </c>
      <c r="C401" t="s">
        <v>1064</v>
      </c>
      <c r="D401" t="s">
        <v>13</v>
      </c>
      <c r="E401" t="s">
        <v>4</v>
      </c>
      <c r="F401" t="s">
        <v>29</v>
      </c>
      <c r="G401" t="s">
        <v>1369</v>
      </c>
      <c r="H401" t="s">
        <v>1956</v>
      </c>
      <c r="I401" s="22" t="str">
        <f t="shared" si="43"/>
        <v>2020-09-03</v>
      </c>
      <c r="J401" s="23" t="str">
        <f t="shared" si="44"/>
        <v>43</v>
      </c>
      <c r="K401" t="str">
        <f t="shared" si="45"/>
        <v>yes</v>
      </c>
      <c r="L401">
        <v>43</v>
      </c>
      <c r="M401" t="str">
        <f t="shared" si="46"/>
        <v>2020-09-03</v>
      </c>
      <c r="N401" s="20" t="str">
        <f t="shared" si="47"/>
        <v>2020-09-03</v>
      </c>
      <c r="O401" t="str">
        <f t="shared" si="48"/>
        <v>2020-09-03</v>
      </c>
    </row>
    <row r="402" spans="1:15" x14ac:dyDescent="0.2">
      <c r="A402" s="21" t="str">
        <f t="shared" si="42"/>
        <v>y</v>
      </c>
      <c r="B402" s="24">
        <v>43870</v>
      </c>
      <c r="C402" t="s">
        <v>1346</v>
      </c>
      <c r="D402" t="s">
        <v>13</v>
      </c>
      <c r="E402" t="s">
        <v>27</v>
      </c>
      <c r="F402" t="s">
        <v>29</v>
      </c>
      <c r="G402" t="s">
        <v>1367</v>
      </c>
      <c r="H402" t="s">
        <v>1966</v>
      </c>
      <c r="I402" s="22" t="str">
        <f t="shared" si="43"/>
        <v>2020-09-02</v>
      </c>
      <c r="J402" s="23" t="str">
        <f t="shared" si="44"/>
        <v>43</v>
      </c>
      <c r="K402" t="str">
        <f t="shared" si="45"/>
        <v>yes</v>
      </c>
      <c r="L402">
        <v>43</v>
      </c>
      <c r="M402" t="str">
        <f t="shared" si="46"/>
        <v>2020-09-02</v>
      </c>
      <c r="N402" s="20" t="str">
        <f t="shared" si="47"/>
        <v>2020-09-02</v>
      </c>
      <c r="O402" t="str">
        <f t="shared" si="48"/>
        <v>2020-09-02</v>
      </c>
    </row>
    <row r="403" spans="1:15" x14ac:dyDescent="0.2">
      <c r="A403" s="21" t="str">
        <f t="shared" si="42"/>
        <v>y</v>
      </c>
      <c r="B403" s="24">
        <v>43870</v>
      </c>
      <c r="C403" t="s">
        <v>701</v>
      </c>
      <c r="D403" t="s">
        <v>13</v>
      </c>
      <c r="E403" t="s">
        <v>34</v>
      </c>
      <c r="F403" t="s">
        <v>29</v>
      </c>
      <c r="G403" t="s">
        <v>1368</v>
      </c>
      <c r="H403" t="s">
        <v>1980</v>
      </c>
      <c r="I403" s="22" t="str">
        <f t="shared" si="43"/>
        <v>2020-09-02</v>
      </c>
      <c r="J403" s="23" t="str">
        <f t="shared" si="44"/>
        <v>43</v>
      </c>
      <c r="K403" t="str">
        <f t="shared" si="45"/>
        <v>yes</v>
      </c>
      <c r="L403">
        <v>43</v>
      </c>
      <c r="M403" t="str">
        <f t="shared" si="46"/>
        <v>2020-09-02</v>
      </c>
      <c r="N403" s="20" t="str">
        <f t="shared" si="47"/>
        <v>2020-09-02</v>
      </c>
      <c r="O403" t="str">
        <f t="shared" si="48"/>
        <v>2020-09-02</v>
      </c>
    </row>
    <row r="404" spans="1:15" x14ac:dyDescent="0.2">
      <c r="A404" s="21" t="str">
        <f t="shared" si="42"/>
        <v>y</v>
      </c>
      <c r="B404" s="24">
        <v>43870</v>
      </c>
      <c r="C404" t="s">
        <v>235</v>
      </c>
      <c r="D404" t="s">
        <v>13</v>
      </c>
      <c r="E404" t="s">
        <v>43</v>
      </c>
      <c r="F404" t="s">
        <v>2</v>
      </c>
      <c r="H404" t="s">
        <v>1958</v>
      </c>
      <c r="I404" s="22" t="str">
        <f t="shared" si="43"/>
        <v>2020-09-02</v>
      </c>
      <c r="J404" s="23" t="str">
        <f t="shared" si="44"/>
        <v>43</v>
      </c>
      <c r="K404" t="str">
        <f t="shared" si="45"/>
        <v>yes</v>
      </c>
      <c r="L404">
        <v>43</v>
      </c>
      <c r="M404" t="str">
        <f t="shared" si="46"/>
        <v>2020-09-02</v>
      </c>
      <c r="N404" s="20">
        <f t="shared" si="47"/>
        <v>44077</v>
      </c>
      <c r="O404" t="str">
        <f t="shared" si="48"/>
        <v>2020-09-03</v>
      </c>
    </row>
    <row r="405" spans="1:15" x14ac:dyDescent="0.2">
      <c r="A405" s="21" t="str">
        <f t="shared" si="42"/>
        <v>y</v>
      </c>
      <c r="B405" s="24">
        <v>43839</v>
      </c>
      <c r="C405" t="s">
        <v>1346</v>
      </c>
      <c r="D405" t="s">
        <v>13</v>
      </c>
      <c r="E405" t="s">
        <v>27</v>
      </c>
      <c r="F405" t="s">
        <v>2</v>
      </c>
      <c r="G405" t="s">
        <v>1366</v>
      </c>
      <c r="H405" t="s">
        <v>1966</v>
      </c>
      <c r="I405" s="22" t="str">
        <f t="shared" si="43"/>
        <v>2020-09-01</v>
      </c>
      <c r="J405" s="23" t="str">
        <f t="shared" si="44"/>
        <v>43</v>
      </c>
      <c r="K405" t="str">
        <f t="shared" si="45"/>
        <v>yes</v>
      </c>
      <c r="L405">
        <v>43</v>
      </c>
      <c r="M405" t="str">
        <f t="shared" si="46"/>
        <v>2020-09-01</v>
      </c>
      <c r="N405" s="20">
        <f t="shared" si="47"/>
        <v>44076</v>
      </c>
      <c r="O405" t="str">
        <f t="shared" si="48"/>
        <v>2020-09-02</v>
      </c>
    </row>
    <row r="406" spans="1:15" x14ac:dyDescent="0.2">
      <c r="A406" s="21" t="str">
        <f t="shared" si="42"/>
        <v>y</v>
      </c>
      <c r="B406" s="24">
        <v>43839</v>
      </c>
      <c r="C406" t="s">
        <v>701</v>
      </c>
      <c r="D406" t="s">
        <v>13</v>
      </c>
      <c r="E406" t="s">
        <v>34</v>
      </c>
      <c r="F406" t="s">
        <v>2</v>
      </c>
      <c r="G406" t="s">
        <v>1365</v>
      </c>
      <c r="H406" t="s">
        <v>1980</v>
      </c>
      <c r="I406" s="22" t="str">
        <f t="shared" si="43"/>
        <v>2020-09-01</v>
      </c>
      <c r="J406" s="23" t="str">
        <f t="shared" si="44"/>
        <v>43</v>
      </c>
      <c r="K406" t="str">
        <f t="shared" si="45"/>
        <v>yes</v>
      </c>
      <c r="L406">
        <v>43</v>
      </c>
      <c r="M406" t="str">
        <f t="shared" si="46"/>
        <v>2020-09-01</v>
      </c>
      <c r="N406" s="20">
        <f t="shared" si="47"/>
        <v>44076</v>
      </c>
      <c r="O406" t="str">
        <f t="shared" si="48"/>
        <v>2020-09-02</v>
      </c>
    </row>
    <row r="407" spans="1:15" x14ac:dyDescent="0.2">
      <c r="A407" s="21" t="str">
        <f t="shared" si="42"/>
        <v>y</v>
      </c>
      <c r="B407" s="24">
        <v>43839</v>
      </c>
      <c r="C407" t="s">
        <v>975</v>
      </c>
      <c r="D407" t="s">
        <v>13</v>
      </c>
      <c r="E407" t="s">
        <v>27</v>
      </c>
      <c r="F407" t="s">
        <v>29</v>
      </c>
      <c r="G407" t="s">
        <v>1363</v>
      </c>
      <c r="H407" t="s">
        <v>1978</v>
      </c>
      <c r="I407" s="22" t="str">
        <f t="shared" si="43"/>
        <v>2020-09-01</v>
      </c>
      <c r="J407" s="23" t="str">
        <f t="shared" si="44"/>
        <v>43</v>
      </c>
      <c r="K407" t="str">
        <f t="shared" si="45"/>
        <v>yes</v>
      </c>
      <c r="L407">
        <v>43</v>
      </c>
      <c r="M407" t="str">
        <f t="shared" si="46"/>
        <v>2020-09-01</v>
      </c>
      <c r="N407" s="20" t="str">
        <f t="shared" si="47"/>
        <v>2020-09-01</v>
      </c>
      <c r="O407" t="str">
        <f t="shared" si="48"/>
        <v>2020-09-01</v>
      </c>
    </row>
    <row r="408" spans="1:15" x14ac:dyDescent="0.2">
      <c r="A408" s="21" t="str">
        <f t="shared" si="42"/>
        <v>y</v>
      </c>
      <c r="B408" s="24">
        <v>43839</v>
      </c>
      <c r="C408" t="s">
        <v>235</v>
      </c>
      <c r="D408" t="s">
        <v>13</v>
      </c>
      <c r="E408" t="s">
        <v>43</v>
      </c>
      <c r="F408" t="s">
        <v>29</v>
      </c>
      <c r="G408" t="s">
        <v>1364</v>
      </c>
      <c r="H408" t="s">
        <v>1958</v>
      </c>
      <c r="I408" s="22" t="str">
        <f t="shared" si="43"/>
        <v>2020-09-01</v>
      </c>
      <c r="J408" s="23" t="str">
        <f t="shared" si="44"/>
        <v>43</v>
      </c>
      <c r="K408" t="str">
        <f t="shared" si="45"/>
        <v>yes</v>
      </c>
      <c r="L408">
        <v>43</v>
      </c>
      <c r="M408" t="str">
        <f t="shared" si="46"/>
        <v>2020-09-01</v>
      </c>
      <c r="N408" s="20" t="str">
        <f t="shared" si="47"/>
        <v>2020-09-01</v>
      </c>
      <c r="O408" t="str">
        <f t="shared" si="48"/>
        <v>2020-09-01</v>
      </c>
    </row>
    <row r="409" spans="1:15" x14ac:dyDescent="0.2">
      <c r="A409" s="21" t="str">
        <f t="shared" si="42"/>
        <v>y</v>
      </c>
      <c r="B409" s="24" t="s">
        <v>1666</v>
      </c>
      <c r="C409" t="s">
        <v>1346</v>
      </c>
      <c r="D409" t="s">
        <v>13</v>
      </c>
      <c r="E409" t="s">
        <v>27</v>
      </c>
      <c r="F409" t="s">
        <v>2</v>
      </c>
      <c r="H409" t="s">
        <v>1966</v>
      </c>
      <c r="I409" s="22" t="str">
        <f t="shared" si="43"/>
        <v>2020-08-31</v>
      </c>
      <c r="J409" s="23" t="str">
        <f t="shared" si="44"/>
        <v>31</v>
      </c>
      <c r="K409" t="str">
        <f t="shared" si="45"/>
        <v>no</v>
      </c>
      <c r="L409">
        <v>31</v>
      </c>
      <c r="M409" t="str">
        <f t="shared" si="46"/>
        <v>2020-08-31</v>
      </c>
      <c r="N409" s="20">
        <f t="shared" si="47"/>
        <v>44075</v>
      </c>
      <c r="O409" t="str">
        <f t="shared" si="48"/>
        <v>2020-09-01</v>
      </c>
    </row>
    <row r="410" spans="1:15" x14ac:dyDescent="0.2">
      <c r="A410" s="21" t="str">
        <f t="shared" si="42"/>
        <v>y</v>
      </c>
      <c r="B410" s="24" t="s">
        <v>1666</v>
      </c>
      <c r="C410" t="s">
        <v>701</v>
      </c>
      <c r="D410" t="s">
        <v>13</v>
      </c>
      <c r="E410" t="s">
        <v>34</v>
      </c>
      <c r="F410" t="s">
        <v>2</v>
      </c>
      <c r="H410" t="s">
        <v>1980</v>
      </c>
      <c r="I410" s="22" t="str">
        <f t="shared" si="43"/>
        <v>2020-08-31</v>
      </c>
      <c r="J410" s="23" t="str">
        <f t="shared" si="44"/>
        <v>31</v>
      </c>
      <c r="K410" t="str">
        <f t="shared" si="45"/>
        <v>no</v>
      </c>
      <c r="L410">
        <v>31</v>
      </c>
      <c r="M410" t="str">
        <f t="shared" si="46"/>
        <v>2020-08-31</v>
      </c>
      <c r="N410" s="20">
        <f t="shared" si="47"/>
        <v>44075</v>
      </c>
      <c r="O410" t="str">
        <f t="shared" si="48"/>
        <v>2020-09-01</v>
      </c>
    </row>
    <row r="411" spans="1:15" x14ac:dyDescent="0.2">
      <c r="A411" s="21" t="str">
        <f t="shared" si="42"/>
        <v>y</v>
      </c>
      <c r="B411" s="24" t="s">
        <v>1666</v>
      </c>
      <c r="C411" t="s">
        <v>975</v>
      </c>
      <c r="D411" t="s">
        <v>13</v>
      </c>
      <c r="E411" t="s">
        <v>27</v>
      </c>
      <c r="F411" t="s">
        <v>2</v>
      </c>
      <c r="G411" t="s">
        <v>1362</v>
      </c>
      <c r="H411" t="s">
        <v>1978</v>
      </c>
      <c r="I411" s="22" t="str">
        <f t="shared" si="43"/>
        <v>2020-08-31</v>
      </c>
      <c r="J411" s="23" t="str">
        <f t="shared" si="44"/>
        <v>31</v>
      </c>
      <c r="K411" t="str">
        <f t="shared" si="45"/>
        <v>no</v>
      </c>
      <c r="L411">
        <v>31</v>
      </c>
      <c r="M411" t="str">
        <f t="shared" si="46"/>
        <v>2020-08-31</v>
      </c>
      <c r="N411" s="20">
        <f t="shared" si="47"/>
        <v>44075</v>
      </c>
      <c r="O411" t="str">
        <f t="shared" si="48"/>
        <v>2020-09-01</v>
      </c>
    </row>
    <row r="412" spans="1:15" x14ac:dyDescent="0.2">
      <c r="A412" s="21" t="str">
        <f t="shared" si="42"/>
        <v>y</v>
      </c>
      <c r="B412" s="24" t="s">
        <v>1667</v>
      </c>
      <c r="C412" t="s">
        <v>1346</v>
      </c>
      <c r="D412" t="s">
        <v>13</v>
      </c>
      <c r="E412" t="s">
        <v>27</v>
      </c>
      <c r="F412" t="s">
        <v>2</v>
      </c>
      <c r="H412" t="s">
        <v>1958</v>
      </c>
      <c r="I412" s="22" t="str">
        <f t="shared" si="43"/>
        <v>2020-08-29</v>
      </c>
      <c r="J412" s="23" t="str">
        <f t="shared" si="44"/>
        <v>29</v>
      </c>
      <c r="K412" t="str">
        <f t="shared" si="45"/>
        <v>no</v>
      </c>
      <c r="L412">
        <v>29</v>
      </c>
      <c r="M412" t="str">
        <f t="shared" si="46"/>
        <v>2020-08-29</v>
      </c>
      <c r="N412" s="20">
        <f t="shared" si="47"/>
        <v>44073</v>
      </c>
      <c r="O412" t="str">
        <f t="shared" si="48"/>
        <v>2020-08-30</v>
      </c>
    </row>
    <row r="413" spans="1:15" x14ac:dyDescent="0.2">
      <c r="A413" s="21" t="str">
        <f t="shared" si="42"/>
        <v>y</v>
      </c>
      <c r="B413" s="24" t="s">
        <v>1667</v>
      </c>
      <c r="C413" t="s">
        <v>235</v>
      </c>
      <c r="D413" t="s">
        <v>13</v>
      </c>
      <c r="E413" t="s">
        <v>43</v>
      </c>
      <c r="F413" t="s">
        <v>2</v>
      </c>
      <c r="H413" t="s">
        <v>1981</v>
      </c>
      <c r="I413" s="22" t="str">
        <f t="shared" si="43"/>
        <v>2020-08-29</v>
      </c>
      <c r="J413" s="23" t="str">
        <f t="shared" si="44"/>
        <v>29</v>
      </c>
      <c r="K413" t="str">
        <f t="shared" si="45"/>
        <v>no</v>
      </c>
      <c r="L413">
        <v>29</v>
      </c>
      <c r="M413" t="str">
        <f t="shared" si="46"/>
        <v>2020-08-29</v>
      </c>
      <c r="N413" s="20">
        <f t="shared" si="47"/>
        <v>44073</v>
      </c>
      <c r="O413" t="str">
        <f t="shared" si="48"/>
        <v>2020-08-30</v>
      </c>
    </row>
    <row r="414" spans="1:15" x14ac:dyDescent="0.2">
      <c r="A414" s="21" t="str">
        <f t="shared" si="42"/>
        <v>y</v>
      </c>
      <c r="B414" s="24" t="s">
        <v>1667</v>
      </c>
      <c r="C414" t="s">
        <v>1359</v>
      </c>
      <c r="D414" t="s">
        <v>13</v>
      </c>
      <c r="E414" t="s">
        <v>4</v>
      </c>
      <c r="F414" t="s">
        <v>29</v>
      </c>
      <c r="G414" t="s">
        <v>1360</v>
      </c>
      <c r="H414" t="s">
        <v>1981</v>
      </c>
      <c r="I414" s="22" t="str">
        <f t="shared" si="43"/>
        <v>2020-08-29</v>
      </c>
      <c r="J414" s="23" t="str">
        <f t="shared" si="44"/>
        <v>29</v>
      </c>
      <c r="K414" t="str">
        <f t="shared" si="45"/>
        <v>no</v>
      </c>
      <c r="L414">
        <v>29</v>
      </c>
      <c r="M414" t="str">
        <f t="shared" si="46"/>
        <v>2020-08-29</v>
      </c>
      <c r="N414" s="20" t="str">
        <f t="shared" si="47"/>
        <v>2020-08-29</v>
      </c>
      <c r="O414" t="str">
        <f t="shared" si="48"/>
        <v>2020-08-29</v>
      </c>
    </row>
    <row r="415" spans="1:15" x14ac:dyDescent="0.2">
      <c r="A415" s="21" t="str">
        <f t="shared" si="42"/>
        <v>y</v>
      </c>
      <c r="B415" s="24" t="s">
        <v>1667</v>
      </c>
      <c r="C415" t="s">
        <v>1359</v>
      </c>
      <c r="D415" t="s">
        <v>13</v>
      </c>
      <c r="E415" t="s">
        <v>28</v>
      </c>
      <c r="F415" t="s">
        <v>29</v>
      </c>
      <c r="G415" t="s">
        <v>1361</v>
      </c>
      <c r="H415" t="s">
        <v>1980</v>
      </c>
      <c r="I415" s="22" t="str">
        <f t="shared" si="43"/>
        <v>2020-08-29</v>
      </c>
      <c r="J415" s="23" t="str">
        <f t="shared" si="44"/>
        <v>29</v>
      </c>
      <c r="K415" t="str">
        <f t="shared" si="45"/>
        <v>no</v>
      </c>
      <c r="L415">
        <v>29</v>
      </c>
      <c r="M415" t="str">
        <f t="shared" si="46"/>
        <v>2020-08-29</v>
      </c>
      <c r="N415" s="20" t="str">
        <f t="shared" si="47"/>
        <v>2020-08-29</v>
      </c>
      <c r="O415" t="str">
        <f t="shared" si="48"/>
        <v>2020-08-29</v>
      </c>
    </row>
    <row r="416" spans="1:15" x14ac:dyDescent="0.2">
      <c r="A416" s="21" t="str">
        <f t="shared" si="42"/>
        <v>y</v>
      </c>
      <c r="B416" s="24" t="s">
        <v>1668</v>
      </c>
      <c r="C416" t="s">
        <v>1346</v>
      </c>
      <c r="D416" t="s">
        <v>13</v>
      </c>
      <c r="E416" t="s">
        <v>9</v>
      </c>
      <c r="F416" t="s">
        <v>2</v>
      </c>
      <c r="H416" t="s">
        <v>1958</v>
      </c>
      <c r="I416" s="22" t="str">
        <f t="shared" si="43"/>
        <v>2020-08-27</v>
      </c>
      <c r="J416" s="23" t="str">
        <f t="shared" si="44"/>
        <v>27</v>
      </c>
      <c r="K416" t="str">
        <f t="shared" si="45"/>
        <v>no</v>
      </c>
      <c r="L416">
        <v>27</v>
      </c>
      <c r="M416" t="str">
        <f t="shared" si="46"/>
        <v>2020-08-27</v>
      </c>
      <c r="N416" s="20">
        <f t="shared" si="47"/>
        <v>44071</v>
      </c>
      <c r="O416" t="str">
        <f t="shared" si="48"/>
        <v>2020-08-28</v>
      </c>
    </row>
    <row r="417" spans="1:15" x14ac:dyDescent="0.2">
      <c r="A417" s="21" t="str">
        <f t="shared" si="42"/>
        <v>y</v>
      </c>
      <c r="B417" s="24" t="s">
        <v>1668</v>
      </c>
      <c r="C417" t="s">
        <v>1346</v>
      </c>
      <c r="D417" t="s">
        <v>13</v>
      </c>
      <c r="E417" t="s">
        <v>4</v>
      </c>
      <c r="F417" t="s">
        <v>29</v>
      </c>
      <c r="G417" t="s">
        <v>1358</v>
      </c>
      <c r="H417" t="s">
        <v>1980</v>
      </c>
      <c r="I417" s="22" t="str">
        <f t="shared" si="43"/>
        <v>2020-08-27</v>
      </c>
      <c r="J417" s="23" t="str">
        <f t="shared" si="44"/>
        <v>27</v>
      </c>
      <c r="K417" t="str">
        <f t="shared" si="45"/>
        <v>no</v>
      </c>
      <c r="L417">
        <v>27</v>
      </c>
      <c r="M417" t="str">
        <f t="shared" si="46"/>
        <v>2020-08-27</v>
      </c>
      <c r="N417" s="20" t="str">
        <f t="shared" si="47"/>
        <v>2020-08-27</v>
      </c>
      <c r="O417" t="str">
        <f t="shared" si="48"/>
        <v>2020-08-27</v>
      </c>
    </row>
    <row r="418" spans="1:15" x14ac:dyDescent="0.2">
      <c r="A418" s="21" t="str">
        <f t="shared" si="42"/>
        <v>y</v>
      </c>
      <c r="B418" s="24" t="s">
        <v>1668</v>
      </c>
      <c r="C418" t="s">
        <v>235</v>
      </c>
      <c r="D418" t="s">
        <v>13</v>
      </c>
      <c r="E418" t="s">
        <v>43</v>
      </c>
      <c r="F418" t="s">
        <v>2</v>
      </c>
      <c r="G418" t="s">
        <v>1357</v>
      </c>
      <c r="H418" t="s">
        <v>1958</v>
      </c>
      <c r="I418" s="22" t="str">
        <f t="shared" si="43"/>
        <v>2020-08-27</v>
      </c>
      <c r="J418" s="23" t="str">
        <f t="shared" si="44"/>
        <v>27</v>
      </c>
      <c r="K418" t="str">
        <f t="shared" si="45"/>
        <v>no</v>
      </c>
      <c r="L418">
        <v>27</v>
      </c>
      <c r="M418" t="str">
        <f t="shared" si="46"/>
        <v>2020-08-27</v>
      </c>
      <c r="N418" s="20">
        <f t="shared" si="47"/>
        <v>44071</v>
      </c>
      <c r="O418" t="str">
        <f t="shared" si="48"/>
        <v>2020-08-28</v>
      </c>
    </row>
    <row r="419" spans="1:15" x14ac:dyDescent="0.2">
      <c r="A419" s="21" t="str">
        <f t="shared" si="42"/>
        <v>y</v>
      </c>
      <c r="B419" s="24" t="s">
        <v>1669</v>
      </c>
      <c r="C419" t="s">
        <v>1346</v>
      </c>
      <c r="D419" t="s">
        <v>13</v>
      </c>
      <c r="E419" t="s">
        <v>9</v>
      </c>
      <c r="F419" t="s">
        <v>2</v>
      </c>
      <c r="G419" t="s">
        <v>1350</v>
      </c>
      <c r="H419" t="s">
        <v>1958</v>
      </c>
      <c r="I419" s="22" t="str">
        <f t="shared" si="43"/>
        <v>2020-08-26</v>
      </c>
      <c r="J419" s="23" t="str">
        <f t="shared" si="44"/>
        <v>26</v>
      </c>
      <c r="K419" t="str">
        <f t="shared" si="45"/>
        <v>no</v>
      </c>
      <c r="L419">
        <v>26</v>
      </c>
      <c r="M419" t="str">
        <f t="shared" si="46"/>
        <v>2020-08-26</v>
      </c>
      <c r="N419" s="20">
        <f t="shared" si="47"/>
        <v>44070</v>
      </c>
      <c r="O419" t="str">
        <f t="shared" si="48"/>
        <v>2020-08-27</v>
      </c>
    </row>
    <row r="420" spans="1:15" x14ac:dyDescent="0.2">
      <c r="A420" s="21" t="str">
        <f t="shared" si="42"/>
        <v>y</v>
      </c>
      <c r="B420" s="24" t="s">
        <v>1669</v>
      </c>
      <c r="C420" t="s">
        <v>235</v>
      </c>
      <c r="D420" t="s">
        <v>13</v>
      </c>
      <c r="E420" t="s">
        <v>34</v>
      </c>
      <c r="F420" t="s">
        <v>29</v>
      </c>
      <c r="G420" t="s">
        <v>1356</v>
      </c>
      <c r="H420" t="s">
        <v>1980</v>
      </c>
      <c r="I420" s="22" t="str">
        <f t="shared" si="43"/>
        <v>2020-08-26</v>
      </c>
      <c r="J420" s="23" t="str">
        <f t="shared" si="44"/>
        <v>26</v>
      </c>
      <c r="K420" t="str">
        <f t="shared" si="45"/>
        <v>no</v>
      </c>
      <c r="L420">
        <v>26</v>
      </c>
      <c r="M420" t="str">
        <f t="shared" si="46"/>
        <v>2020-08-26</v>
      </c>
      <c r="N420" s="20" t="str">
        <f t="shared" si="47"/>
        <v>2020-08-26</v>
      </c>
      <c r="O420" t="str">
        <f t="shared" si="48"/>
        <v>2020-08-26</v>
      </c>
    </row>
    <row r="421" spans="1:15" x14ac:dyDescent="0.2">
      <c r="A421" s="21" t="str">
        <f t="shared" si="42"/>
        <v>y</v>
      </c>
      <c r="B421" s="24" t="s">
        <v>1669</v>
      </c>
      <c r="C421" t="s">
        <v>235</v>
      </c>
      <c r="D421" t="s">
        <v>13</v>
      </c>
      <c r="E421" t="s">
        <v>34</v>
      </c>
      <c r="F421" t="s">
        <v>2</v>
      </c>
      <c r="H421" t="s">
        <v>1958</v>
      </c>
      <c r="I421" s="22" t="str">
        <f t="shared" si="43"/>
        <v>2020-08-26</v>
      </c>
      <c r="J421" s="23" t="str">
        <f t="shared" si="44"/>
        <v>26</v>
      </c>
      <c r="K421" t="str">
        <f t="shared" si="45"/>
        <v>no</v>
      </c>
      <c r="L421">
        <v>26</v>
      </c>
      <c r="M421" t="str">
        <f t="shared" si="46"/>
        <v>2020-08-26</v>
      </c>
      <c r="N421" s="20">
        <f t="shared" si="47"/>
        <v>44070</v>
      </c>
      <c r="O421" t="str">
        <f t="shared" si="48"/>
        <v>2020-08-27</v>
      </c>
    </row>
    <row r="422" spans="1:15" x14ac:dyDescent="0.2">
      <c r="A422" s="21" t="str">
        <f t="shared" si="42"/>
        <v>y</v>
      </c>
      <c r="B422" s="24" t="s">
        <v>1670</v>
      </c>
      <c r="C422" t="s">
        <v>1346</v>
      </c>
      <c r="D422" t="s">
        <v>13</v>
      </c>
      <c r="E422" t="s">
        <v>9</v>
      </c>
      <c r="F422" t="s">
        <v>2</v>
      </c>
      <c r="G422" t="s">
        <v>1350</v>
      </c>
      <c r="H422" t="s">
        <v>1976</v>
      </c>
      <c r="I422" s="22" t="str">
        <f t="shared" si="43"/>
        <v>2020-08-25</v>
      </c>
      <c r="J422" s="23" t="str">
        <f t="shared" si="44"/>
        <v>25</v>
      </c>
      <c r="K422" t="str">
        <f t="shared" si="45"/>
        <v>no</v>
      </c>
      <c r="L422">
        <v>25</v>
      </c>
      <c r="M422" t="str">
        <f t="shared" si="46"/>
        <v>2020-08-25</v>
      </c>
      <c r="N422" s="20">
        <f t="shared" si="47"/>
        <v>44069</v>
      </c>
      <c r="O422" t="str">
        <f t="shared" si="48"/>
        <v>2020-08-26</v>
      </c>
    </row>
    <row r="423" spans="1:15" x14ac:dyDescent="0.2">
      <c r="A423" s="21" t="str">
        <f t="shared" si="42"/>
        <v>y</v>
      </c>
      <c r="B423" s="24" t="s">
        <v>1670</v>
      </c>
      <c r="C423" t="s">
        <v>235</v>
      </c>
      <c r="D423" t="s">
        <v>13</v>
      </c>
      <c r="E423" t="s">
        <v>34</v>
      </c>
      <c r="F423" t="s">
        <v>2</v>
      </c>
      <c r="G423" t="s">
        <v>1353</v>
      </c>
      <c r="H423" t="s">
        <v>1958</v>
      </c>
      <c r="I423" s="22" t="str">
        <f t="shared" si="43"/>
        <v>2020-08-25</v>
      </c>
      <c r="J423" s="23" t="str">
        <f t="shared" si="44"/>
        <v>25</v>
      </c>
      <c r="K423" t="str">
        <f t="shared" si="45"/>
        <v>no</v>
      </c>
      <c r="L423">
        <v>25</v>
      </c>
      <c r="M423" t="str">
        <f t="shared" si="46"/>
        <v>2020-08-25</v>
      </c>
      <c r="N423" s="20">
        <f t="shared" si="47"/>
        <v>44069</v>
      </c>
      <c r="O423" t="str">
        <f t="shared" si="48"/>
        <v>2020-08-26</v>
      </c>
    </row>
    <row r="424" spans="1:15" x14ac:dyDescent="0.2">
      <c r="A424" s="21" t="str">
        <f t="shared" si="42"/>
        <v>y</v>
      </c>
      <c r="B424" s="24" t="s">
        <v>1670</v>
      </c>
      <c r="C424" t="s">
        <v>616</v>
      </c>
      <c r="D424" t="s">
        <v>13</v>
      </c>
      <c r="E424" t="s">
        <v>34</v>
      </c>
      <c r="F424" t="s">
        <v>29</v>
      </c>
      <c r="G424" t="s">
        <v>1355</v>
      </c>
      <c r="H424" t="s">
        <v>1980</v>
      </c>
      <c r="I424" s="22" t="str">
        <f t="shared" si="43"/>
        <v>2020-08-25</v>
      </c>
      <c r="J424" s="23" t="str">
        <f t="shared" si="44"/>
        <v>25</v>
      </c>
      <c r="K424" t="str">
        <f t="shared" si="45"/>
        <v>no</v>
      </c>
      <c r="L424">
        <v>25</v>
      </c>
      <c r="M424" t="str">
        <f t="shared" si="46"/>
        <v>2020-08-25</v>
      </c>
      <c r="N424" s="20" t="str">
        <f t="shared" si="47"/>
        <v>2020-08-25</v>
      </c>
      <c r="O424" t="str">
        <f t="shared" si="48"/>
        <v>2020-08-25</v>
      </c>
    </row>
    <row r="425" spans="1:15" x14ac:dyDescent="0.2">
      <c r="A425" s="21" t="str">
        <f t="shared" si="42"/>
        <v>y</v>
      </c>
      <c r="B425" s="24" t="s">
        <v>1670</v>
      </c>
      <c r="C425" t="s">
        <v>235</v>
      </c>
      <c r="D425" t="s">
        <v>13</v>
      </c>
      <c r="E425" t="s">
        <v>43</v>
      </c>
      <c r="F425" t="s">
        <v>29</v>
      </c>
      <c r="G425" t="s">
        <v>1354</v>
      </c>
      <c r="H425" t="s">
        <v>1958</v>
      </c>
      <c r="I425" s="22" t="str">
        <f t="shared" si="43"/>
        <v>2020-08-25</v>
      </c>
      <c r="J425" s="23" t="str">
        <f t="shared" si="44"/>
        <v>25</v>
      </c>
      <c r="K425" t="str">
        <f t="shared" si="45"/>
        <v>no</v>
      </c>
      <c r="L425">
        <v>25</v>
      </c>
      <c r="M425" t="str">
        <f t="shared" si="46"/>
        <v>2020-08-25</v>
      </c>
      <c r="N425" s="20" t="str">
        <f t="shared" si="47"/>
        <v>2020-08-25</v>
      </c>
      <c r="O425" t="str">
        <f t="shared" si="48"/>
        <v>2020-08-25</v>
      </c>
    </row>
    <row r="426" spans="1:15" x14ac:dyDescent="0.2">
      <c r="A426" s="21" t="str">
        <f t="shared" si="42"/>
        <v>y</v>
      </c>
      <c r="B426" s="24" t="s">
        <v>1671</v>
      </c>
      <c r="C426" t="s">
        <v>1346</v>
      </c>
      <c r="D426" t="s">
        <v>13</v>
      </c>
      <c r="E426" t="s">
        <v>9</v>
      </c>
      <c r="F426" t="s">
        <v>2</v>
      </c>
      <c r="G426" t="s">
        <v>1350</v>
      </c>
      <c r="H426" t="s">
        <v>1958</v>
      </c>
      <c r="I426" s="22" t="str">
        <f t="shared" si="43"/>
        <v>2020-08-24</v>
      </c>
      <c r="J426" s="23" t="str">
        <f t="shared" si="44"/>
        <v>24</v>
      </c>
      <c r="K426" t="str">
        <f t="shared" si="45"/>
        <v>no</v>
      </c>
      <c r="L426">
        <v>24</v>
      </c>
      <c r="M426" t="str">
        <f t="shared" si="46"/>
        <v>2020-08-24</v>
      </c>
      <c r="N426" s="20">
        <f t="shared" si="47"/>
        <v>44068</v>
      </c>
      <c r="O426" t="str">
        <f t="shared" si="48"/>
        <v>2020-08-25</v>
      </c>
    </row>
    <row r="427" spans="1:15" x14ac:dyDescent="0.2">
      <c r="A427" s="21" t="str">
        <f t="shared" si="42"/>
        <v>y</v>
      </c>
      <c r="B427" s="24" t="s">
        <v>1671</v>
      </c>
      <c r="C427" t="s">
        <v>235</v>
      </c>
      <c r="D427" t="s">
        <v>13</v>
      </c>
      <c r="E427" t="s">
        <v>34</v>
      </c>
      <c r="F427" t="s">
        <v>2</v>
      </c>
      <c r="G427" t="s">
        <v>1353</v>
      </c>
      <c r="H427" t="s">
        <v>1958</v>
      </c>
      <c r="I427" s="22" t="str">
        <f t="shared" si="43"/>
        <v>2020-08-24</v>
      </c>
      <c r="J427" s="23" t="str">
        <f t="shared" si="44"/>
        <v>24</v>
      </c>
      <c r="K427" t="str">
        <f t="shared" si="45"/>
        <v>no</v>
      </c>
      <c r="L427">
        <v>24</v>
      </c>
      <c r="M427" t="str">
        <f t="shared" si="46"/>
        <v>2020-08-24</v>
      </c>
      <c r="N427" s="20">
        <f t="shared" si="47"/>
        <v>44068</v>
      </c>
      <c r="O427" t="str">
        <f t="shared" si="48"/>
        <v>2020-08-25</v>
      </c>
    </row>
    <row r="428" spans="1:15" x14ac:dyDescent="0.2">
      <c r="A428" s="21" t="str">
        <f t="shared" si="42"/>
        <v>y</v>
      </c>
      <c r="B428" s="24" t="s">
        <v>1671</v>
      </c>
      <c r="C428" t="s">
        <v>235</v>
      </c>
      <c r="D428" t="s">
        <v>13</v>
      </c>
      <c r="E428" t="s">
        <v>43</v>
      </c>
      <c r="F428" t="s">
        <v>29</v>
      </c>
      <c r="G428" t="s">
        <v>1351</v>
      </c>
      <c r="H428" t="s">
        <v>1980</v>
      </c>
      <c r="I428" s="22" t="str">
        <f t="shared" si="43"/>
        <v>2020-08-24</v>
      </c>
      <c r="J428" s="23" t="str">
        <f t="shared" si="44"/>
        <v>24</v>
      </c>
      <c r="K428" t="str">
        <f t="shared" si="45"/>
        <v>no</v>
      </c>
      <c r="L428">
        <v>24</v>
      </c>
      <c r="M428" t="str">
        <f t="shared" si="46"/>
        <v>2020-08-24</v>
      </c>
      <c r="N428" s="20" t="str">
        <f t="shared" si="47"/>
        <v>2020-08-24</v>
      </c>
      <c r="O428" t="str">
        <f t="shared" si="48"/>
        <v>2020-08-24</v>
      </c>
    </row>
    <row r="429" spans="1:15" x14ac:dyDescent="0.2">
      <c r="A429" s="21" t="str">
        <f t="shared" si="42"/>
        <v>y</v>
      </c>
      <c r="B429" s="24" t="s">
        <v>1671</v>
      </c>
      <c r="C429" t="s">
        <v>235</v>
      </c>
      <c r="D429" t="s">
        <v>13</v>
      </c>
      <c r="E429" t="s">
        <v>8</v>
      </c>
      <c r="F429" t="s">
        <v>29</v>
      </c>
      <c r="G429" t="s">
        <v>1352</v>
      </c>
      <c r="H429" t="s">
        <v>1958</v>
      </c>
      <c r="I429" s="22" t="str">
        <f t="shared" si="43"/>
        <v>2020-08-24</v>
      </c>
      <c r="J429" s="23" t="str">
        <f t="shared" si="44"/>
        <v>24</v>
      </c>
      <c r="K429" t="str">
        <f t="shared" si="45"/>
        <v>no</v>
      </c>
      <c r="L429">
        <v>24</v>
      </c>
      <c r="M429" t="str">
        <f t="shared" si="46"/>
        <v>2020-08-24</v>
      </c>
      <c r="N429" s="20" t="str">
        <f t="shared" si="47"/>
        <v>2020-08-24</v>
      </c>
      <c r="O429" t="str">
        <f t="shared" si="48"/>
        <v>2020-08-24</v>
      </c>
    </row>
    <row r="430" spans="1:15" x14ac:dyDescent="0.2">
      <c r="A430" s="21" t="str">
        <f t="shared" si="42"/>
        <v>y</v>
      </c>
      <c r="B430" s="24" t="s">
        <v>1672</v>
      </c>
      <c r="C430" t="s">
        <v>235</v>
      </c>
      <c r="D430" t="s">
        <v>13</v>
      </c>
      <c r="E430" t="s">
        <v>34</v>
      </c>
      <c r="F430" t="s">
        <v>29</v>
      </c>
      <c r="G430" t="s">
        <v>1345</v>
      </c>
      <c r="H430" t="s">
        <v>1977</v>
      </c>
      <c r="I430" s="22" t="str">
        <f t="shared" si="43"/>
        <v>2020-08-22</v>
      </c>
      <c r="J430" s="23" t="str">
        <f t="shared" si="44"/>
        <v>22</v>
      </c>
      <c r="K430" t="str">
        <f t="shared" si="45"/>
        <v>no</v>
      </c>
      <c r="L430">
        <v>22</v>
      </c>
      <c r="M430" t="str">
        <f t="shared" si="46"/>
        <v>2020-08-22</v>
      </c>
      <c r="N430" s="20" t="str">
        <f t="shared" si="47"/>
        <v>2020-08-22</v>
      </c>
      <c r="O430" t="str">
        <f t="shared" si="48"/>
        <v>2020-08-22</v>
      </c>
    </row>
    <row r="431" spans="1:15" x14ac:dyDescent="0.2">
      <c r="A431" s="21" t="str">
        <f t="shared" si="42"/>
        <v>y</v>
      </c>
      <c r="B431" s="24" t="s">
        <v>1672</v>
      </c>
      <c r="C431" t="s">
        <v>756</v>
      </c>
      <c r="D431" t="s">
        <v>13</v>
      </c>
      <c r="E431" t="s">
        <v>115</v>
      </c>
      <c r="F431" t="s">
        <v>29</v>
      </c>
      <c r="G431" t="s">
        <v>1343</v>
      </c>
      <c r="H431" t="s">
        <v>1958</v>
      </c>
      <c r="I431" s="22" t="str">
        <f t="shared" si="43"/>
        <v>2020-08-22</v>
      </c>
      <c r="J431" s="23" t="str">
        <f t="shared" si="44"/>
        <v>22</v>
      </c>
      <c r="K431" t="str">
        <f t="shared" si="45"/>
        <v>no</v>
      </c>
      <c r="L431">
        <v>22</v>
      </c>
      <c r="M431" t="str">
        <f t="shared" si="46"/>
        <v>2020-08-22</v>
      </c>
      <c r="N431" s="20" t="str">
        <f t="shared" si="47"/>
        <v>2020-08-22</v>
      </c>
      <c r="O431" t="str">
        <f t="shared" si="48"/>
        <v>2020-08-22</v>
      </c>
    </row>
    <row r="432" spans="1:15" x14ac:dyDescent="0.2">
      <c r="A432" s="21" t="str">
        <f t="shared" si="42"/>
        <v>y</v>
      </c>
      <c r="B432" s="24" t="s">
        <v>1672</v>
      </c>
      <c r="C432" t="s">
        <v>756</v>
      </c>
      <c r="D432" t="s">
        <v>13</v>
      </c>
      <c r="E432" t="s">
        <v>8</v>
      </c>
      <c r="F432" t="s">
        <v>29</v>
      </c>
      <c r="G432" t="s">
        <v>1348</v>
      </c>
      <c r="H432" t="s">
        <v>1977</v>
      </c>
      <c r="I432" s="22" t="str">
        <f t="shared" si="43"/>
        <v>2020-08-22</v>
      </c>
      <c r="J432" s="23" t="str">
        <f t="shared" si="44"/>
        <v>22</v>
      </c>
      <c r="K432" t="str">
        <f t="shared" si="45"/>
        <v>no</v>
      </c>
      <c r="L432">
        <v>22</v>
      </c>
      <c r="M432" t="str">
        <f t="shared" si="46"/>
        <v>2020-08-22</v>
      </c>
      <c r="N432" s="20" t="str">
        <f t="shared" si="47"/>
        <v>2020-08-22</v>
      </c>
      <c r="O432" t="str">
        <f t="shared" si="48"/>
        <v>2020-08-22</v>
      </c>
    </row>
    <row r="433" spans="1:15" x14ac:dyDescent="0.2">
      <c r="A433" s="21" t="str">
        <f t="shared" si="42"/>
        <v>y</v>
      </c>
      <c r="B433" s="24" t="s">
        <v>1672</v>
      </c>
      <c r="C433" t="s">
        <v>235</v>
      </c>
      <c r="D433" t="s">
        <v>13</v>
      </c>
      <c r="E433" t="s">
        <v>34</v>
      </c>
      <c r="F433" t="s">
        <v>29</v>
      </c>
      <c r="G433" t="s">
        <v>1344</v>
      </c>
      <c r="H433" t="s">
        <v>1958</v>
      </c>
      <c r="I433" s="22" t="str">
        <f t="shared" si="43"/>
        <v>2020-08-22</v>
      </c>
      <c r="J433" s="23" t="str">
        <f t="shared" si="44"/>
        <v>22</v>
      </c>
      <c r="K433" t="str">
        <f t="shared" si="45"/>
        <v>no</v>
      </c>
      <c r="L433">
        <v>22</v>
      </c>
      <c r="M433" t="str">
        <f t="shared" si="46"/>
        <v>2020-08-22</v>
      </c>
      <c r="N433" s="20" t="str">
        <f t="shared" si="47"/>
        <v>2020-08-22</v>
      </c>
      <c r="O433" t="str">
        <f t="shared" si="48"/>
        <v>2020-08-22</v>
      </c>
    </row>
    <row r="434" spans="1:15" x14ac:dyDescent="0.2">
      <c r="A434" s="21" t="str">
        <f t="shared" si="42"/>
        <v>y</v>
      </c>
      <c r="B434" s="24" t="s">
        <v>1672</v>
      </c>
      <c r="C434" t="s">
        <v>1346</v>
      </c>
      <c r="D434" t="s">
        <v>13</v>
      </c>
      <c r="E434" t="s">
        <v>4</v>
      </c>
      <c r="F434" t="s">
        <v>2</v>
      </c>
      <c r="G434" t="s">
        <v>1347</v>
      </c>
      <c r="H434" t="s">
        <v>1980</v>
      </c>
      <c r="I434" s="22" t="str">
        <f t="shared" si="43"/>
        <v>2020-08-22</v>
      </c>
      <c r="J434" s="23" t="str">
        <f t="shared" si="44"/>
        <v>22</v>
      </c>
      <c r="K434" t="str">
        <f t="shared" si="45"/>
        <v>no</v>
      </c>
      <c r="L434">
        <v>22</v>
      </c>
      <c r="M434" t="str">
        <f t="shared" si="46"/>
        <v>2020-08-22</v>
      </c>
      <c r="N434" s="20">
        <f t="shared" si="47"/>
        <v>44066</v>
      </c>
      <c r="O434" t="str">
        <f t="shared" si="48"/>
        <v>2020-08-23</v>
      </c>
    </row>
    <row r="435" spans="1:15" x14ac:dyDescent="0.2">
      <c r="A435" s="21" t="str">
        <f t="shared" si="42"/>
        <v>y</v>
      </c>
      <c r="B435" s="24" t="s">
        <v>1672</v>
      </c>
      <c r="C435" t="s">
        <v>235</v>
      </c>
      <c r="D435" t="s">
        <v>13</v>
      </c>
      <c r="E435" t="s">
        <v>43</v>
      </c>
      <c r="F435" t="s">
        <v>29</v>
      </c>
      <c r="G435" t="s">
        <v>1349</v>
      </c>
      <c r="H435" t="s">
        <v>1966</v>
      </c>
      <c r="I435" s="22" t="str">
        <f t="shared" si="43"/>
        <v>2020-08-22</v>
      </c>
      <c r="J435" s="23" t="str">
        <f t="shared" si="44"/>
        <v>22</v>
      </c>
      <c r="K435" t="str">
        <f t="shared" si="45"/>
        <v>no</v>
      </c>
      <c r="L435">
        <v>22</v>
      </c>
      <c r="M435" t="str">
        <f t="shared" si="46"/>
        <v>2020-08-22</v>
      </c>
      <c r="N435" s="20" t="str">
        <f t="shared" si="47"/>
        <v>2020-08-22</v>
      </c>
      <c r="O435" t="str">
        <f t="shared" si="48"/>
        <v>2020-08-22</v>
      </c>
    </row>
    <row r="436" spans="1:15" x14ac:dyDescent="0.2">
      <c r="A436" s="21" t="str">
        <f t="shared" si="42"/>
        <v>y</v>
      </c>
      <c r="B436" s="24" t="s">
        <v>1673</v>
      </c>
      <c r="C436" t="s">
        <v>701</v>
      </c>
      <c r="D436" t="s">
        <v>13</v>
      </c>
      <c r="E436" t="s">
        <v>34</v>
      </c>
      <c r="F436" t="s">
        <v>2</v>
      </c>
      <c r="H436" t="s">
        <v>1958</v>
      </c>
      <c r="I436" s="22" t="str">
        <f t="shared" si="43"/>
        <v>2020-08-20</v>
      </c>
      <c r="J436" s="23" t="str">
        <f t="shared" si="44"/>
        <v>20</v>
      </c>
      <c r="K436" t="str">
        <f t="shared" si="45"/>
        <v>no</v>
      </c>
      <c r="L436">
        <v>20</v>
      </c>
      <c r="M436" t="str">
        <f t="shared" si="46"/>
        <v>2020-08-20</v>
      </c>
      <c r="N436" s="20">
        <f t="shared" si="47"/>
        <v>44064</v>
      </c>
      <c r="O436" t="str">
        <f t="shared" si="48"/>
        <v>2020-08-21</v>
      </c>
    </row>
    <row r="437" spans="1:15" x14ac:dyDescent="0.2">
      <c r="A437" s="21" t="str">
        <f t="shared" si="42"/>
        <v>y</v>
      </c>
      <c r="B437" s="24" t="s">
        <v>1673</v>
      </c>
      <c r="C437" t="s">
        <v>235</v>
      </c>
      <c r="D437" t="s">
        <v>13</v>
      </c>
      <c r="E437" t="s">
        <v>34</v>
      </c>
      <c r="F437" t="s">
        <v>2</v>
      </c>
      <c r="G437" t="s">
        <v>1339</v>
      </c>
      <c r="H437" t="s">
        <v>1958</v>
      </c>
      <c r="I437" s="22" t="str">
        <f t="shared" si="43"/>
        <v>2020-08-20</v>
      </c>
      <c r="J437" s="23" t="str">
        <f t="shared" si="44"/>
        <v>20</v>
      </c>
      <c r="K437" t="str">
        <f t="shared" si="45"/>
        <v>no</v>
      </c>
      <c r="L437">
        <v>20</v>
      </c>
      <c r="M437" t="str">
        <f t="shared" si="46"/>
        <v>2020-08-20</v>
      </c>
      <c r="N437" s="20">
        <f t="shared" si="47"/>
        <v>44064</v>
      </c>
      <c r="O437" t="str">
        <f t="shared" si="48"/>
        <v>2020-08-21</v>
      </c>
    </row>
    <row r="438" spans="1:15" x14ac:dyDescent="0.2">
      <c r="A438" s="21" t="str">
        <f t="shared" si="42"/>
        <v>y</v>
      </c>
      <c r="B438" s="24" t="s">
        <v>1673</v>
      </c>
      <c r="C438" t="s">
        <v>235</v>
      </c>
      <c r="D438" t="s">
        <v>13</v>
      </c>
      <c r="E438" t="s">
        <v>8</v>
      </c>
      <c r="F438" t="s">
        <v>29</v>
      </c>
      <c r="G438" t="s">
        <v>1342</v>
      </c>
      <c r="H438" t="s">
        <v>1977</v>
      </c>
      <c r="I438" s="22" t="str">
        <f t="shared" si="43"/>
        <v>2020-08-20</v>
      </c>
      <c r="J438" s="23" t="str">
        <f t="shared" si="44"/>
        <v>20</v>
      </c>
      <c r="K438" t="str">
        <f t="shared" si="45"/>
        <v>no</v>
      </c>
      <c r="L438">
        <v>20</v>
      </c>
      <c r="M438" t="str">
        <f t="shared" si="46"/>
        <v>2020-08-20</v>
      </c>
      <c r="N438" s="20" t="str">
        <f t="shared" si="47"/>
        <v>2020-08-20</v>
      </c>
      <c r="O438" t="str">
        <f t="shared" si="48"/>
        <v>2020-08-20</v>
      </c>
    </row>
    <row r="439" spans="1:15" x14ac:dyDescent="0.2">
      <c r="A439" s="21" t="str">
        <f t="shared" si="42"/>
        <v>y</v>
      </c>
      <c r="B439" s="24" t="s">
        <v>1673</v>
      </c>
      <c r="C439" t="s">
        <v>756</v>
      </c>
      <c r="D439" t="s">
        <v>13</v>
      </c>
      <c r="E439" t="s">
        <v>8</v>
      </c>
      <c r="F439" t="s">
        <v>29</v>
      </c>
      <c r="G439" t="s">
        <v>1341</v>
      </c>
      <c r="H439" t="s">
        <v>1958</v>
      </c>
      <c r="I439" s="22" t="str">
        <f t="shared" si="43"/>
        <v>2020-08-20</v>
      </c>
      <c r="J439" s="23" t="str">
        <f t="shared" si="44"/>
        <v>20</v>
      </c>
      <c r="K439" t="str">
        <f t="shared" si="45"/>
        <v>no</v>
      </c>
      <c r="L439">
        <v>20</v>
      </c>
      <c r="M439" t="str">
        <f t="shared" si="46"/>
        <v>2020-08-20</v>
      </c>
      <c r="N439" s="20" t="str">
        <f t="shared" si="47"/>
        <v>2020-08-20</v>
      </c>
      <c r="O439" t="str">
        <f t="shared" si="48"/>
        <v>2020-08-20</v>
      </c>
    </row>
    <row r="440" spans="1:15" x14ac:dyDescent="0.2">
      <c r="A440" s="21" t="str">
        <f t="shared" si="42"/>
        <v>y</v>
      </c>
      <c r="B440" s="24" t="s">
        <v>1673</v>
      </c>
      <c r="C440" t="s">
        <v>235</v>
      </c>
      <c r="D440" t="s">
        <v>13</v>
      </c>
      <c r="E440" t="s">
        <v>34</v>
      </c>
      <c r="F440" t="s">
        <v>29</v>
      </c>
      <c r="G440" t="s">
        <v>1340</v>
      </c>
      <c r="H440" t="s">
        <v>1966</v>
      </c>
      <c r="I440" s="22" t="str">
        <f t="shared" si="43"/>
        <v>2020-08-20</v>
      </c>
      <c r="J440" s="23" t="str">
        <f t="shared" si="44"/>
        <v>20</v>
      </c>
      <c r="K440" t="str">
        <f t="shared" si="45"/>
        <v>no</v>
      </c>
      <c r="L440">
        <v>20</v>
      </c>
      <c r="M440" t="str">
        <f t="shared" si="46"/>
        <v>2020-08-20</v>
      </c>
      <c r="N440" s="20" t="str">
        <f t="shared" si="47"/>
        <v>2020-08-20</v>
      </c>
      <c r="O440" t="str">
        <f t="shared" si="48"/>
        <v>2020-08-20</v>
      </c>
    </row>
    <row r="441" spans="1:15" x14ac:dyDescent="0.2">
      <c r="A441" s="21" t="str">
        <f t="shared" si="42"/>
        <v>y</v>
      </c>
      <c r="B441" s="24" t="s">
        <v>1674</v>
      </c>
      <c r="C441" t="s">
        <v>701</v>
      </c>
      <c r="D441" t="s">
        <v>13</v>
      </c>
      <c r="E441" t="s">
        <v>34</v>
      </c>
      <c r="F441" t="s">
        <v>2</v>
      </c>
      <c r="H441" t="s">
        <v>1958</v>
      </c>
      <c r="I441" s="22" t="str">
        <f t="shared" si="43"/>
        <v>2020-08-19</v>
      </c>
      <c r="J441" s="23" t="str">
        <f t="shared" si="44"/>
        <v>19</v>
      </c>
      <c r="K441" t="str">
        <f t="shared" si="45"/>
        <v>no</v>
      </c>
      <c r="L441">
        <v>19</v>
      </c>
      <c r="M441" t="str">
        <f t="shared" si="46"/>
        <v>2020-08-19</v>
      </c>
      <c r="N441" s="20">
        <f t="shared" si="47"/>
        <v>44063</v>
      </c>
      <c r="O441" t="str">
        <f t="shared" si="48"/>
        <v>2020-08-20</v>
      </c>
    </row>
    <row r="442" spans="1:15" x14ac:dyDescent="0.2">
      <c r="A442" s="21" t="str">
        <f t="shared" si="42"/>
        <v>y</v>
      </c>
      <c r="B442" s="24" t="s">
        <v>1674</v>
      </c>
      <c r="C442" t="s">
        <v>235</v>
      </c>
      <c r="D442" t="s">
        <v>13</v>
      </c>
      <c r="E442" t="s">
        <v>34</v>
      </c>
      <c r="F442" t="s">
        <v>2</v>
      </c>
      <c r="G442" t="s">
        <v>1333</v>
      </c>
      <c r="H442" t="s">
        <v>1958</v>
      </c>
      <c r="I442" s="22" t="str">
        <f t="shared" si="43"/>
        <v>2020-08-19</v>
      </c>
      <c r="J442" s="23" t="str">
        <f t="shared" si="44"/>
        <v>19</v>
      </c>
      <c r="K442" t="str">
        <f t="shared" si="45"/>
        <v>no</v>
      </c>
      <c r="L442">
        <v>19</v>
      </c>
      <c r="M442" t="str">
        <f t="shared" si="46"/>
        <v>2020-08-19</v>
      </c>
      <c r="N442" s="20">
        <f t="shared" si="47"/>
        <v>44063</v>
      </c>
      <c r="O442" t="str">
        <f t="shared" si="48"/>
        <v>2020-08-20</v>
      </c>
    </row>
    <row r="443" spans="1:15" x14ac:dyDescent="0.2">
      <c r="A443" s="21" t="str">
        <f t="shared" si="42"/>
        <v>y</v>
      </c>
      <c r="B443" s="24" t="s">
        <v>1674</v>
      </c>
      <c r="C443" t="s">
        <v>235</v>
      </c>
      <c r="D443" t="s">
        <v>13</v>
      </c>
      <c r="E443" t="s">
        <v>8</v>
      </c>
      <c r="F443" t="s">
        <v>2</v>
      </c>
      <c r="G443" t="s">
        <v>1338</v>
      </c>
      <c r="H443" t="s">
        <v>1977</v>
      </c>
      <c r="I443" s="22" t="str">
        <f t="shared" si="43"/>
        <v>2020-08-19</v>
      </c>
      <c r="J443" s="23" t="str">
        <f t="shared" si="44"/>
        <v>19</v>
      </c>
      <c r="K443" t="str">
        <f t="shared" si="45"/>
        <v>no</v>
      </c>
      <c r="L443">
        <v>19</v>
      </c>
      <c r="M443" t="str">
        <f t="shared" si="46"/>
        <v>2020-08-19</v>
      </c>
      <c r="N443" s="20">
        <f t="shared" si="47"/>
        <v>44063</v>
      </c>
      <c r="O443" t="str">
        <f t="shared" si="48"/>
        <v>2020-08-20</v>
      </c>
    </row>
    <row r="444" spans="1:15" x14ac:dyDescent="0.2">
      <c r="A444" s="21" t="str">
        <f t="shared" si="42"/>
        <v>y</v>
      </c>
      <c r="B444" s="24" t="s">
        <v>1674</v>
      </c>
      <c r="C444" t="s">
        <v>756</v>
      </c>
      <c r="D444" t="s">
        <v>13</v>
      </c>
      <c r="E444" t="s">
        <v>8</v>
      </c>
      <c r="F444" t="s">
        <v>2</v>
      </c>
      <c r="G444" t="s">
        <v>1337</v>
      </c>
      <c r="H444" t="s">
        <v>1966</v>
      </c>
      <c r="I444" s="22" t="str">
        <f t="shared" si="43"/>
        <v>2020-08-19</v>
      </c>
      <c r="J444" s="23" t="str">
        <f t="shared" si="44"/>
        <v>19</v>
      </c>
      <c r="K444" t="str">
        <f t="shared" si="45"/>
        <v>no</v>
      </c>
      <c r="L444">
        <v>19</v>
      </c>
      <c r="M444" t="str">
        <f t="shared" si="46"/>
        <v>2020-08-19</v>
      </c>
      <c r="N444" s="20">
        <f t="shared" si="47"/>
        <v>44063</v>
      </c>
      <c r="O444" t="str">
        <f t="shared" si="48"/>
        <v>2020-08-20</v>
      </c>
    </row>
    <row r="445" spans="1:15" x14ac:dyDescent="0.2">
      <c r="A445" s="21" t="str">
        <f t="shared" si="42"/>
        <v>y</v>
      </c>
      <c r="B445" s="24" t="s">
        <v>1675</v>
      </c>
      <c r="C445" t="s">
        <v>701</v>
      </c>
      <c r="D445" t="s">
        <v>13</v>
      </c>
      <c r="E445" t="s">
        <v>34</v>
      </c>
      <c r="F445" t="s">
        <v>2</v>
      </c>
      <c r="H445" t="s">
        <v>1958</v>
      </c>
      <c r="I445" s="22" t="str">
        <f t="shared" si="43"/>
        <v>2020-08-18</v>
      </c>
      <c r="J445" s="23" t="str">
        <f t="shared" si="44"/>
        <v>18</v>
      </c>
      <c r="K445" t="str">
        <f t="shared" si="45"/>
        <v>no</v>
      </c>
      <c r="L445">
        <v>18</v>
      </c>
      <c r="M445" t="str">
        <f t="shared" si="46"/>
        <v>2020-08-18</v>
      </c>
      <c r="N445" s="20">
        <f t="shared" si="47"/>
        <v>44062</v>
      </c>
      <c r="O445" t="str">
        <f t="shared" si="48"/>
        <v>2020-08-19</v>
      </c>
    </row>
    <row r="446" spans="1:15" x14ac:dyDescent="0.2">
      <c r="A446" s="21" t="str">
        <f t="shared" si="42"/>
        <v>y</v>
      </c>
      <c r="B446" s="24" t="s">
        <v>1675</v>
      </c>
      <c r="C446" t="s">
        <v>235</v>
      </c>
      <c r="D446" t="s">
        <v>13</v>
      </c>
      <c r="E446" t="s">
        <v>34</v>
      </c>
      <c r="F446" t="s">
        <v>2</v>
      </c>
      <c r="G446" t="s">
        <v>1333</v>
      </c>
      <c r="H446" t="s">
        <v>1958</v>
      </c>
      <c r="I446" s="22" t="str">
        <f t="shared" si="43"/>
        <v>2020-08-18</v>
      </c>
      <c r="J446" s="23" t="str">
        <f t="shared" si="44"/>
        <v>18</v>
      </c>
      <c r="K446" t="str">
        <f t="shared" si="45"/>
        <v>no</v>
      </c>
      <c r="L446">
        <v>18</v>
      </c>
      <c r="M446" t="str">
        <f t="shared" si="46"/>
        <v>2020-08-18</v>
      </c>
      <c r="N446" s="20">
        <f t="shared" si="47"/>
        <v>44062</v>
      </c>
      <c r="O446" t="str">
        <f t="shared" si="48"/>
        <v>2020-08-19</v>
      </c>
    </row>
    <row r="447" spans="1:15" x14ac:dyDescent="0.2">
      <c r="A447" s="21" t="str">
        <f t="shared" si="42"/>
        <v>y</v>
      </c>
      <c r="B447" s="24" t="s">
        <v>1675</v>
      </c>
      <c r="C447" t="s">
        <v>235</v>
      </c>
      <c r="D447" t="s">
        <v>13</v>
      </c>
      <c r="E447" t="s">
        <v>8</v>
      </c>
      <c r="F447" t="s">
        <v>2</v>
      </c>
      <c r="H447" t="s">
        <v>1958</v>
      </c>
      <c r="I447" s="22" t="str">
        <f t="shared" si="43"/>
        <v>2020-08-18</v>
      </c>
      <c r="J447" s="23" t="str">
        <f t="shared" si="44"/>
        <v>18</v>
      </c>
      <c r="K447" t="str">
        <f t="shared" si="45"/>
        <v>no</v>
      </c>
      <c r="L447">
        <v>18</v>
      </c>
      <c r="M447" t="str">
        <f t="shared" si="46"/>
        <v>2020-08-18</v>
      </c>
      <c r="N447" s="20">
        <f t="shared" si="47"/>
        <v>44062</v>
      </c>
      <c r="O447" t="str">
        <f t="shared" si="48"/>
        <v>2020-08-19</v>
      </c>
    </row>
    <row r="448" spans="1:15" x14ac:dyDescent="0.2">
      <c r="A448" s="21" t="str">
        <f t="shared" si="42"/>
        <v>y</v>
      </c>
      <c r="B448" s="24" t="s">
        <v>1675</v>
      </c>
      <c r="C448" t="s">
        <v>235</v>
      </c>
      <c r="D448" t="s">
        <v>13</v>
      </c>
      <c r="E448" t="s">
        <v>34</v>
      </c>
      <c r="F448" t="s">
        <v>29</v>
      </c>
      <c r="G448" t="s">
        <v>1335</v>
      </c>
      <c r="H448" t="s">
        <v>1977</v>
      </c>
      <c r="I448" s="22" t="str">
        <f t="shared" si="43"/>
        <v>2020-08-18</v>
      </c>
      <c r="J448" s="23" t="str">
        <f t="shared" si="44"/>
        <v>18</v>
      </c>
      <c r="K448" t="str">
        <f t="shared" si="45"/>
        <v>no</v>
      </c>
      <c r="L448">
        <v>18</v>
      </c>
      <c r="M448" t="str">
        <f t="shared" si="46"/>
        <v>2020-08-18</v>
      </c>
      <c r="N448" s="20" t="str">
        <f t="shared" si="47"/>
        <v>2020-08-18</v>
      </c>
      <c r="O448" t="str">
        <f t="shared" si="48"/>
        <v>2020-08-18</v>
      </c>
    </row>
    <row r="449" spans="1:15" x14ac:dyDescent="0.2">
      <c r="A449" s="21" t="str">
        <f t="shared" si="42"/>
        <v>y</v>
      </c>
      <c r="B449" s="24" t="s">
        <v>1675</v>
      </c>
      <c r="C449" t="s">
        <v>756</v>
      </c>
      <c r="D449" t="s">
        <v>13</v>
      </c>
      <c r="E449" t="s">
        <v>8</v>
      </c>
      <c r="F449" t="s">
        <v>29</v>
      </c>
      <c r="G449" t="s">
        <v>1336</v>
      </c>
      <c r="H449" t="s">
        <v>1966</v>
      </c>
      <c r="I449" s="22" t="str">
        <f t="shared" si="43"/>
        <v>2020-08-18</v>
      </c>
      <c r="J449" s="23" t="str">
        <f t="shared" si="44"/>
        <v>18</v>
      </c>
      <c r="K449" t="str">
        <f t="shared" si="45"/>
        <v>no</v>
      </c>
      <c r="L449">
        <v>18</v>
      </c>
      <c r="M449" t="str">
        <f t="shared" si="46"/>
        <v>2020-08-18</v>
      </c>
      <c r="N449" s="20" t="str">
        <f t="shared" si="47"/>
        <v>2020-08-18</v>
      </c>
      <c r="O449" t="str">
        <f t="shared" si="48"/>
        <v>2020-08-18</v>
      </c>
    </row>
    <row r="450" spans="1:15" x14ac:dyDescent="0.2">
      <c r="A450" s="21" t="str">
        <f t="shared" si="42"/>
        <v>y</v>
      </c>
      <c r="B450" s="24" t="s">
        <v>1676</v>
      </c>
      <c r="C450" t="s">
        <v>701</v>
      </c>
      <c r="D450" t="s">
        <v>13</v>
      </c>
      <c r="E450" t="s">
        <v>34</v>
      </c>
      <c r="F450" t="s">
        <v>29</v>
      </c>
      <c r="G450" t="s">
        <v>1334</v>
      </c>
      <c r="H450" t="s">
        <v>1958</v>
      </c>
      <c r="I450" s="22" t="str">
        <f t="shared" si="43"/>
        <v>2020-08-17</v>
      </c>
      <c r="J450" s="23" t="str">
        <f t="shared" si="44"/>
        <v>17</v>
      </c>
      <c r="K450" t="str">
        <f t="shared" si="45"/>
        <v>no</v>
      </c>
      <c r="L450">
        <v>17</v>
      </c>
      <c r="M450" t="str">
        <f t="shared" si="46"/>
        <v>2020-08-17</v>
      </c>
      <c r="N450" s="20" t="str">
        <f t="shared" si="47"/>
        <v>2020-08-17</v>
      </c>
      <c r="O450" t="str">
        <f t="shared" si="48"/>
        <v>2020-08-17</v>
      </c>
    </row>
    <row r="451" spans="1:15" x14ac:dyDescent="0.2">
      <c r="A451" s="21" t="str">
        <f t="shared" si="42"/>
        <v>y</v>
      </c>
      <c r="B451" s="24" t="s">
        <v>1676</v>
      </c>
      <c r="C451" t="s">
        <v>235</v>
      </c>
      <c r="D451" t="s">
        <v>13</v>
      </c>
      <c r="E451" t="s">
        <v>43</v>
      </c>
      <c r="F451" t="s">
        <v>29</v>
      </c>
      <c r="G451" t="s">
        <v>1332</v>
      </c>
      <c r="H451" t="s">
        <v>1958</v>
      </c>
      <c r="I451" s="22" t="str">
        <f t="shared" si="43"/>
        <v>2020-08-17</v>
      </c>
      <c r="J451" s="23" t="str">
        <f t="shared" si="44"/>
        <v>17</v>
      </c>
      <c r="K451" t="str">
        <f t="shared" si="45"/>
        <v>no</v>
      </c>
      <c r="L451">
        <v>17</v>
      </c>
      <c r="M451" t="str">
        <f t="shared" si="46"/>
        <v>2020-08-17</v>
      </c>
      <c r="N451" s="20" t="str">
        <f t="shared" si="47"/>
        <v>2020-08-17</v>
      </c>
      <c r="O451" t="str">
        <f t="shared" si="48"/>
        <v>2020-08-17</v>
      </c>
    </row>
    <row r="452" spans="1:15" x14ac:dyDescent="0.2">
      <c r="A452" s="21" t="str">
        <f t="shared" ref="A452:A515" si="49">IF(LEFT(B452,2)&gt;12,"y","-")</f>
        <v>y</v>
      </c>
      <c r="B452" s="24" t="s">
        <v>1676</v>
      </c>
      <c r="C452" t="s">
        <v>235</v>
      </c>
      <c r="D452" t="s">
        <v>13</v>
      </c>
      <c r="E452" t="s">
        <v>34</v>
      </c>
      <c r="F452" t="s">
        <v>2</v>
      </c>
      <c r="G452" t="s">
        <v>1333</v>
      </c>
      <c r="H452" t="s">
        <v>1958</v>
      </c>
      <c r="I452" s="22" t="str">
        <f t="shared" ref="I452:I515" si="50">IF(K452="yes",TEXT(B452,"YYYY-DD-MM"),TEXT(B452,"YYYY-MM-DD"))</f>
        <v>2020-08-17</v>
      </c>
      <c r="J452" s="23" t="str">
        <f t="shared" ref="J452:J515" si="51">LEFT(B452,2)</f>
        <v>17</v>
      </c>
      <c r="K452" t="str">
        <f t="shared" ref="K452:K515" si="52">IF(L452&gt;31,"yes","no")</f>
        <v>no</v>
      </c>
      <c r="L452">
        <v>17</v>
      </c>
      <c r="M452" t="str">
        <f t="shared" ref="M452:M515" si="53">I452</f>
        <v>2020-08-17</v>
      </c>
      <c r="N452" s="20">
        <f t="shared" ref="N452:N515" si="54">IF(F452="DONE",M452,M452+1)</f>
        <v>44061</v>
      </c>
      <c r="O452" t="str">
        <f t="shared" ref="O452:O515" si="55">TEXT(N452,"YYYY-MM-DD")</f>
        <v>2020-08-18</v>
      </c>
    </row>
    <row r="453" spans="1:15" x14ac:dyDescent="0.2">
      <c r="A453" s="21" t="str">
        <f t="shared" si="49"/>
        <v>y</v>
      </c>
      <c r="B453" s="24" t="s">
        <v>1676</v>
      </c>
      <c r="C453" t="s">
        <v>235</v>
      </c>
      <c r="D453" t="s">
        <v>13</v>
      </c>
      <c r="E453" t="s">
        <v>8</v>
      </c>
      <c r="F453" t="s">
        <v>29</v>
      </c>
      <c r="G453" t="s">
        <v>1331</v>
      </c>
      <c r="H453" t="s">
        <v>1966</v>
      </c>
      <c r="I453" s="22" t="str">
        <f t="shared" si="50"/>
        <v>2020-08-17</v>
      </c>
      <c r="J453" s="23" t="str">
        <f t="shared" si="51"/>
        <v>17</v>
      </c>
      <c r="K453" t="str">
        <f t="shared" si="52"/>
        <v>no</v>
      </c>
      <c r="L453">
        <v>17</v>
      </c>
      <c r="M453" t="str">
        <f t="shared" si="53"/>
        <v>2020-08-17</v>
      </c>
      <c r="N453" s="20" t="str">
        <f t="shared" si="54"/>
        <v>2020-08-17</v>
      </c>
      <c r="O453" t="str">
        <f t="shared" si="55"/>
        <v>2020-08-17</v>
      </c>
    </row>
    <row r="454" spans="1:15" x14ac:dyDescent="0.2">
      <c r="A454" s="21" t="str">
        <f t="shared" si="49"/>
        <v>y</v>
      </c>
      <c r="B454" s="24" t="s">
        <v>1677</v>
      </c>
      <c r="C454" t="s">
        <v>701</v>
      </c>
      <c r="D454" t="s">
        <v>13</v>
      </c>
      <c r="E454" t="s">
        <v>34</v>
      </c>
      <c r="F454" t="s">
        <v>2</v>
      </c>
      <c r="H454" t="s">
        <v>1982</v>
      </c>
      <c r="I454" s="22" t="str">
        <f t="shared" si="50"/>
        <v>2020-08-16</v>
      </c>
      <c r="J454" s="23" t="str">
        <f t="shared" si="51"/>
        <v>16</v>
      </c>
      <c r="K454" t="str">
        <f t="shared" si="52"/>
        <v>no</v>
      </c>
      <c r="L454">
        <v>16</v>
      </c>
      <c r="M454" t="str">
        <f t="shared" si="53"/>
        <v>2020-08-16</v>
      </c>
      <c r="N454" s="20">
        <f t="shared" si="54"/>
        <v>44060</v>
      </c>
      <c r="O454" t="str">
        <f t="shared" si="55"/>
        <v>2020-08-17</v>
      </c>
    </row>
    <row r="455" spans="1:15" x14ac:dyDescent="0.2">
      <c r="A455" s="21" t="str">
        <f t="shared" si="49"/>
        <v>y</v>
      </c>
      <c r="B455" s="24" t="s">
        <v>1677</v>
      </c>
      <c r="C455" t="s">
        <v>901</v>
      </c>
      <c r="D455" t="s">
        <v>13</v>
      </c>
      <c r="E455" t="s">
        <v>27</v>
      </c>
      <c r="F455" t="s">
        <v>29</v>
      </c>
      <c r="G455" t="s">
        <v>1328</v>
      </c>
      <c r="H455" t="s">
        <v>1982</v>
      </c>
      <c r="I455" s="22" t="str">
        <f t="shared" si="50"/>
        <v>2020-08-16</v>
      </c>
      <c r="J455" s="23" t="str">
        <f t="shared" si="51"/>
        <v>16</v>
      </c>
      <c r="K455" t="str">
        <f t="shared" si="52"/>
        <v>no</v>
      </c>
      <c r="L455">
        <v>16</v>
      </c>
      <c r="M455" t="str">
        <f t="shared" si="53"/>
        <v>2020-08-16</v>
      </c>
      <c r="N455" s="20" t="str">
        <f t="shared" si="54"/>
        <v>2020-08-16</v>
      </c>
      <c r="O455" t="str">
        <f t="shared" si="55"/>
        <v>2020-08-16</v>
      </c>
    </row>
    <row r="456" spans="1:15" x14ac:dyDescent="0.2">
      <c r="A456" s="21" t="str">
        <f t="shared" si="49"/>
        <v>y</v>
      </c>
      <c r="B456" s="24" t="s">
        <v>1677</v>
      </c>
      <c r="C456" t="s">
        <v>901</v>
      </c>
      <c r="D456" t="s">
        <v>13</v>
      </c>
      <c r="E456" t="s">
        <v>43</v>
      </c>
      <c r="F456" t="s">
        <v>29</v>
      </c>
      <c r="G456" t="s">
        <v>1330</v>
      </c>
      <c r="H456" t="s">
        <v>1958</v>
      </c>
      <c r="I456" s="22" t="str">
        <f t="shared" si="50"/>
        <v>2020-08-16</v>
      </c>
      <c r="J456" s="23" t="str">
        <f t="shared" si="51"/>
        <v>16</v>
      </c>
      <c r="K456" t="str">
        <f t="shared" si="52"/>
        <v>no</v>
      </c>
      <c r="L456">
        <v>16</v>
      </c>
      <c r="M456" t="str">
        <f t="shared" si="53"/>
        <v>2020-08-16</v>
      </c>
      <c r="N456" s="20" t="str">
        <f t="shared" si="54"/>
        <v>2020-08-16</v>
      </c>
      <c r="O456" t="str">
        <f t="shared" si="55"/>
        <v>2020-08-16</v>
      </c>
    </row>
    <row r="457" spans="1:15" x14ac:dyDescent="0.2">
      <c r="A457" s="21" t="str">
        <f t="shared" si="49"/>
        <v>y</v>
      </c>
      <c r="B457" s="24" t="s">
        <v>1677</v>
      </c>
      <c r="C457" t="s">
        <v>235</v>
      </c>
      <c r="D457" t="s">
        <v>13</v>
      </c>
      <c r="E457" t="s">
        <v>43</v>
      </c>
      <c r="F457" t="s">
        <v>29</v>
      </c>
      <c r="G457" t="s">
        <v>1329</v>
      </c>
      <c r="H457" t="s">
        <v>1966</v>
      </c>
      <c r="I457" s="22" t="str">
        <f t="shared" si="50"/>
        <v>2020-08-16</v>
      </c>
      <c r="J457" s="23" t="str">
        <f t="shared" si="51"/>
        <v>16</v>
      </c>
      <c r="K457" t="str">
        <f t="shared" si="52"/>
        <v>no</v>
      </c>
      <c r="L457">
        <v>16</v>
      </c>
      <c r="M457" t="str">
        <f t="shared" si="53"/>
        <v>2020-08-16</v>
      </c>
      <c r="N457" s="20" t="str">
        <f t="shared" si="54"/>
        <v>2020-08-16</v>
      </c>
      <c r="O457" t="str">
        <f t="shared" si="55"/>
        <v>2020-08-16</v>
      </c>
    </row>
    <row r="458" spans="1:15" x14ac:dyDescent="0.2">
      <c r="A458" s="21" t="str">
        <f t="shared" si="49"/>
        <v>y</v>
      </c>
      <c r="B458" s="24" t="s">
        <v>1678</v>
      </c>
      <c r="C458" t="s">
        <v>701</v>
      </c>
      <c r="D458" t="s">
        <v>13</v>
      </c>
      <c r="E458" t="s">
        <v>34</v>
      </c>
      <c r="F458" t="s">
        <v>2</v>
      </c>
      <c r="H458" t="s">
        <v>1982</v>
      </c>
      <c r="I458" s="22" t="str">
        <f t="shared" si="50"/>
        <v>2020-08-15</v>
      </c>
      <c r="J458" s="23" t="str">
        <f t="shared" si="51"/>
        <v>15</v>
      </c>
      <c r="K458" t="str">
        <f t="shared" si="52"/>
        <v>no</v>
      </c>
      <c r="L458">
        <v>15</v>
      </c>
      <c r="M458" t="str">
        <f t="shared" si="53"/>
        <v>2020-08-15</v>
      </c>
      <c r="N458" s="20">
        <f t="shared" si="54"/>
        <v>44059</v>
      </c>
      <c r="O458" t="str">
        <f t="shared" si="55"/>
        <v>2020-08-16</v>
      </c>
    </row>
    <row r="459" spans="1:15" x14ac:dyDescent="0.2">
      <c r="A459" s="21" t="str">
        <f t="shared" si="49"/>
        <v>y</v>
      </c>
      <c r="B459" s="24" t="s">
        <v>1678</v>
      </c>
      <c r="C459" t="s">
        <v>901</v>
      </c>
      <c r="D459" t="s">
        <v>13</v>
      </c>
      <c r="E459" t="s">
        <v>27</v>
      </c>
      <c r="F459" t="s">
        <v>2</v>
      </c>
      <c r="H459" t="s">
        <v>1982</v>
      </c>
      <c r="I459" s="22" t="str">
        <f t="shared" si="50"/>
        <v>2020-08-15</v>
      </c>
      <c r="J459" s="23" t="str">
        <f t="shared" si="51"/>
        <v>15</v>
      </c>
      <c r="K459" t="str">
        <f t="shared" si="52"/>
        <v>no</v>
      </c>
      <c r="L459">
        <v>15</v>
      </c>
      <c r="M459" t="str">
        <f t="shared" si="53"/>
        <v>2020-08-15</v>
      </c>
      <c r="N459" s="20">
        <f t="shared" si="54"/>
        <v>44059</v>
      </c>
      <c r="O459" t="str">
        <f t="shared" si="55"/>
        <v>2020-08-16</v>
      </c>
    </row>
    <row r="460" spans="1:15" x14ac:dyDescent="0.2">
      <c r="A460" s="21" t="str">
        <f t="shared" si="49"/>
        <v>y</v>
      </c>
      <c r="B460" s="24" t="s">
        <v>1678</v>
      </c>
      <c r="C460" t="s">
        <v>901</v>
      </c>
      <c r="D460" t="s">
        <v>13</v>
      </c>
      <c r="E460" t="s">
        <v>43</v>
      </c>
      <c r="F460" t="s">
        <v>2</v>
      </c>
      <c r="H460" t="s">
        <v>1958</v>
      </c>
      <c r="I460" s="22" t="str">
        <f t="shared" si="50"/>
        <v>2020-08-15</v>
      </c>
      <c r="J460" s="23" t="str">
        <f t="shared" si="51"/>
        <v>15</v>
      </c>
      <c r="K460" t="str">
        <f t="shared" si="52"/>
        <v>no</v>
      </c>
      <c r="L460">
        <v>15</v>
      </c>
      <c r="M460" t="str">
        <f t="shared" si="53"/>
        <v>2020-08-15</v>
      </c>
      <c r="N460" s="20">
        <f t="shared" si="54"/>
        <v>44059</v>
      </c>
      <c r="O460" t="str">
        <f t="shared" si="55"/>
        <v>2020-08-16</v>
      </c>
    </row>
    <row r="461" spans="1:15" x14ac:dyDescent="0.2">
      <c r="A461" s="21" t="str">
        <f t="shared" si="49"/>
        <v>y</v>
      </c>
      <c r="B461" s="24" t="s">
        <v>1678</v>
      </c>
      <c r="C461" t="s">
        <v>235</v>
      </c>
      <c r="D461" t="s">
        <v>13</v>
      </c>
      <c r="E461" t="s">
        <v>43</v>
      </c>
      <c r="F461" t="s">
        <v>29</v>
      </c>
      <c r="G461" t="s">
        <v>1327</v>
      </c>
      <c r="H461" t="s">
        <v>1966</v>
      </c>
      <c r="I461" s="22" t="str">
        <f t="shared" si="50"/>
        <v>2020-08-15</v>
      </c>
      <c r="J461" s="23" t="str">
        <f t="shared" si="51"/>
        <v>15</v>
      </c>
      <c r="K461" t="str">
        <f t="shared" si="52"/>
        <v>no</v>
      </c>
      <c r="L461">
        <v>15</v>
      </c>
      <c r="M461" t="str">
        <f t="shared" si="53"/>
        <v>2020-08-15</v>
      </c>
      <c r="N461" s="20" t="str">
        <f t="shared" si="54"/>
        <v>2020-08-15</v>
      </c>
      <c r="O461" t="str">
        <f t="shared" si="55"/>
        <v>2020-08-15</v>
      </c>
    </row>
    <row r="462" spans="1:15" x14ac:dyDescent="0.2">
      <c r="A462" s="21" t="str">
        <f t="shared" si="49"/>
        <v>y</v>
      </c>
      <c r="B462" s="24" t="s">
        <v>1679</v>
      </c>
      <c r="C462" t="s">
        <v>701</v>
      </c>
      <c r="D462" t="s">
        <v>13</v>
      </c>
      <c r="E462" t="s">
        <v>34</v>
      </c>
      <c r="F462" t="s">
        <v>2</v>
      </c>
      <c r="H462" t="s">
        <v>1982</v>
      </c>
      <c r="I462" s="22" t="str">
        <f t="shared" si="50"/>
        <v>2020-08-13</v>
      </c>
      <c r="J462" s="23" t="str">
        <f t="shared" si="51"/>
        <v>13</v>
      </c>
      <c r="K462" t="str">
        <f t="shared" si="52"/>
        <v>no</v>
      </c>
      <c r="L462">
        <v>13</v>
      </c>
      <c r="M462" t="str">
        <f t="shared" si="53"/>
        <v>2020-08-13</v>
      </c>
      <c r="N462" s="20">
        <f t="shared" si="54"/>
        <v>44057</v>
      </c>
      <c r="O462" t="str">
        <f t="shared" si="55"/>
        <v>2020-08-14</v>
      </c>
    </row>
    <row r="463" spans="1:15" x14ac:dyDescent="0.2">
      <c r="A463" s="21" t="str">
        <f t="shared" si="49"/>
        <v>y</v>
      </c>
      <c r="B463" s="24" t="s">
        <v>1679</v>
      </c>
      <c r="C463" t="s">
        <v>901</v>
      </c>
      <c r="D463" t="s">
        <v>13</v>
      </c>
      <c r="E463" t="s">
        <v>27</v>
      </c>
      <c r="F463" t="s">
        <v>2</v>
      </c>
      <c r="H463" t="s">
        <v>1982</v>
      </c>
      <c r="I463" s="22" t="str">
        <f t="shared" si="50"/>
        <v>2020-08-13</v>
      </c>
      <c r="J463" s="23" t="str">
        <f t="shared" si="51"/>
        <v>13</v>
      </c>
      <c r="K463" t="str">
        <f t="shared" si="52"/>
        <v>no</v>
      </c>
      <c r="L463">
        <v>13</v>
      </c>
      <c r="M463" t="str">
        <f t="shared" si="53"/>
        <v>2020-08-13</v>
      </c>
      <c r="N463" s="20">
        <f t="shared" si="54"/>
        <v>44057</v>
      </c>
      <c r="O463" t="str">
        <f t="shared" si="55"/>
        <v>2020-08-14</v>
      </c>
    </row>
    <row r="464" spans="1:15" x14ac:dyDescent="0.2">
      <c r="A464" s="21" t="str">
        <f t="shared" si="49"/>
        <v>y</v>
      </c>
      <c r="B464" s="24" t="s">
        <v>1679</v>
      </c>
      <c r="C464" t="s">
        <v>901</v>
      </c>
      <c r="D464" t="s">
        <v>13</v>
      </c>
      <c r="E464" t="s">
        <v>43</v>
      </c>
      <c r="F464" t="s">
        <v>2</v>
      </c>
      <c r="H464" t="s">
        <v>1958</v>
      </c>
      <c r="I464" s="22" t="str">
        <f t="shared" si="50"/>
        <v>2020-08-13</v>
      </c>
      <c r="J464" s="23" t="str">
        <f t="shared" si="51"/>
        <v>13</v>
      </c>
      <c r="K464" t="str">
        <f t="shared" si="52"/>
        <v>no</v>
      </c>
      <c r="L464">
        <v>13</v>
      </c>
      <c r="M464" t="str">
        <f t="shared" si="53"/>
        <v>2020-08-13</v>
      </c>
      <c r="N464" s="20">
        <f t="shared" si="54"/>
        <v>44057</v>
      </c>
      <c r="O464" t="str">
        <f t="shared" si="55"/>
        <v>2020-08-14</v>
      </c>
    </row>
    <row r="465" spans="1:15" x14ac:dyDescent="0.2">
      <c r="A465" s="21" t="str">
        <f t="shared" si="49"/>
        <v>y</v>
      </c>
      <c r="B465" s="24" t="s">
        <v>1679</v>
      </c>
      <c r="C465" t="s">
        <v>235</v>
      </c>
      <c r="D465" t="s">
        <v>13</v>
      </c>
      <c r="E465" t="s">
        <v>43</v>
      </c>
      <c r="F465" t="s">
        <v>29</v>
      </c>
      <c r="G465" t="s">
        <v>1326</v>
      </c>
      <c r="H465" t="s">
        <v>1958</v>
      </c>
      <c r="I465" s="22" t="str">
        <f t="shared" si="50"/>
        <v>2020-08-13</v>
      </c>
      <c r="J465" s="23" t="str">
        <f t="shared" si="51"/>
        <v>13</v>
      </c>
      <c r="K465" t="str">
        <f t="shared" si="52"/>
        <v>no</v>
      </c>
      <c r="L465">
        <v>13</v>
      </c>
      <c r="M465" t="str">
        <f t="shared" si="53"/>
        <v>2020-08-13</v>
      </c>
      <c r="N465" s="20" t="str">
        <f t="shared" si="54"/>
        <v>2020-08-13</v>
      </c>
      <c r="O465" t="str">
        <f t="shared" si="55"/>
        <v>2020-08-13</v>
      </c>
    </row>
    <row r="466" spans="1:15" x14ac:dyDescent="0.2">
      <c r="A466" s="21" t="str">
        <f t="shared" si="49"/>
        <v>y</v>
      </c>
      <c r="B466" s="24" t="s">
        <v>1679</v>
      </c>
      <c r="C466" t="s">
        <v>235</v>
      </c>
      <c r="D466" t="s">
        <v>13</v>
      </c>
      <c r="E466" t="s">
        <v>43</v>
      </c>
      <c r="F466" t="s">
        <v>2</v>
      </c>
      <c r="H466" t="s">
        <v>1966</v>
      </c>
      <c r="I466" s="22" t="str">
        <f t="shared" si="50"/>
        <v>2020-08-13</v>
      </c>
      <c r="J466" s="23" t="str">
        <f t="shared" si="51"/>
        <v>13</v>
      </c>
      <c r="K466" t="str">
        <f t="shared" si="52"/>
        <v>no</v>
      </c>
      <c r="L466">
        <v>13</v>
      </c>
      <c r="M466" t="str">
        <f t="shared" si="53"/>
        <v>2020-08-13</v>
      </c>
      <c r="N466" s="20">
        <f t="shared" si="54"/>
        <v>44057</v>
      </c>
      <c r="O466" t="str">
        <f t="shared" si="55"/>
        <v>2020-08-14</v>
      </c>
    </row>
    <row r="467" spans="1:15" x14ac:dyDescent="0.2">
      <c r="A467" s="21" t="str">
        <f t="shared" si="49"/>
        <v>y</v>
      </c>
      <c r="B467" s="24">
        <v>44173</v>
      </c>
      <c r="C467" t="s">
        <v>701</v>
      </c>
      <c r="D467" t="s">
        <v>13</v>
      </c>
      <c r="E467" t="s">
        <v>34</v>
      </c>
      <c r="F467" t="s">
        <v>2</v>
      </c>
      <c r="H467" t="s">
        <v>1982</v>
      </c>
      <c r="I467" s="22" t="str">
        <f t="shared" si="50"/>
        <v>2020-08-12</v>
      </c>
      <c r="J467" s="23" t="str">
        <f t="shared" si="51"/>
        <v>44</v>
      </c>
      <c r="K467" t="str">
        <f t="shared" si="52"/>
        <v>yes</v>
      </c>
      <c r="L467">
        <v>44</v>
      </c>
      <c r="M467" t="str">
        <f t="shared" si="53"/>
        <v>2020-08-12</v>
      </c>
      <c r="N467" s="20">
        <f t="shared" si="54"/>
        <v>44056</v>
      </c>
      <c r="O467" t="str">
        <f t="shared" si="55"/>
        <v>2020-08-13</v>
      </c>
    </row>
    <row r="468" spans="1:15" x14ac:dyDescent="0.2">
      <c r="A468" s="21" t="str">
        <f t="shared" si="49"/>
        <v>y</v>
      </c>
      <c r="B468" s="24">
        <v>44173</v>
      </c>
      <c r="C468" t="s">
        <v>901</v>
      </c>
      <c r="D468" t="s">
        <v>13</v>
      </c>
      <c r="E468" t="s">
        <v>27</v>
      </c>
      <c r="F468" t="s">
        <v>2</v>
      </c>
      <c r="H468" t="s">
        <v>1983</v>
      </c>
      <c r="I468" s="22" t="str">
        <f t="shared" si="50"/>
        <v>2020-08-12</v>
      </c>
      <c r="J468" s="23" t="str">
        <f t="shared" si="51"/>
        <v>44</v>
      </c>
      <c r="K468" t="str">
        <f t="shared" si="52"/>
        <v>yes</v>
      </c>
      <c r="L468">
        <v>44</v>
      </c>
      <c r="M468" t="str">
        <f t="shared" si="53"/>
        <v>2020-08-12</v>
      </c>
      <c r="N468" s="20">
        <f t="shared" si="54"/>
        <v>44056</v>
      </c>
      <c r="O468" t="str">
        <f t="shared" si="55"/>
        <v>2020-08-13</v>
      </c>
    </row>
    <row r="469" spans="1:15" x14ac:dyDescent="0.2">
      <c r="A469" s="21" t="str">
        <f t="shared" si="49"/>
        <v>y</v>
      </c>
      <c r="B469" s="24">
        <v>44173</v>
      </c>
      <c r="C469" t="s">
        <v>901</v>
      </c>
      <c r="D469" t="s">
        <v>13</v>
      </c>
      <c r="E469" t="s">
        <v>43</v>
      </c>
      <c r="F469" t="s">
        <v>2</v>
      </c>
      <c r="H469" t="s">
        <v>1982</v>
      </c>
      <c r="I469" s="22" t="str">
        <f t="shared" si="50"/>
        <v>2020-08-12</v>
      </c>
      <c r="J469" s="23" t="str">
        <f t="shared" si="51"/>
        <v>44</v>
      </c>
      <c r="K469" t="str">
        <f t="shared" si="52"/>
        <v>yes</v>
      </c>
      <c r="L469">
        <v>44</v>
      </c>
      <c r="M469" t="str">
        <f t="shared" si="53"/>
        <v>2020-08-12</v>
      </c>
      <c r="N469" s="20">
        <f t="shared" si="54"/>
        <v>44056</v>
      </c>
      <c r="O469" t="str">
        <f t="shared" si="55"/>
        <v>2020-08-13</v>
      </c>
    </row>
    <row r="470" spans="1:15" x14ac:dyDescent="0.2">
      <c r="A470" s="21" t="str">
        <f t="shared" si="49"/>
        <v>y</v>
      </c>
      <c r="B470" s="24">
        <v>44173</v>
      </c>
      <c r="C470" t="s">
        <v>235</v>
      </c>
      <c r="D470" t="s">
        <v>13</v>
      </c>
      <c r="E470" t="s">
        <v>43</v>
      </c>
      <c r="F470" t="s">
        <v>2</v>
      </c>
      <c r="H470" t="s">
        <v>1966</v>
      </c>
      <c r="I470" s="22" t="str">
        <f t="shared" si="50"/>
        <v>2020-08-12</v>
      </c>
      <c r="J470" s="23" t="str">
        <f t="shared" si="51"/>
        <v>44</v>
      </c>
      <c r="K470" t="str">
        <f t="shared" si="52"/>
        <v>yes</v>
      </c>
      <c r="L470">
        <v>44</v>
      </c>
      <c r="M470" t="str">
        <f t="shared" si="53"/>
        <v>2020-08-12</v>
      </c>
      <c r="N470" s="20">
        <f t="shared" si="54"/>
        <v>44056</v>
      </c>
      <c r="O470" t="str">
        <f t="shared" si="55"/>
        <v>2020-08-13</v>
      </c>
    </row>
    <row r="471" spans="1:15" x14ac:dyDescent="0.2">
      <c r="A471" s="21" t="str">
        <f t="shared" si="49"/>
        <v>y</v>
      </c>
      <c r="B471" s="24">
        <v>44143</v>
      </c>
      <c r="C471" t="s">
        <v>701</v>
      </c>
      <c r="D471" t="s">
        <v>13</v>
      </c>
      <c r="E471" t="s">
        <v>34</v>
      </c>
      <c r="F471" t="s">
        <v>2</v>
      </c>
      <c r="H471" t="s">
        <v>1982</v>
      </c>
      <c r="I471" s="22" t="str">
        <f t="shared" si="50"/>
        <v>2020-08-11</v>
      </c>
      <c r="J471" s="23" t="str">
        <f t="shared" si="51"/>
        <v>44</v>
      </c>
      <c r="K471" t="str">
        <f t="shared" si="52"/>
        <v>yes</v>
      </c>
      <c r="L471">
        <v>44</v>
      </c>
      <c r="M471" t="str">
        <f t="shared" si="53"/>
        <v>2020-08-11</v>
      </c>
      <c r="N471" s="20">
        <f t="shared" si="54"/>
        <v>44055</v>
      </c>
      <c r="O471" t="str">
        <f t="shared" si="55"/>
        <v>2020-08-12</v>
      </c>
    </row>
    <row r="472" spans="1:15" x14ac:dyDescent="0.2">
      <c r="A472" s="21" t="str">
        <f t="shared" si="49"/>
        <v>y</v>
      </c>
      <c r="B472" s="24">
        <v>44143</v>
      </c>
      <c r="C472" t="s">
        <v>901</v>
      </c>
      <c r="D472" t="s">
        <v>13</v>
      </c>
      <c r="E472" t="s">
        <v>27</v>
      </c>
      <c r="F472" t="s">
        <v>2</v>
      </c>
      <c r="H472" t="s">
        <v>1983</v>
      </c>
      <c r="I472" s="22" t="str">
        <f t="shared" si="50"/>
        <v>2020-08-11</v>
      </c>
      <c r="J472" s="23" t="str">
        <f t="shared" si="51"/>
        <v>44</v>
      </c>
      <c r="K472" t="str">
        <f t="shared" si="52"/>
        <v>yes</v>
      </c>
      <c r="L472">
        <v>44</v>
      </c>
      <c r="M472" t="str">
        <f t="shared" si="53"/>
        <v>2020-08-11</v>
      </c>
      <c r="N472" s="20">
        <f t="shared" si="54"/>
        <v>44055</v>
      </c>
      <c r="O472" t="str">
        <f t="shared" si="55"/>
        <v>2020-08-12</v>
      </c>
    </row>
    <row r="473" spans="1:15" x14ac:dyDescent="0.2">
      <c r="A473" s="21" t="str">
        <f t="shared" si="49"/>
        <v>y</v>
      </c>
      <c r="B473" s="24">
        <v>44143</v>
      </c>
      <c r="C473" t="s">
        <v>901</v>
      </c>
      <c r="D473" t="s">
        <v>13</v>
      </c>
      <c r="E473" t="s">
        <v>61</v>
      </c>
      <c r="F473" t="s">
        <v>29</v>
      </c>
      <c r="G473" t="s">
        <v>1324</v>
      </c>
      <c r="H473" t="s">
        <v>1977</v>
      </c>
      <c r="I473" s="22" t="str">
        <f t="shared" si="50"/>
        <v>2020-08-11</v>
      </c>
      <c r="J473" s="23" t="str">
        <f t="shared" si="51"/>
        <v>44</v>
      </c>
      <c r="K473" t="str">
        <f t="shared" si="52"/>
        <v>yes</v>
      </c>
      <c r="L473">
        <v>44</v>
      </c>
      <c r="M473" t="str">
        <f t="shared" si="53"/>
        <v>2020-08-11</v>
      </c>
      <c r="N473" s="20" t="str">
        <f t="shared" si="54"/>
        <v>2020-08-11</v>
      </c>
      <c r="O473" t="str">
        <f t="shared" si="55"/>
        <v>2020-08-11</v>
      </c>
    </row>
    <row r="474" spans="1:15" x14ac:dyDescent="0.2">
      <c r="A474" s="21" t="str">
        <f t="shared" si="49"/>
        <v>y</v>
      </c>
      <c r="B474" s="24">
        <v>44143</v>
      </c>
      <c r="C474" t="s">
        <v>235</v>
      </c>
      <c r="D474" t="s">
        <v>13</v>
      </c>
      <c r="E474" t="s">
        <v>43</v>
      </c>
      <c r="F474" t="s">
        <v>2</v>
      </c>
      <c r="H474" t="s">
        <v>1958</v>
      </c>
      <c r="I474" s="22" t="str">
        <f t="shared" si="50"/>
        <v>2020-08-11</v>
      </c>
      <c r="J474" s="23" t="str">
        <f t="shared" si="51"/>
        <v>44</v>
      </c>
      <c r="K474" t="str">
        <f t="shared" si="52"/>
        <v>yes</v>
      </c>
      <c r="L474">
        <v>44</v>
      </c>
      <c r="M474" t="str">
        <f t="shared" si="53"/>
        <v>2020-08-11</v>
      </c>
      <c r="N474" s="20">
        <f t="shared" si="54"/>
        <v>44055</v>
      </c>
      <c r="O474" t="str">
        <f t="shared" si="55"/>
        <v>2020-08-12</v>
      </c>
    </row>
    <row r="475" spans="1:15" x14ac:dyDescent="0.2">
      <c r="A475" s="21" t="str">
        <f t="shared" si="49"/>
        <v>y</v>
      </c>
      <c r="B475" s="24">
        <v>44143</v>
      </c>
      <c r="C475" t="s">
        <v>756</v>
      </c>
      <c r="D475" t="s">
        <v>13</v>
      </c>
      <c r="E475" t="s">
        <v>8</v>
      </c>
      <c r="F475" t="s">
        <v>29</v>
      </c>
      <c r="G475" t="s">
        <v>1323</v>
      </c>
      <c r="H475" t="s">
        <v>1982</v>
      </c>
      <c r="I475" s="22" t="str">
        <f t="shared" si="50"/>
        <v>2020-08-11</v>
      </c>
      <c r="J475" s="23" t="str">
        <f t="shared" si="51"/>
        <v>44</v>
      </c>
      <c r="K475" t="str">
        <f t="shared" si="52"/>
        <v>yes</v>
      </c>
      <c r="L475">
        <v>44</v>
      </c>
      <c r="M475" t="str">
        <f t="shared" si="53"/>
        <v>2020-08-11</v>
      </c>
      <c r="N475" s="20" t="str">
        <f t="shared" si="54"/>
        <v>2020-08-11</v>
      </c>
      <c r="O475" t="str">
        <f t="shared" si="55"/>
        <v>2020-08-11</v>
      </c>
    </row>
    <row r="476" spans="1:15" x14ac:dyDescent="0.2">
      <c r="A476" s="21" t="str">
        <f t="shared" si="49"/>
        <v>y</v>
      </c>
      <c r="B476" s="24">
        <v>44143</v>
      </c>
      <c r="C476" t="s">
        <v>235</v>
      </c>
      <c r="D476" t="s">
        <v>13</v>
      </c>
      <c r="E476" t="s">
        <v>31</v>
      </c>
      <c r="F476" t="s">
        <v>29</v>
      </c>
      <c r="G476" t="s">
        <v>1325</v>
      </c>
      <c r="H476" t="s">
        <v>1966</v>
      </c>
      <c r="I476" s="22" t="str">
        <f t="shared" si="50"/>
        <v>2020-08-11</v>
      </c>
      <c r="J476" s="23" t="str">
        <f t="shared" si="51"/>
        <v>44</v>
      </c>
      <c r="K476" t="str">
        <f t="shared" si="52"/>
        <v>yes</v>
      </c>
      <c r="L476">
        <v>44</v>
      </c>
      <c r="M476" t="str">
        <f t="shared" si="53"/>
        <v>2020-08-11</v>
      </c>
      <c r="N476" s="20" t="str">
        <f t="shared" si="54"/>
        <v>2020-08-11</v>
      </c>
      <c r="O476" t="str">
        <f t="shared" si="55"/>
        <v>2020-08-11</v>
      </c>
    </row>
    <row r="477" spans="1:15" x14ac:dyDescent="0.2">
      <c r="A477" s="21" t="str">
        <f t="shared" si="49"/>
        <v>y</v>
      </c>
      <c r="B477" s="24">
        <v>44112</v>
      </c>
      <c r="C477" t="s">
        <v>701</v>
      </c>
      <c r="D477" t="s">
        <v>13</v>
      </c>
      <c r="E477" t="s">
        <v>34</v>
      </c>
      <c r="F477" t="s">
        <v>2</v>
      </c>
      <c r="H477" t="s">
        <v>1982</v>
      </c>
      <c r="I477" s="22" t="str">
        <f t="shared" si="50"/>
        <v>2020-08-10</v>
      </c>
      <c r="J477" s="23" t="str">
        <f t="shared" si="51"/>
        <v>44</v>
      </c>
      <c r="K477" t="str">
        <f t="shared" si="52"/>
        <v>yes</v>
      </c>
      <c r="L477">
        <v>44</v>
      </c>
      <c r="M477" t="str">
        <f t="shared" si="53"/>
        <v>2020-08-10</v>
      </c>
      <c r="N477" s="20">
        <f t="shared" si="54"/>
        <v>44054</v>
      </c>
      <c r="O477" t="str">
        <f t="shared" si="55"/>
        <v>2020-08-11</v>
      </c>
    </row>
    <row r="478" spans="1:15" x14ac:dyDescent="0.2">
      <c r="A478" s="21" t="str">
        <f t="shared" si="49"/>
        <v>y</v>
      </c>
      <c r="B478" s="24">
        <v>44112</v>
      </c>
      <c r="C478" t="s">
        <v>901</v>
      </c>
      <c r="D478" t="s">
        <v>13</v>
      </c>
      <c r="E478" t="s">
        <v>27</v>
      </c>
      <c r="F478" t="s">
        <v>2</v>
      </c>
      <c r="G478" t="s">
        <v>1321</v>
      </c>
      <c r="H478" t="s">
        <v>1983</v>
      </c>
      <c r="I478" s="22" t="str">
        <f t="shared" si="50"/>
        <v>2020-08-10</v>
      </c>
      <c r="J478" s="23" t="str">
        <f t="shared" si="51"/>
        <v>44</v>
      </c>
      <c r="K478" t="str">
        <f t="shared" si="52"/>
        <v>yes</v>
      </c>
      <c r="L478">
        <v>44</v>
      </c>
      <c r="M478" t="str">
        <f t="shared" si="53"/>
        <v>2020-08-10</v>
      </c>
      <c r="N478" s="20">
        <f t="shared" si="54"/>
        <v>44054</v>
      </c>
      <c r="O478" t="str">
        <f t="shared" si="55"/>
        <v>2020-08-11</v>
      </c>
    </row>
    <row r="479" spans="1:15" x14ac:dyDescent="0.2">
      <c r="A479" s="21" t="str">
        <f t="shared" si="49"/>
        <v>y</v>
      </c>
      <c r="B479" s="24">
        <v>44112</v>
      </c>
      <c r="C479" t="s">
        <v>235</v>
      </c>
      <c r="D479" t="s">
        <v>13</v>
      </c>
      <c r="E479" t="s">
        <v>43</v>
      </c>
      <c r="F479" t="s">
        <v>2</v>
      </c>
      <c r="G479" t="s">
        <v>1322</v>
      </c>
      <c r="H479" t="s">
        <v>1962</v>
      </c>
      <c r="I479" s="22" t="str">
        <f t="shared" si="50"/>
        <v>2020-08-10</v>
      </c>
      <c r="J479" s="23" t="str">
        <f t="shared" si="51"/>
        <v>44</v>
      </c>
      <c r="K479" t="str">
        <f t="shared" si="52"/>
        <v>yes</v>
      </c>
      <c r="L479">
        <v>44</v>
      </c>
      <c r="M479" t="str">
        <f t="shared" si="53"/>
        <v>2020-08-10</v>
      </c>
      <c r="N479" s="20">
        <f t="shared" si="54"/>
        <v>44054</v>
      </c>
      <c r="O479" t="str">
        <f t="shared" si="55"/>
        <v>2020-08-11</v>
      </c>
    </row>
    <row r="480" spans="1:15" x14ac:dyDescent="0.2">
      <c r="A480" s="21" t="str">
        <f t="shared" si="49"/>
        <v>y</v>
      </c>
      <c r="B480" s="24">
        <v>44082</v>
      </c>
      <c r="C480" t="s">
        <v>964</v>
      </c>
      <c r="D480" t="s">
        <v>13</v>
      </c>
      <c r="E480" t="s">
        <v>27</v>
      </c>
      <c r="F480" t="s">
        <v>2</v>
      </c>
      <c r="H480" t="s">
        <v>1958</v>
      </c>
      <c r="I480" s="22" t="str">
        <f t="shared" si="50"/>
        <v>2020-08-09</v>
      </c>
      <c r="J480" s="23" t="str">
        <f t="shared" si="51"/>
        <v>44</v>
      </c>
      <c r="K480" t="str">
        <f t="shared" si="52"/>
        <v>yes</v>
      </c>
      <c r="L480">
        <v>44</v>
      </c>
      <c r="M480" t="str">
        <f t="shared" si="53"/>
        <v>2020-08-09</v>
      </c>
      <c r="N480" s="20">
        <f t="shared" si="54"/>
        <v>44053</v>
      </c>
      <c r="O480" t="str">
        <f t="shared" si="55"/>
        <v>2020-08-10</v>
      </c>
    </row>
    <row r="481" spans="1:15" x14ac:dyDescent="0.2">
      <c r="A481" s="21" t="str">
        <f t="shared" si="49"/>
        <v>y</v>
      </c>
      <c r="B481" s="24">
        <v>44082</v>
      </c>
      <c r="C481" t="s">
        <v>235</v>
      </c>
      <c r="D481" t="s">
        <v>13</v>
      </c>
      <c r="E481" t="s">
        <v>49</v>
      </c>
      <c r="F481" t="s">
        <v>29</v>
      </c>
      <c r="G481" t="s">
        <v>1318</v>
      </c>
      <c r="H481" t="s">
        <v>1966</v>
      </c>
      <c r="I481" s="22" t="str">
        <f t="shared" si="50"/>
        <v>2020-08-09</v>
      </c>
      <c r="J481" s="23" t="str">
        <f t="shared" si="51"/>
        <v>44</v>
      </c>
      <c r="K481" t="str">
        <f t="shared" si="52"/>
        <v>yes</v>
      </c>
      <c r="L481">
        <v>44</v>
      </c>
      <c r="M481" t="str">
        <f t="shared" si="53"/>
        <v>2020-08-09</v>
      </c>
      <c r="N481" s="20" t="str">
        <f t="shared" si="54"/>
        <v>2020-08-09</v>
      </c>
      <c r="O481" t="str">
        <f t="shared" si="55"/>
        <v>2020-08-09</v>
      </c>
    </row>
    <row r="482" spans="1:15" x14ac:dyDescent="0.2">
      <c r="A482" s="21" t="str">
        <f t="shared" si="49"/>
        <v>y</v>
      </c>
      <c r="B482" s="24">
        <v>44082</v>
      </c>
      <c r="C482" t="s">
        <v>701</v>
      </c>
      <c r="D482" t="s">
        <v>13</v>
      </c>
      <c r="E482" t="s">
        <v>34</v>
      </c>
      <c r="F482" t="s">
        <v>2</v>
      </c>
      <c r="G482" t="s">
        <v>1319</v>
      </c>
      <c r="H482" t="s">
        <v>1964</v>
      </c>
      <c r="I482" s="22" t="str">
        <f t="shared" si="50"/>
        <v>2020-08-09</v>
      </c>
      <c r="J482" s="23" t="str">
        <f t="shared" si="51"/>
        <v>44</v>
      </c>
      <c r="K482" t="str">
        <f t="shared" si="52"/>
        <v>yes</v>
      </c>
      <c r="L482">
        <v>44</v>
      </c>
      <c r="M482" t="str">
        <f t="shared" si="53"/>
        <v>2020-08-09</v>
      </c>
      <c r="N482" s="20">
        <f t="shared" si="54"/>
        <v>44053</v>
      </c>
      <c r="O482" t="str">
        <f t="shared" si="55"/>
        <v>2020-08-10</v>
      </c>
    </row>
    <row r="483" spans="1:15" x14ac:dyDescent="0.2">
      <c r="A483" s="21" t="str">
        <f t="shared" si="49"/>
        <v>y</v>
      </c>
      <c r="B483" s="24">
        <v>44082</v>
      </c>
      <c r="C483" t="s">
        <v>345</v>
      </c>
      <c r="D483" t="s">
        <v>13</v>
      </c>
      <c r="E483" t="s">
        <v>34</v>
      </c>
      <c r="F483" t="s">
        <v>29</v>
      </c>
      <c r="G483" t="s">
        <v>1320</v>
      </c>
      <c r="H483" t="s">
        <v>1962</v>
      </c>
      <c r="I483" s="22" t="str">
        <f t="shared" si="50"/>
        <v>2020-08-09</v>
      </c>
      <c r="J483" s="23" t="str">
        <f t="shared" si="51"/>
        <v>44</v>
      </c>
      <c r="K483" t="str">
        <f t="shared" si="52"/>
        <v>yes</v>
      </c>
      <c r="L483">
        <v>44</v>
      </c>
      <c r="M483" t="str">
        <f t="shared" si="53"/>
        <v>2020-08-09</v>
      </c>
      <c r="N483" s="20" t="str">
        <f t="shared" si="54"/>
        <v>2020-08-09</v>
      </c>
      <c r="O483" t="str">
        <f t="shared" si="55"/>
        <v>2020-08-09</v>
      </c>
    </row>
    <row r="484" spans="1:15" x14ac:dyDescent="0.2">
      <c r="A484" s="21" t="str">
        <f t="shared" si="49"/>
        <v>y</v>
      </c>
      <c r="B484" s="24">
        <v>43990</v>
      </c>
      <c r="C484" t="s">
        <v>964</v>
      </c>
      <c r="D484" t="s">
        <v>13</v>
      </c>
      <c r="E484" t="s">
        <v>27</v>
      </c>
      <c r="F484" t="s">
        <v>2</v>
      </c>
      <c r="H484" t="s">
        <v>1958</v>
      </c>
      <c r="I484" s="22" t="str">
        <f t="shared" si="50"/>
        <v>2020-08-06</v>
      </c>
      <c r="J484" s="23" t="str">
        <f t="shared" si="51"/>
        <v>43</v>
      </c>
      <c r="K484" t="str">
        <f t="shared" si="52"/>
        <v>yes</v>
      </c>
      <c r="L484">
        <v>43</v>
      </c>
      <c r="M484" t="str">
        <f t="shared" si="53"/>
        <v>2020-08-06</v>
      </c>
      <c r="N484" s="20">
        <f t="shared" si="54"/>
        <v>44050</v>
      </c>
      <c r="O484" t="str">
        <f t="shared" si="55"/>
        <v>2020-08-07</v>
      </c>
    </row>
    <row r="485" spans="1:15" x14ac:dyDescent="0.2">
      <c r="A485" s="21" t="str">
        <f t="shared" si="49"/>
        <v>y</v>
      </c>
      <c r="B485" s="24">
        <v>43990</v>
      </c>
      <c r="C485" t="s">
        <v>235</v>
      </c>
      <c r="D485" t="s">
        <v>13</v>
      </c>
      <c r="E485" t="s">
        <v>49</v>
      </c>
      <c r="F485" t="s">
        <v>2</v>
      </c>
      <c r="G485" t="s">
        <v>1317</v>
      </c>
      <c r="H485" t="s">
        <v>1966</v>
      </c>
      <c r="I485" s="22" t="str">
        <f t="shared" si="50"/>
        <v>2020-08-06</v>
      </c>
      <c r="J485" s="23" t="str">
        <f t="shared" si="51"/>
        <v>43</v>
      </c>
      <c r="K485" t="str">
        <f t="shared" si="52"/>
        <v>yes</v>
      </c>
      <c r="L485">
        <v>43</v>
      </c>
      <c r="M485" t="str">
        <f t="shared" si="53"/>
        <v>2020-08-06</v>
      </c>
      <c r="N485" s="20">
        <f t="shared" si="54"/>
        <v>44050</v>
      </c>
      <c r="O485" t="str">
        <f t="shared" si="55"/>
        <v>2020-08-07</v>
      </c>
    </row>
    <row r="486" spans="1:15" x14ac:dyDescent="0.2">
      <c r="A486" s="21" t="str">
        <f t="shared" si="49"/>
        <v>y</v>
      </c>
      <c r="B486" s="24">
        <v>43990</v>
      </c>
      <c r="C486" t="s">
        <v>701</v>
      </c>
      <c r="D486" t="s">
        <v>13</v>
      </c>
      <c r="E486" t="s">
        <v>34</v>
      </c>
      <c r="F486" t="s">
        <v>2</v>
      </c>
      <c r="G486" t="s">
        <v>1316</v>
      </c>
      <c r="H486" t="s">
        <v>1984</v>
      </c>
      <c r="I486" s="22" t="str">
        <f t="shared" si="50"/>
        <v>2020-08-06</v>
      </c>
      <c r="J486" s="23" t="str">
        <f t="shared" si="51"/>
        <v>43</v>
      </c>
      <c r="K486" t="str">
        <f t="shared" si="52"/>
        <v>yes</v>
      </c>
      <c r="L486">
        <v>43</v>
      </c>
      <c r="M486" t="str">
        <f t="shared" si="53"/>
        <v>2020-08-06</v>
      </c>
      <c r="N486" s="20">
        <f t="shared" si="54"/>
        <v>44050</v>
      </c>
      <c r="O486" t="str">
        <f t="shared" si="55"/>
        <v>2020-08-07</v>
      </c>
    </row>
    <row r="487" spans="1:15" x14ac:dyDescent="0.2">
      <c r="A487" s="21" t="str">
        <f t="shared" si="49"/>
        <v>y</v>
      </c>
      <c r="B487" s="24">
        <v>43990</v>
      </c>
      <c r="C487" t="s">
        <v>780</v>
      </c>
      <c r="D487" t="s">
        <v>13</v>
      </c>
      <c r="E487" t="s">
        <v>27</v>
      </c>
      <c r="F487" t="s">
        <v>29</v>
      </c>
      <c r="G487" t="s">
        <v>1315</v>
      </c>
      <c r="H487" t="s">
        <v>1982</v>
      </c>
      <c r="I487" s="22" t="str">
        <f t="shared" si="50"/>
        <v>2020-08-06</v>
      </c>
      <c r="J487" s="23" t="str">
        <f t="shared" si="51"/>
        <v>43</v>
      </c>
      <c r="K487" t="str">
        <f t="shared" si="52"/>
        <v>yes</v>
      </c>
      <c r="L487">
        <v>43</v>
      </c>
      <c r="M487" t="str">
        <f t="shared" si="53"/>
        <v>2020-08-06</v>
      </c>
      <c r="N487" s="20" t="str">
        <f t="shared" si="54"/>
        <v>2020-08-06</v>
      </c>
      <c r="O487" t="str">
        <f t="shared" si="55"/>
        <v>2020-08-06</v>
      </c>
    </row>
    <row r="488" spans="1:15" x14ac:dyDescent="0.2">
      <c r="A488" s="21" t="str">
        <f t="shared" si="49"/>
        <v>y</v>
      </c>
      <c r="B488" s="24">
        <v>43990</v>
      </c>
      <c r="C488" t="s">
        <v>901</v>
      </c>
      <c r="D488" t="s">
        <v>13</v>
      </c>
      <c r="E488" t="s">
        <v>27</v>
      </c>
      <c r="F488" t="s">
        <v>29</v>
      </c>
      <c r="G488" t="s">
        <v>1314</v>
      </c>
      <c r="H488" t="s">
        <v>1964</v>
      </c>
      <c r="I488" s="22" t="str">
        <f t="shared" si="50"/>
        <v>2020-08-06</v>
      </c>
      <c r="J488" s="23" t="str">
        <f t="shared" si="51"/>
        <v>43</v>
      </c>
      <c r="K488" t="str">
        <f t="shared" si="52"/>
        <v>yes</v>
      </c>
      <c r="L488">
        <v>43</v>
      </c>
      <c r="M488" t="str">
        <f t="shared" si="53"/>
        <v>2020-08-06</v>
      </c>
      <c r="N488" s="20" t="str">
        <f t="shared" si="54"/>
        <v>2020-08-06</v>
      </c>
      <c r="O488" t="str">
        <f t="shared" si="55"/>
        <v>2020-08-06</v>
      </c>
    </row>
    <row r="489" spans="1:15" x14ac:dyDescent="0.2">
      <c r="A489" s="21" t="str">
        <f t="shared" si="49"/>
        <v>y</v>
      </c>
      <c r="B489" s="24">
        <v>43990</v>
      </c>
      <c r="C489" t="s">
        <v>345</v>
      </c>
      <c r="D489" t="s">
        <v>13</v>
      </c>
      <c r="E489" t="s">
        <v>34</v>
      </c>
      <c r="F489" t="s">
        <v>2</v>
      </c>
      <c r="G489" t="s">
        <v>1313</v>
      </c>
      <c r="H489" t="s">
        <v>1962</v>
      </c>
      <c r="I489" s="22" t="str">
        <f t="shared" si="50"/>
        <v>2020-08-06</v>
      </c>
      <c r="J489" s="23" t="str">
        <f t="shared" si="51"/>
        <v>43</v>
      </c>
      <c r="K489" t="str">
        <f t="shared" si="52"/>
        <v>yes</v>
      </c>
      <c r="L489">
        <v>43</v>
      </c>
      <c r="M489" t="str">
        <f t="shared" si="53"/>
        <v>2020-08-06</v>
      </c>
      <c r="N489" s="20">
        <f t="shared" si="54"/>
        <v>44050</v>
      </c>
      <c r="O489" t="str">
        <f t="shared" si="55"/>
        <v>2020-08-07</v>
      </c>
    </row>
    <row r="490" spans="1:15" x14ac:dyDescent="0.2">
      <c r="A490" s="21" t="str">
        <f t="shared" si="49"/>
        <v>y</v>
      </c>
      <c r="B490" s="24">
        <v>43959</v>
      </c>
      <c r="C490" t="s">
        <v>964</v>
      </c>
      <c r="D490" t="s">
        <v>13</v>
      </c>
      <c r="E490" t="s">
        <v>27</v>
      </c>
      <c r="F490" t="s">
        <v>2</v>
      </c>
      <c r="H490" t="s">
        <v>1958</v>
      </c>
      <c r="I490" s="22" t="str">
        <f t="shared" si="50"/>
        <v>2020-08-05</v>
      </c>
      <c r="J490" s="23" t="str">
        <f t="shared" si="51"/>
        <v>43</v>
      </c>
      <c r="K490" t="str">
        <f t="shared" si="52"/>
        <v>yes</v>
      </c>
      <c r="L490">
        <v>43</v>
      </c>
      <c r="M490" t="str">
        <f t="shared" si="53"/>
        <v>2020-08-05</v>
      </c>
      <c r="N490" s="20">
        <f t="shared" si="54"/>
        <v>44049</v>
      </c>
      <c r="O490" t="str">
        <f t="shared" si="55"/>
        <v>2020-08-06</v>
      </c>
    </row>
    <row r="491" spans="1:15" x14ac:dyDescent="0.2">
      <c r="A491" s="21" t="str">
        <f t="shared" si="49"/>
        <v>y</v>
      </c>
      <c r="B491" s="24">
        <v>43959</v>
      </c>
      <c r="C491" t="s">
        <v>235</v>
      </c>
      <c r="D491" t="s">
        <v>13</v>
      </c>
      <c r="E491" t="s">
        <v>49</v>
      </c>
      <c r="F491" t="s">
        <v>2</v>
      </c>
      <c r="H491" t="s">
        <v>1966</v>
      </c>
      <c r="I491" s="22" t="str">
        <f t="shared" si="50"/>
        <v>2020-08-05</v>
      </c>
      <c r="J491" s="23" t="str">
        <f t="shared" si="51"/>
        <v>43</v>
      </c>
      <c r="K491" t="str">
        <f t="shared" si="52"/>
        <v>yes</v>
      </c>
      <c r="L491">
        <v>43</v>
      </c>
      <c r="M491" t="str">
        <f t="shared" si="53"/>
        <v>2020-08-05</v>
      </c>
      <c r="N491" s="20">
        <f t="shared" si="54"/>
        <v>44049</v>
      </c>
      <c r="O491" t="str">
        <f t="shared" si="55"/>
        <v>2020-08-06</v>
      </c>
    </row>
    <row r="492" spans="1:15" x14ac:dyDescent="0.2">
      <c r="A492" s="21" t="str">
        <f t="shared" si="49"/>
        <v>y</v>
      </c>
      <c r="B492" s="24">
        <v>43959</v>
      </c>
      <c r="C492" t="s">
        <v>701</v>
      </c>
      <c r="D492" t="s">
        <v>13</v>
      </c>
      <c r="E492" t="s">
        <v>115</v>
      </c>
      <c r="F492" t="s">
        <v>29</v>
      </c>
      <c r="G492" t="s">
        <v>1312</v>
      </c>
      <c r="H492" t="s">
        <v>1966</v>
      </c>
      <c r="I492" s="22" t="str">
        <f t="shared" si="50"/>
        <v>2020-08-05</v>
      </c>
      <c r="J492" s="23" t="str">
        <f t="shared" si="51"/>
        <v>43</v>
      </c>
      <c r="K492" t="str">
        <f t="shared" si="52"/>
        <v>yes</v>
      </c>
      <c r="L492">
        <v>43</v>
      </c>
      <c r="M492" t="str">
        <f t="shared" si="53"/>
        <v>2020-08-05</v>
      </c>
      <c r="N492" s="20" t="str">
        <f t="shared" si="54"/>
        <v>2020-08-05</v>
      </c>
      <c r="O492" t="str">
        <f t="shared" si="55"/>
        <v>2020-08-05</v>
      </c>
    </row>
    <row r="493" spans="1:15" x14ac:dyDescent="0.2">
      <c r="A493" s="21" t="str">
        <f t="shared" si="49"/>
        <v>y</v>
      </c>
      <c r="B493" s="24">
        <v>43959</v>
      </c>
      <c r="C493" t="s">
        <v>701</v>
      </c>
      <c r="D493" t="s">
        <v>13</v>
      </c>
      <c r="E493" t="s">
        <v>34</v>
      </c>
      <c r="F493" t="s">
        <v>2</v>
      </c>
      <c r="H493" t="s">
        <v>1962</v>
      </c>
      <c r="I493" s="22" t="str">
        <f t="shared" si="50"/>
        <v>2020-08-05</v>
      </c>
      <c r="J493" s="23" t="str">
        <f t="shared" si="51"/>
        <v>43</v>
      </c>
      <c r="K493" t="str">
        <f t="shared" si="52"/>
        <v>yes</v>
      </c>
      <c r="L493">
        <v>43</v>
      </c>
      <c r="M493" t="str">
        <f t="shared" si="53"/>
        <v>2020-08-05</v>
      </c>
      <c r="N493" s="20">
        <f t="shared" si="54"/>
        <v>44049</v>
      </c>
      <c r="O493" t="str">
        <f t="shared" si="55"/>
        <v>2020-08-06</v>
      </c>
    </row>
    <row r="494" spans="1:15" x14ac:dyDescent="0.2">
      <c r="A494" s="21" t="str">
        <f t="shared" si="49"/>
        <v>y</v>
      </c>
      <c r="B494" s="24">
        <v>43929</v>
      </c>
      <c r="C494" t="s">
        <v>964</v>
      </c>
      <c r="D494" t="s">
        <v>13</v>
      </c>
      <c r="E494" t="s">
        <v>27</v>
      </c>
      <c r="F494" t="s">
        <v>2</v>
      </c>
      <c r="G494" t="s">
        <v>1309</v>
      </c>
      <c r="H494" t="s">
        <v>1984</v>
      </c>
      <c r="I494" s="22" t="str">
        <f t="shared" si="50"/>
        <v>2020-08-04</v>
      </c>
      <c r="J494" s="23" t="str">
        <f t="shared" si="51"/>
        <v>43</v>
      </c>
      <c r="K494" t="str">
        <f t="shared" si="52"/>
        <v>yes</v>
      </c>
      <c r="L494">
        <v>43</v>
      </c>
      <c r="M494" t="str">
        <f t="shared" si="53"/>
        <v>2020-08-04</v>
      </c>
      <c r="N494" s="20">
        <f t="shared" si="54"/>
        <v>44048</v>
      </c>
      <c r="O494" t="str">
        <f t="shared" si="55"/>
        <v>2020-08-05</v>
      </c>
    </row>
    <row r="495" spans="1:15" x14ac:dyDescent="0.2">
      <c r="A495" s="21" t="str">
        <f t="shared" si="49"/>
        <v>y</v>
      </c>
      <c r="B495" s="24">
        <v>43929</v>
      </c>
      <c r="C495" t="s">
        <v>780</v>
      </c>
      <c r="D495" t="s">
        <v>13</v>
      </c>
      <c r="E495" t="s">
        <v>27</v>
      </c>
      <c r="F495" t="s">
        <v>2</v>
      </c>
      <c r="G495" t="s">
        <v>1308</v>
      </c>
      <c r="H495" t="s">
        <v>1958</v>
      </c>
      <c r="I495" s="22" t="str">
        <f t="shared" si="50"/>
        <v>2020-08-04</v>
      </c>
      <c r="J495" s="23" t="str">
        <f t="shared" si="51"/>
        <v>43</v>
      </c>
      <c r="K495" t="str">
        <f t="shared" si="52"/>
        <v>yes</v>
      </c>
      <c r="L495">
        <v>43</v>
      </c>
      <c r="M495" t="str">
        <f t="shared" si="53"/>
        <v>2020-08-04</v>
      </c>
      <c r="N495" s="20">
        <f t="shared" si="54"/>
        <v>44048</v>
      </c>
      <c r="O495" t="str">
        <f t="shared" si="55"/>
        <v>2020-08-05</v>
      </c>
    </row>
    <row r="496" spans="1:15" x14ac:dyDescent="0.2">
      <c r="A496" s="21" t="str">
        <f t="shared" si="49"/>
        <v>y</v>
      </c>
      <c r="B496" s="24">
        <v>43929</v>
      </c>
      <c r="C496" t="s">
        <v>235</v>
      </c>
      <c r="D496" t="s">
        <v>13</v>
      </c>
      <c r="E496" t="s">
        <v>49</v>
      </c>
      <c r="F496" t="s">
        <v>2</v>
      </c>
      <c r="H496" t="s">
        <v>1985</v>
      </c>
      <c r="I496" s="22" t="str">
        <f t="shared" si="50"/>
        <v>2020-08-04</v>
      </c>
      <c r="J496" s="23" t="str">
        <f t="shared" si="51"/>
        <v>43</v>
      </c>
      <c r="K496" t="str">
        <f t="shared" si="52"/>
        <v>yes</v>
      </c>
      <c r="L496">
        <v>43</v>
      </c>
      <c r="M496" t="str">
        <f t="shared" si="53"/>
        <v>2020-08-04</v>
      </c>
      <c r="N496" s="20">
        <f t="shared" si="54"/>
        <v>44048</v>
      </c>
      <c r="O496" t="str">
        <f t="shared" si="55"/>
        <v>2020-08-05</v>
      </c>
    </row>
    <row r="497" spans="1:15" x14ac:dyDescent="0.2">
      <c r="A497" s="21" t="str">
        <f t="shared" si="49"/>
        <v>y</v>
      </c>
      <c r="B497" s="24">
        <v>43929</v>
      </c>
      <c r="C497" t="s">
        <v>365</v>
      </c>
      <c r="D497" t="s">
        <v>13</v>
      </c>
      <c r="E497" t="s">
        <v>49</v>
      </c>
      <c r="F497" t="s">
        <v>29</v>
      </c>
      <c r="G497" t="s">
        <v>1310</v>
      </c>
      <c r="H497" t="s">
        <v>1966</v>
      </c>
      <c r="I497" s="22" t="str">
        <f t="shared" si="50"/>
        <v>2020-08-04</v>
      </c>
      <c r="J497" s="23" t="str">
        <f t="shared" si="51"/>
        <v>43</v>
      </c>
      <c r="K497" t="str">
        <f t="shared" si="52"/>
        <v>yes</v>
      </c>
      <c r="L497">
        <v>43</v>
      </c>
      <c r="M497" t="str">
        <f t="shared" si="53"/>
        <v>2020-08-04</v>
      </c>
      <c r="N497" s="20" t="str">
        <f t="shared" si="54"/>
        <v>2020-08-04</v>
      </c>
      <c r="O497" t="str">
        <f t="shared" si="55"/>
        <v>2020-08-04</v>
      </c>
    </row>
    <row r="498" spans="1:15" x14ac:dyDescent="0.2">
      <c r="A498" s="21" t="str">
        <f t="shared" si="49"/>
        <v>y</v>
      </c>
      <c r="B498" s="24">
        <v>43929</v>
      </c>
      <c r="C498" t="s">
        <v>701</v>
      </c>
      <c r="D498" t="s">
        <v>13</v>
      </c>
      <c r="E498" t="s">
        <v>43</v>
      </c>
      <c r="F498" t="s">
        <v>29</v>
      </c>
      <c r="G498" t="s">
        <v>1311</v>
      </c>
      <c r="H498" t="s">
        <v>1962</v>
      </c>
      <c r="I498" s="22" t="str">
        <f t="shared" si="50"/>
        <v>2020-08-04</v>
      </c>
      <c r="J498" s="23" t="str">
        <f t="shared" si="51"/>
        <v>43</v>
      </c>
      <c r="K498" t="str">
        <f t="shared" si="52"/>
        <v>yes</v>
      </c>
      <c r="L498">
        <v>43</v>
      </c>
      <c r="M498" t="str">
        <f t="shared" si="53"/>
        <v>2020-08-04</v>
      </c>
      <c r="N498" s="20" t="str">
        <f t="shared" si="54"/>
        <v>2020-08-04</v>
      </c>
      <c r="O498" t="str">
        <f t="shared" si="55"/>
        <v>2020-08-04</v>
      </c>
    </row>
    <row r="499" spans="1:15" x14ac:dyDescent="0.2">
      <c r="A499" s="21" t="str">
        <f t="shared" si="49"/>
        <v>y</v>
      </c>
      <c r="B499" s="24">
        <v>43898</v>
      </c>
      <c r="C499" t="s">
        <v>964</v>
      </c>
      <c r="D499" t="s">
        <v>13</v>
      </c>
      <c r="E499" t="s">
        <v>27</v>
      </c>
      <c r="F499" t="s">
        <v>2</v>
      </c>
      <c r="H499" t="s">
        <v>1984</v>
      </c>
      <c r="I499" s="22" t="str">
        <f t="shared" si="50"/>
        <v>2020-08-03</v>
      </c>
      <c r="J499" s="23" t="str">
        <f t="shared" si="51"/>
        <v>43</v>
      </c>
      <c r="K499" t="str">
        <f t="shared" si="52"/>
        <v>yes</v>
      </c>
      <c r="L499">
        <v>43</v>
      </c>
      <c r="M499" t="str">
        <f t="shared" si="53"/>
        <v>2020-08-03</v>
      </c>
      <c r="N499" s="20">
        <f t="shared" si="54"/>
        <v>44047</v>
      </c>
      <c r="O499" t="str">
        <f t="shared" si="55"/>
        <v>2020-08-04</v>
      </c>
    </row>
    <row r="500" spans="1:15" x14ac:dyDescent="0.2">
      <c r="A500" s="21" t="str">
        <f t="shared" si="49"/>
        <v>y</v>
      </c>
      <c r="B500" s="24">
        <v>43898</v>
      </c>
      <c r="C500" t="s">
        <v>780</v>
      </c>
      <c r="D500" t="s">
        <v>13</v>
      </c>
      <c r="E500" t="s">
        <v>27</v>
      </c>
      <c r="F500" t="s">
        <v>2</v>
      </c>
      <c r="G500" t="s">
        <v>1304</v>
      </c>
      <c r="H500" t="s">
        <v>1958</v>
      </c>
      <c r="I500" s="22" t="str">
        <f t="shared" si="50"/>
        <v>2020-08-03</v>
      </c>
      <c r="J500" s="23" t="str">
        <f t="shared" si="51"/>
        <v>43</v>
      </c>
      <c r="K500" t="str">
        <f t="shared" si="52"/>
        <v>yes</v>
      </c>
      <c r="L500">
        <v>43</v>
      </c>
      <c r="M500" t="str">
        <f t="shared" si="53"/>
        <v>2020-08-03</v>
      </c>
      <c r="N500" s="20">
        <f t="shared" si="54"/>
        <v>44047</v>
      </c>
      <c r="O500" t="str">
        <f t="shared" si="55"/>
        <v>2020-08-04</v>
      </c>
    </row>
    <row r="501" spans="1:15" x14ac:dyDescent="0.2">
      <c r="A501" s="21" t="str">
        <f t="shared" si="49"/>
        <v>y</v>
      </c>
      <c r="B501" s="24">
        <v>43898</v>
      </c>
      <c r="C501" t="s">
        <v>235</v>
      </c>
      <c r="D501" t="s">
        <v>13</v>
      </c>
      <c r="E501" t="s">
        <v>8</v>
      </c>
      <c r="F501" t="s">
        <v>29</v>
      </c>
      <c r="G501" t="s">
        <v>1306</v>
      </c>
      <c r="H501" t="s">
        <v>1958</v>
      </c>
      <c r="I501" s="22" t="str">
        <f t="shared" si="50"/>
        <v>2020-08-03</v>
      </c>
      <c r="J501" s="23" t="str">
        <f t="shared" si="51"/>
        <v>43</v>
      </c>
      <c r="K501" t="str">
        <f t="shared" si="52"/>
        <v>yes</v>
      </c>
      <c r="L501">
        <v>43</v>
      </c>
      <c r="M501" t="str">
        <f t="shared" si="53"/>
        <v>2020-08-03</v>
      </c>
      <c r="N501" s="20" t="str">
        <f t="shared" si="54"/>
        <v>2020-08-03</v>
      </c>
      <c r="O501" t="str">
        <f t="shared" si="55"/>
        <v>2020-08-03</v>
      </c>
    </row>
    <row r="502" spans="1:15" x14ac:dyDescent="0.2">
      <c r="A502" s="21" t="str">
        <f t="shared" si="49"/>
        <v>y</v>
      </c>
      <c r="B502" s="24">
        <v>43898</v>
      </c>
      <c r="C502" t="s">
        <v>235</v>
      </c>
      <c r="D502" t="s">
        <v>13</v>
      </c>
      <c r="E502" t="s">
        <v>8</v>
      </c>
      <c r="F502" t="s">
        <v>29</v>
      </c>
      <c r="G502" t="s">
        <v>1307</v>
      </c>
      <c r="H502" t="s">
        <v>1958</v>
      </c>
      <c r="I502" s="22" t="str">
        <f t="shared" si="50"/>
        <v>2020-08-03</v>
      </c>
      <c r="J502" s="23" t="str">
        <f t="shared" si="51"/>
        <v>43</v>
      </c>
      <c r="K502" t="str">
        <f t="shared" si="52"/>
        <v>yes</v>
      </c>
      <c r="L502">
        <v>43</v>
      </c>
      <c r="M502" t="str">
        <f t="shared" si="53"/>
        <v>2020-08-03</v>
      </c>
      <c r="N502" s="20" t="str">
        <f t="shared" si="54"/>
        <v>2020-08-03</v>
      </c>
      <c r="O502" t="str">
        <f t="shared" si="55"/>
        <v>2020-08-03</v>
      </c>
    </row>
    <row r="503" spans="1:15" x14ac:dyDescent="0.2">
      <c r="A503" s="21" t="str">
        <f t="shared" si="49"/>
        <v>y</v>
      </c>
      <c r="B503" s="24" t="s">
        <v>1680</v>
      </c>
      <c r="C503" t="s">
        <v>235</v>
      </c>
      <c r="D503" t="s">
        <v>13</v>
      </c>
      <c r="E503" t="s">
        <v>34</v>
      </c>
      <c r="F503" t="s">
        <v>29</v>
      </c>
      <c r="G503" t="s">
        <v>1300</v>
      </c>
      <c r="H503" t="s">
        <v>1962</v>
      </c>
      <c r="I503" s="22" t="str">
        <f t="shared" si="50"/>
        <v>2020-07-29</v>
      </c>
      <c r="J503" s="23" t="str">
        <f t="shared" si="51"/>
        <v>29</v>
      </c>
      <c r="K503" t="str">
        <f t="shared" si="52"/>
        <v>no</v>
      </c>
      <c r="L503">
        <v>29</v>
      </c>
      <c r="M503" t="str">
        <f t="shared" si="53"/>
        <v>2020-07-29</v>
      </c>
      <c r="N503" s="20" t="str">
        <f t="shared" si="54"/>
        <v>2020-07-29</v>
      </c>
      <c r="O503" t="str">
        <f t="shared" si="55"/>
        <v>2020-07-29</v>
      </c>
    </row>
    <row r="504" spans="1:15" x14ac:dyDescent="0.2">
      <c r="A504" s="21" t="str">
        <f t="shared" si="49"/>
        <v>y</v>
      </c>
      <c r="B504" s="24" t="s">
        <v>1680</v>
      </c>
      <c r="C504" t="s">
        <v>964</v>
      </c>
      <c r="D504" t="s">
        <v>13</v>
      </c>
      <c r="E504" t="s">
        <v>27</v>
      </c>
      <c r="F504" t="s">
        <v>2</v>
      </c>
      <c r="G504" t="s">
        <v>1302</v>
      </c>
      <c r="H504" t="s">
        <v>1966</v>
      </c>
      <c r="I504" s="22" t="str">
        <f t="shared" si="50"/>
        <v>2020-07-29</v>
      </c>
      <c r="J504" s="23" t="str">
        <f t="shared" si="51"/>
        <v>29</v>
      </c>
      <c r="K504" t="str">
        <f t="shared" si="52"/>
        <v>no</v>
      </c>
      <c r="L504">
        <v>29</v>
      </c>
      <c r="M504" t="str">
        <f t="shared" si="53"/>
        <v>2020-07-29</v>
      </c>
      <c r="N504" s="20">
        <f t="shared" si="54"/>
        <v>44042</v>
      </c>
      <c r="O504" t="str">
        <f t="shared" si="55"/>
        <v>2020-07-30</v>
      </c>
    </row>
    <row r="505" spans="1:15" x14ac:dyDescent="0.2">
      <c r="A505" s="21" t="str">
        <f t="shared" si="49"/>
        <v>y</v>
      </c>
      <c r="B505" s="24" t="s">
        <v>1680</v>
      </c>
      <c r="C505" t="s">
        <v>701</v>
      </c>
      <c r="D505" t="s">
        <v>13</v>
      </c>
      <c r="E505" t="s">
        <v>28</v>
      </c>
      <c r="F505" t="s">
        <v>29</v>
      </c>
      <c r="G505" t="s">
        <v>1299</v>
      </c>
      <c r="H505" t="s">
        <v>1984</v>
      </c>
      <c r="I505" s="22" t="str">
        <f t="shared" si="50"/>
        <v>2020-07-29</v>
      </c>
      <c r="J505" s="23" t="str">
        <f t="shared" si="51"/>
        <v>29</v>
      </c>
      <c r="K505" t="str">
        <f t="shared" si="52"/>
        <v>no</v>
      </c>
      <c r="L505">
        <v>29</v>
      </c>
      <c r="M505" t="str">
        <f t="shared" si="53"/>
        <v>2020-07-29</v>
      </c>
      <c r="N505" s="20" t="str">
        <f t="shared" si="54"/>
        <v>2020-07-29</v>
      </c>
      <c r="O505" t="str">
        <f t="shared" si="55"/>
        <v>2020-07-29</v>
      </c>
    </row>
    <row r="506" spans="1:15" x14ac:dyDescent="0.2">
      <c r="A506" s="21" t="str">
        <f t="shared" si="49"/>
        <v>y</v>
      </c>
      <c r="B506" s="24" t="s">
        <v>1680</v>
      </c>
      <c r="C506" t="s">
        <v>780</v>
      </c>
      <c r="D506" t="s">
        <v>13</v>
      </c>
      <c r="E506" t="s">
        <v>27</v>
      </c>
      <c r="F506" t="s">
        <v>2</v>
      </c>
      <c r="H506" t="s">
        <v>1984</v>
      </c>
      <c r="I506" s="22" t="str">
        <f t="shared" si="50"/>
        <v>2020-07-29</v>
      </c>
      <c r="J506" s="23" t="str">
        <f t="shared" si="51"/>
        <v>29</v>
      </c>
      <c r="K506" t="str">
        <f t="shared" si="52"/>
        <v>no</v>
      </c>
      <c r="L506">
        <v>29</v>
      </c>
      <c r="M506" t="str">
        <f t="shared" si="53"/>
        <v>2020-07-29</v>
      </c>
      <c r="N506" s="20">
        <f t="shared" si="54"/>
        <v>44042</v>
      </c>
      <c r="O506" t="str">
        <f t="shared" si="55"/>
        <v>2020-07-30</v>
      </c>
    </row>
    <row r="507" spans="1:15" x14ac:dyDescent="0.2">
      <c r="A507" s="21" t="str">
        <f t="shared" si="49"/>
        <v>y</v>
      </c>
      <c r="B507" s="24" t="s">
        <v>1680</v>
      </c>
      <c r="C507" t="s">
        <v>780</v>
      </c>
      <c r="D507" t="s">
        <v>13</v>
      </c>
      <c r="E507" t="s">
        <v>8</v>
      </c>
      <c r="F507" t="s">
        <v>29</v>
      </c>
      <c r="G507" t="s">
        <v>1303</v>
      </c>
      <c r="H507" t="s">
        <v>1958</v>
      </c>
      <c r="I507" s="22" t="str">
        <f t="shared" si="50"/>
        <v>2020-07-29</v>
      </c>
      <c r="J507" s="23" t="str">
        <f t="shared" si="51"/>
        <v>29</v>
      </c>
      <c r="K507" t="str">
        <f t="shared" si="52"/>
        <v>no</v>
      </c>
      <c r="L507">
        <v>29</v>
      </c>
      <c r="M507" t="str">
        <f t="shared" si="53"/>
        <v>2020-07-29</v>
      </c>
      <c r="N507" s="20" t="str">
        <f t="shared" si="54"/>
        <v>2020-07-29</v>
      </c>
      <c r="O507" t="str">
        <f t="shared" si="55"/>
        <v>2020-07-29</v>
      </c>
    </row>
    <row r="508" spans="1:15" x14ac:dyDescent="0.2">
      <c r="A508" s="21" t="str">
        <f t="shared" si="49"/>
        <v>y</v>
      </c>
      <c r="B508" s="24" t="s">
        <v>1681</v>
      </c>
      <c r="C508" t="s">
        <v>235</v>
      </c>
      <c r="D508" t="s">
        <v>13</v>
      </c>
      <c r="E508" t="s">
        <v>34</v>
      </c>
      <c r="F508" t="s">
        <v>2</v>
      </c>
      <c r="H508" t="s">
        <v>1962</v>
      </c>
      <c r="I508" s="22" t="str">
        <f t="shared" si="50"/>
        <v>2020-07-28</v>
      </c>
      <c r="J508" s="23" t="str">
        <f t="shared" si="51"/>
        <v>28</v>
      </c>
      <c r="K508" t="str">
        <f t="shared" si="52"/>
        <v>no</v>
      </c>
      <c r="L508">
        <v>28</v>
      </c>
      <c r="M508" t="str">
        <f t="shared" si="53"/>
        <v>2020-07-28</v>
      </c>
      <c r="N508" s="20">
        <f t="shared" si="54"/>
        <v>44041</v>
      </c>
      <c r="O508" t="str">
        <f t="shared" si="55"/>
        <v>2020-07-29</v>
      </c>
    </row>
    <row r="509" spans="1:15" x14ac:dyDescent="0.2">
      <c r="A509" s="21" t="str">
        <f t="shared" si="49"/>
        <v>y</v>
      </c>
      <c r="B509" s="24" t="s">
        <v>1681</v>
      </c>
      <c r="C509" t="s">
        <v>235</v>
      </c>
      <c r="D509" t="s">
        <v>13</v>
      </c>
      <c r="E509" t="s">
        <v>42</v>
      </c>
      <c r="F509" t="s">
        <v>29</v>
      </c>
      <c r="G509" t="s">
        <v>1297</v>
      </c>
      <c r="H509" t="s">
        <v>1986</v>
      </c>
      <c r="I509" s="22" t="str">
        <f t="shared" si="50"/>
        <v>2020-07-28</v>
      </c>
      <c r="J509" s="23" t="str">
        <f t="shared" si="51"/>
        <v>28</v>
      </c>
      <c r="K509" t="str">
        <f t="shared" si="52"/>
        <v>no</v>
      </c>
      <c r="L509">
        <v>28</v>
      </c>
      <c r="M509" t="str">
        <f t="shared" si="53"/>
        <v>2020-07-28</v>
      </c>
      <c r="N509" s="20" t="str">
        <f t="shared" si="54"/>
        <v>2020-07-28</v>
      </c>
      <c r="O509" t="str">
        <f t="shared" si="55"/>
        <v>2020-07-28</v>
      </c>
    </row>
    <row r="510" spans="1:15" x14ac:dyDescent="0.2">
      <c r="A510" s="21" t="str">
        <f t="shared" si="49"/>
        <v>y</v>
      </c>
      <c r="B510" s="24" t="s">
        <v>1681</v>
      </c>
      <c r="C510" t="s">
        <v>235</v>
      </c>
      <c r="D510" t="s">
        <v>13</v>
      </c>
      <c r="E510" t="s">
        <v>43</v>
      </c>
      <c r="F510" t="s">
        <v>29</v>
      </c>
      <c r="G510" t="s">
        <v>1296</v>
      </c>
      <c r="H510" t="s">
        <v>1987</v>
      </c>
      <c r="I510" s="22" t="str">
        <f t="shared" si="50"/>
        <v>2020-07-28</v>
      </c>
      <c r="J510" s="23" t="str">
        <f t="shared" si="51"/>
        <v>28</v>
      </c>
      <c r="K510" t="str">
        <f t="shared" si="52"/>
        <v>no</v>
      </c>
      <c r="L510">
        <v>28</v>
      </c>
      <c r="M510" t="str">
        <f t="shared" si="53"/>
        <v>2020-07-28</v>
      </c>
      <c r="N510" s="20" t="str">
        <f t="shared" si="54"/>
        <v>2020-07-28</v>
      </c>
      <c r="O510" t="str">
        <f t="shared" si="55"/>
        <v>2020-07-28</v>
      </c>
    </row>
    <row r="511" spans="1:15" x14ac:dyDescent="0.2">
      <c r="A511" s="21" t="str">
        <f t="shared" si="49"/>
        <v>y</v>
      </c>
      <c r="B511" s="24" t="s">
        <v>1681</v>
      </c>
      <c r="C511" t="s">
        <v>964</v>
      </c>
      <c r="D511" t="s">
        <v>13</v>
      </c>
      <c r="E511" t="s">
        <v>27</v>
      </c>
      <c r="F511" t="s">
        <v>2</v>
      </c>
      <c r="G511" t="s">
        <v>1301</v>
      </c>
      <c r="H511" t="s">
        <v>1958</v>
      </c>
      <c r="I511" s="22" t="str">
        <f t="shared" si="50"/>
        <v>2020-07-28</v>
      </c>
      <c r="J511" s="23" t="str">
        <f t="shared" si="51"/>
        <v>28</v>
      </c>
      <c r="K511" t="str">
        <f t="shared" si="52"/>
        <v>no</v>
      </c>
      <c r="L511">
        <v>28</v>
      </c>
      <c r="M511" t="str">
        <f t="shared" si="53"/>
        <v>2020-07-28</v>
      </c>
      <c r="N511" s="20">
        <f t="shared" si="54"/>
        <v>44041</v>
      </c>
      <c r="O511" t="str">
        <f t="shared" si="55"/>
        <v>2020-07-29</v>
      </c>
    </row>
    <row r="512" spans="1:15" x14ac:dyDescent="0.2">
      <c r="A512" s="21" t="str">
        <f t="shared" si="49"/>
        <v>y</v>
      </c>
      <c r="B512" s="24" t="s">
        <v>1681</v>
      </c>
      <c r="C512" t="s">
        <v>1265</v>
      </c>
      <c r="D512" t="s">
        <v>13</v>
      </c>
      <c r="E512" t="s">
        <v>27</v>
      </c>
      <c r="F512" t="s">
        <v>2</v>
      </c>
      <c r="G512" t="s">
        <v>1305</v>
      </c>
      <c r="H512" t="s">
        <v>1958</v>
      </c>
      <c r="I512" s="22" t="str">
        <f t="shared" si="50"/>
        <v>2020-07-28</v>
      </c>
      <c r="J512" s="23" t="str">
        <f t="shared" si="51"/>
        <v>28</v>
      </c>
      <c r="K512" t="str">
        <f t="shared" si="52"/>
        <v>no</v>
      </c>
      <c r="L512">
        <v>28</v>
      </c>
      <c r="M512" t="str">
        <f t="shared" si="53"/>
        <v>2020-07-28</v>
      </c>
      <c r="N512" s="20">
        <f t="shared" si="54"/>
        <v>44041</v>
      </c>
      <c r="O512" t="str">
        <f t="shared" si="55"/>
        <v>2020-07-29</v>
      </c>
    </row>
    <row r="513" spans="1:15" x14ac:dyDescent="0.2">
      <c r="A513" s="21" t="str">
        <f t="shared" si="49"/>
        <v>y</v>
      </c>
      <c r="B513" s="24" t="s">
        <v>1681</v>
      </c>
      <c r="C513" t="s">
        <v>1290</v>
      </c>
      <c r="D513" t="s">
        <v>13</v>
      </c>
      <c r="E513" t="s">
        <v>27</v>
      </c>
      <c r="F513" t="s">
        <v>29</v>
      </c>
      <c r="G513" t="s">
        <v>1298</v>
      </c>
      <c r="H513" t="s">
        <v>1958</v>
      </c>
      <c r="I513" s="22" t="str">
        <f t="shared" si="50"/>
        <v>2020-07-28</v>
      </c>
      <c r="J513" s="23" t="str">
        <f t="shared" si="51"/>
        <v>28</v>
      </c>
      <c r="K513" t="str">
        <f t="shared" si="52"/>
        <v>no</v>
      </c>
      <c r="L513">
        <v>28</v>
      </c>
      <c r="M513" t="str">
        <f t="shared" si="53"/>
        <v>2020-07-28</v>
      </c>
      <c r="N513" s="20" t="str">
        <f t="shared" si="54"/>
        <v>2020-07-28</v>
      </c>
      <c r="O513" t="str">
        <f t="shared" si="55"/>
        <v>2020-07-28</v>
      </c>
    </row>
    <row r="514" spans="1:15" x14ac:dyDescent="0.2">
      <c r="A514" s="21" t="str">
        <f t="shared" si="49"/>
        <v>y</v>
      </c>
      <c r="B514" s="24" t="s">
        <v>1682</v>
      </c>
      <c r="C514" t="s">
        <v>235</v>
      </c>
      <c r="D514" t="s">
        <v>13</v>
      </c>
      <c r="E514" t="s">
        <v>34</v>
      </c>
      <c r="F514" t="s">
        <v>2</v>
      </c>
      <c r="H514" t="s">
        <v>1962</v>
      </c>
      <c r="I514" s="22" t="str">
        <f t="shared" si="50"/>
        <v>2020-07-27</v>
      </c>
      <c r="J514" s="23" t="str">
        <f t="shared" si="51"/>
        <v>27</v>
      </c>
      <c r="K514" t="str">
        <f t="shared" si="52"/>
        <v>no</v>
      </c>
      <c r="L514">
        <v>27</v>
      </c>
      <c r="M514" t="str">
        <f t="shared" si="53"/>
        <v>2020-07-27</v>
      </c>
      <c r="N514" s="20">
        <f t="shared" si="54"/>
        <v>44040</v>
      </c>
      <c r="O514" t="str">
        <f t="shared" si="55"/>
        <v>2020-07-28</v>
      </c>
    </row>
    <row r="515" spans="1:15" x14ac:dyDescent="0.2">
      <c r="A515" s="21" t="str">
        <f t="shared" si="49"/>
        <v>y</v>
      </c>
      <c r="B515" s="24" t="s">
        <v>1682</v>
      </c>
      <c r="C515" t="s">
        <v>235</v>
      </c>
      <c r="D515" t="s">
        <v>13</v>
      </c>
      <c r="E515" t="s">
        <v>42</v>
      </c>
      <c r="F515" t="s">
        <v>2</v>
      </c>
      <c r="H515" t="s">
        <v>1986</v>
      </c>
      <c r="I515" s="22" t="str">
        <f t="shared" si="50"/>
        <v>2020-07-27</v>
      </c>
      <c r="J515" s="23" t="str">
        <f t="shared" si="51"/>
        <v>27</v>
      </c>
      <c r="K515" t="str">
        <f t="shared" si="52"/>
        <v>no</v>
      </c>
      <c r="L515">
        <v>27</v>
      </c>
      <c r="M515" t="str">
        <f t="shared" si="53"/>
        <v>2020-07-27</v>
      </c>
      <c r="N515" s="20">
        <f t="shared" si="54"/>
        <v>44040</v>
      </c>
      <c r="O515" t="str">
        <f t="shared" si="55"/>
        <v>2020-07-28</v>
      </c>
    </row>
    <row r="516" spans="1:15" x14ac:dyDescent="0.2">
      <c r="A516" s="21" t="str">
        <f t="shared" ref="A516:A579" si="56">IF(LEFT(B516,2)&gt;12,"y","-")</f>
        <v>y</v>
      </c>
      <c r="B516" s="24" t="s">
        <v>1682</v>
      </c>
      <c r="C516" t="s">
        <v>235</v>
      </c>
      <c r="D516" t="s">
        <v>13</v>
      </c>
      <c r="E516" t="s">
        <v>43</v>
      </c>
      <c r="F516" t="s">
        <v>2</v>
      </c>
      <c r="G516" t="s">
        <v>1295</v>
      </c>
      <c r="H516" t="s">
        <v>1987</v>
      </c>
      <c r="I516" s="22" t="str">
        <f t="shared" ref="I516:I579" si="57">IF(K516="yes",TEXT(B516,"YYYY-DD-MM"),TEXT(B516,"YYYY-MM-DD"))</f>
        <v>2020-07-27</v>
      </c>
      <c r="J516" s="23" t="str">
        <f t="shared" ref="J516:J579" si="58">LEFT(B516,2)</f>
        <v>27</v>
      </c>
      <c r="K516" t="str">
        <f t="shared" ref="K516:K579" si="59">IF(L516&gt;31,"yes","no")</f>
        <v>no</v>
      </c>
      <c r="L516">
        <v>27</v>
      </c>
      <c r="M516" t="str">
        <f t="shared" ref="M516:M579" si="60">I516</f>
        <v>2020-07-27</v>
      </c>
      <c r="N516" s="20">
        <f t="shared" ref="N516:N579" si="61">IF(F516="DONE",M516,M516+1)</f>
        <v>44040</v>
      </c>
      <c r="O516" t="str">
        <f t="shared" ref="O516:O579" si="62">TEXT(N516,"YYYY-MM-DD")</f>
        <v>2020-07-28</v>
      </c>
    </row>
    <row r="517" spans="1:15" x14ac:dyDescent="0.2">
      <c r="A517" s="21" t="str">
        <f t="shared" si="56"/>
        <v>y</v>
      </c>
      <c r="B517" s="24" t="s">
        <v>1682</v>
      </c>
      <c r="C517" t="s">
        <v>964</v>
      </c>
      <c r="D517" t="s">
        <v>13</v>
      </c>
      <c r="E517" t="s">
        <v>27</v>
      </c>
      <c r="F517" t="s">
        <v>2</v>
      </c>
      <c r="H517" t="s">
        <v>1958</v>
      </c>
      <c r="I517" s="22" t="str">
        <f t="shared" si="57"/>
        <v>2020-07-27</v>
      </c>
      <c r="J517" s="23" t="str">
        <f t="shared" si="58"/>
        <v>27</v>
      </c>
      <c r="K517" t="str">
        <f t="shared" si="59"/>
        <v>no</v>
      </c>
      <c r="L517">
        <v>27</v>
      </c>
      <c r="M517" t="str">
        <f t="shared" si="60"/>
        <v>2020-07-27</v>
      </c>
      <c r="N517" s="20">
        <f t="shared" si="61"/>
        <v>44040</v>
      </c>
      <c r="O517" t="str">
        <f t="shared" si="62"/>
        <v>2020-07-28</v>
      </c>
    </row>
    <row r="518" spans="1:15" x14ac:dyDescent="0.2">
      <c r="A518" s="21" t="str">
        <f t="shared" si="56"/>
        <v>y</v>
      </c>
      <c r="B518" s="24" t="s">
        <v>1682</v>
      </c>
      <c r="C518" t="s">
        <v>1265</v>
      </c>
      <c r="D518" t="s">
        <v>13</v>
      </c>
      <c r="E518" t="s">
        <v>27</v>
      </c>
      <c r="F518" t="s">
        <v>2</v>
      </c>
      <c r="H518" t="s">
        <v>1958</v>
      </c>
      <c r="I518" s="22" t="str">
        <f t="shared" si="57"/>
        <v>2020-07-27</v>
      </c>
      <c r="J518" s="23" t="str">
        <f t="shared" si="58"/>
        <v>27</v>
      </c>
      <c r="K518" t="str">
        <f t="shared" si="59"/>
        <v>no</v>
      </c>
      <c r="L518">
        <v>27</v>
      </c>
      <c r="M518" t="str">
        <f t="shared" si="60"/>
        <v>2020-07-27</v>
      </c>
      <c r="N518" s="20">
        <f t="shared" si="61"/>
        <v>44040</v>
      </c>
      <c r="O518" t="str">
        <f t="shared" si="62"/>
        <v>2020-07-28</v>
      </c>
    </row>
    <row r="519" spans="1:15" x14ac:dyDescent="0.2">
      <c r="A519" s="21" t="str">
        <f t="shared" si="56"/>
        <v>y</v>
      </c>
      <c r="B519" s="24" t="s">
        <v>1682</v>
      </c>
      <c r="C519" t="s">
        <v>1290</v>
      </c>
      <c r="D519" t="s">
        <v>13</v>
      </c>
      <c r="E519" t="s">
        <v>27</v>
      </c>
      <c r="F519" t="s">
        <v>2</v>
      </c>
      <c r="H519" t="s">
        <v>1958</v>
      </c>
      <c r="I519" s="22" t="str">
        <f t="shared" si="57"/>
        <v>2020-07-27</v>
      </c>
      <c r="J519" s="23" t="str">
        <f t="shared" si="58"/>
        <v>27</v>
      </c>
      <c r="K519" t="str">
        <f t="shared" si="59"/>
        <v>no</v>
      </c>
      <c r="L519">
        <v>27</v>
      </c>
      <c r="M519" t="str">
        <f t="shared" si="60"/>
        <v>2020-07-27</v>
      </c>
      <c r="N519" s="20">
        <f t="shared" si="61"/>
        <v>44040</v>
      </c>
      <c r="O519" t="str">
        <f t="shared" si="62"/>
        <v>2020-07-28</v>
      </c>
    </row>
    <row r="520" spans="1:15" x14ac:dyDescent="0.2">
      <c r="A520" s="21" t="str">
        <f t="shared" si="56"/>
        <v>y</v>
      </c>
      <c r="B520" s="24" t="s">
        <v>1683</v>
      </c>
      <c r="C520" t="s">
        <v>235</v>
      </c>
      <c r="D520" t="s">
        <v>13</v>
      </c>
      <c r="E520" t="s">
        <v>34</v>
      </c>
      <c r="F520" t="s">
        <v>2</v>
      </c>
      <c r="G520" t="s">
        <v>1289</v>
      </c>
      <c r="H520" t="s">
        <v>1962</v>
      </c>
      <c r="I520" s="22" t="str">
        <f t="shared" si="57"/>
        <v>2020-07-26</v>
      </c>
      <c r="J520" s="23" t="str">
        <f t="shared" si="58"/>
        <v>26</v>
      </c>
      <c r="K520" t="str">
        <f t="shared" si="59"/>
        <v>no</v>
      </c>
      <c r="L520">
        <v>26</v>
      </c>
      <c r="M520" t="str">
        <f t="shared" si="60"/>
        <v>2020-07-26</v>
      </c>
      <c r="N520" s="20">
        <f t="shared" si="61"/>
        <v>44039</v>
      </c>
      <c r="O520" t="str">
        <f t="shared" si="62"/>
        <v>2020-07-27</v>
      </c>
    </row>
    <row r="521" spans="1:15" x14ac:dyDescent="0.2">
      <c r="A521" s="21" t="str">
        <f t="shared" si="56"/>
        <v>y</v>
      </c>
      <c r="B521" s="24" t="s">
        <v>1683</v>
      </c>
      <c r="C521" t="s">
        <v>964</v>
      </c>
      <c r="D521" t="s">
        <v>13</v>
      </c>
      <c r="E521" t="s">
        <v>27</v>
      </c>
      <c r="F521" t="s">
        <v>2</v>
      </c>
      <c r="G521" t="s">
        <v>1294</v>
      </c>
      <c r="H521" t="s">
        <v>1986</v>
      </c>
      <c r="I521" s="22" t="str">
        <f t="shared" si="57"/>
        <v>2020-07-26</v>
      </c>
      <c r="J521" s="23" t="str">
        <f t="shared" si="58"/>
        <v>26</v>
      </c>
      <c r="K521" t="str">
        <f t="shared" si="59"/>
        <v>no</v>
      </c>
      <c r="L521">
        <v>26</v>
      </c>
      <c r="M521" t="str">
        <f t="shared" si="60"/>
        <v>2020-07-26</v>
      </c>
      <c r="N521" s="20">
        <f t="shared" si="61"/>
        <v>44039</v>
      </c>
      <c r="O521" t="str">
        <f t="shared" si="62"/>
        <v>2020-07-27</v>
      </c>
    </row>
    <row r="522" spans="1:15" x14ac:dyDescent="0.2">
      <c r="A522" s="21" t="str">
        <f t="shared" si="56"/>
        <v>y</v>
      </c>
      <c r="B522" s="24" t="s">
        <v>1683</v>
      </c>
      <c r="C522" t="s">
        <v>1265</v>
      </c>
      <c r="D522" t="s">
        <v>13</v>
      </c>
      <c r="E522" t="s">
        <v>27</v>
      </c>
      <c r="F522" t="s">
        <v>2</v>
      </c>
      <c r="H522" t="s">
        <v>1987</v>
      </c>
      <c r="I522" s="22" t="str">
        <f t="shared" si="57"/>
        <v>2020-07-26</v>
      </c>
      <c r="J522" s="23" t="str">
        <f t="shared" si="58"/>
        <v>26</v>
      </c>
      <c r="K522" t="str">
        <f t="shared" si="59"/>
        <v>no</v>
      </c>
      <c r="L522">
        <v>26</v>
      </c>
      <c r="M522" t="str">
        <f t="shared" si="60"/>
        <v>2020-07-26</v>
      </c>
      <c r="N522" s="20">
        <f t="shared" si="61"/>
        <v>44039</v>
      </c>
      <c r="O522" t="str">
        <f t="shared" si="62"/>
        <v>2020-07-27</v>
      </c>
    </row>
    <row r="523" spans="1:15" x14ac:dyDescent="0.2">
      <c r="A523" s="21" t="str">
        <f t="shared" si="56"/>
        <v>y</v>
      </c>
      <c r="B523" s="24" t="s">
        <v>1683</v>
      </c>
      <c r="C523" t="s">
        <v>1290</v>
      </c>
      <c r="D523" t="s">
        <v>13</v>
      </c>
      <c r="E523" t="s">
        <v>27</v>
      </c>
      <c r="F523" t="s">
        <v>2</v>
      </c>
      <c r="G523" t="s">
        <v>1292</v>
      </c>
      <c r="H523" t="s">
        <v>1958</v>
      </c>
      <c r="I523" s="22" t="str">
        <f t="shared" si="57"/>
        <v>2020-07-26</v>
      </c>
      <c r="J523" s="23" t="str">
        <f t="shared" si="58"/>
        <v>26</v>
      </c>
      <c r="K523" t="str">
        <f t="shared" si="59"/>
        <v>no</v>
      </c>
      <c r="L523">
        <v>26</v>
      </c>
      <c r="M523" t="str">
        <f t="shared" si="60"/>
        <v>2020-07-26</v>
      </c>
      <c r="N523" s="20">
        <f t="shared" si="61"/>
        <v>44039</v>
      </c>
      <c r="O523" t="str">
        <f t="shared" si="62"/>
        <v>2020-07-27</v>
      </c>
    </row>
    <row r="524" spans="1:15" x14ac:dyDescent="0.2">
      <c r="A524" s="21" t="str">
        <f t="shared" si="56"/>
        <v>y</v>
      </c>
      <c r="B524" s="24" t="s">
        <v>1683</v>
      </c>
      <c r="C524" t="s">
        <v>235</v>
      </c>
      <c r="D524" t="s">
        <v>13</v>
      </c>
      <c r="E524" t="s">
        <v>115</v>
      </c>
      <c r="F524" t="s">
        <v>29</v>
      </c>
      <c r="G524" t="s">
        <v>1293</v>
      </c>
      <c r="H524" t="s">
        <v>1958</v>
      </c>
      <c r="I524" s="22" t="str">
        <f t="shared" si="57"/>
        <v>2020-07-26</v>
      </c>
      <c r="J524" s="23" t="str">
        <f t="shared" si="58"/>
        <v>26</v>
      </c>
      <c r="K524" t="str">
        <f t="shared" si="59"/>
        <v>no</v>
      </c>
      <c r="L524">
        <v>26</v>
      </c>
      <c r="M524" t="str">
        <f t="shared" si="60"/>
        <v>2020-07-26</v>
      </c>
      <c r="N524" s="20" t="str">
        <f t="shared" si="61"/>
        <v>2020-07-26</v>
      </c>
      <c r="O524" t="str">
        <f t="shared" si="62"/>
        <v>2020-07-26</v>
      </c>
    </row>
    <row r="525" spans="1:15" x14ac:dyDescent="0.2">
      <c r="A525" s="21" t="str">
        <f t="shared" si="56"/>
        <v>y</v>
      </c>
      <c r="B525" s="24" t="s">
        <v>1684</v>
      </c>
      <c r="C525" t="s">
        <v>235</v>
      </c>
      <c r="D525" t="s">
        <v>13</v>
      </c>
      <c r="E525" t="s">
        <v>34</v>
      </c>
      <c r="F525" t="s">
        <v>2</v>
      </c>
      <c r="G525" t="s">
        <v>1289</v>
      </c>
      <c r="H525" t="s">
        <v>1978</v>
      </c>
      <c r="I525" s="22" t="str">
        <f t="shared" si="57"/>
        <v>2020-07-23</v>
      </c>
      <c r="J525" s="23" t="str">
        <f t="shared" si="58"/>
        <v>23</v>
      </c>
      <c r="K525" t="str">
        <f t="shared" si="59"/>
        <v>no</v>
      </c>
      <c r="L525">
        <v>23</v>
      </c>
      <c r="M525" t="str">
        <f t="shared" si="60"/>
        <v>2020-07-23</v>
      </c>
      <c r="N525" s="20">
        <f t="shared" si="61"/>
        <v>44036</v>
      </c>
      <c r="O525" t="str">
        <f t="shared" si="62"/>
        <v>2020-07-24</v>
      </c>
    </row>
    <row r="526" spans="1:15" x14ac:dyDescent="0.2">
      <c r="A526" s="21" t="str">
        <f t="shared" si="56"/>
        <v>y</v>
      </c>
      <c r="B526" s="24" t="s">
        <v>1684</v>
      </c>
      <c r="C526" t="s">
        <v>975</v>
      </c>
      <c r="D526" t="s">
        <v>13</v>
      </c>
      <c r="E526" t="s">
        <v>27</v>
      </c>
      <c r="F526" t="s">
        <v>29</v>
      </c>
      <c r="G526" t="s">
        <v>1291</v>
      </c>
      <c r="H526" t="s">
        <v>1962</v>
      </c>
      <c r="I526" s="22" t="str">
        <f t="shared" si="57"/>
        <v>2020-07-23</v>
      </c>
      <c r="J526" s="23" t="str">
        <f t="shared" si="58"/>
        <v>23</v>
      </c>
      <c r="K526" t="str">
        <f t="shared" si="59"/>
        <v>no</v>
      </c>
      <c r="L526">
        <v>23</v>
      </c>
      <c r="M526" t="str">
        <f t="shared" si="60"/>
        <v>2020-07-23</v>
      </c>
      <c r="N526" s="20" t="str">
        <f t="shared" si="61"/>
        <v>2020-07-23</v>
      </c>
      <c r="O526" t="str">
        <f t="shared" si="62"/>
        <v>2020-07-23</v>
      </c>
    </row>
    <row r="527" spans="1:15" x14ac:dyDescent="0.2">
      <c r="A527" s="21" t="str">
        <f t="shared" si="56"/>
        <v>y</v>
      </c>
      <c r="B527" s="24" t="s">
        <v>1684</v>
      </c>
      <c r="C527" t="s">
        <v>964</v>
      </c>
      <c r="D527" t="s">
        <v>13</v>
      </c>
      <c r="E527" t="s">
        <v>27</v>
      </c>
      <c r="F527" t="s">
        <v>2</v>
      </c>
      <c r="G527" t="s">
        <v>1288</v>
      </c>
      <c r="H527" t="s">
        <v>1986</v>
      </c>
      <c r="I527" s="22" t="str">
        <f t="shared" si="57"/>
        <v>2020-07-23</v>
      </c>
      <c r="J527" s="23" t="str">
        <f t="shared" si="58"/>
        <v>23</v>
      </c>
      <c r="K527" t="str">
        <f t="shared" si="59"/>
        <v>no</v>
      </c>
      <c r="L527">
        <v>23</v>
      </c>
      <c r="M527" t="str">
        <f t="shared" si="60"/>
        <v>2020-07-23</v>
      </c>
      <c r="N527" s="20">
        <f t="shared" si="61"/>
        <v>44036</v>
      </c>
      <c r="O527" t="str">
        <f t="shared" si="62"/>
        <v>2020-07-24</v>
      </c>
    </row>
    <row r="528" spans="1:15" x14ac:dyDescent="0.2">
      <c r="A528" s="21" t="str">
        <f t="shared" si="56"/>
        <v>y</v>
      </c>
      <c r="B528" s="24" t="s">
        <v>1684</v>
      </c>
      <c r="C528" t="s">
        <v>1265</v>
      </c>
      <c r="D528" t="s">
        <v>13</v>
      </c>
      <c r="E528" t="s">
        <v>27</v>
      </c>
      <c r="F528" t="s">
        <v>2</v>
      </c>
      <c r="H528" t="s">
        <v>1966</v>
      </c>
      <c r="I528" s="22" t="str">
        <f t="shared" si="57"/>
        <v>2020-07-23</v>
      </c>
      <c r="J528" s="23" t="str">
        <f t="shared" si="58"/>
        <v>23</v>
      </c>
      <c r="K528" t="str">
        <f t="shared" si="59"/>
        <v>no</v>
      </c>
      <c r="L528">
        <v>23</v>
      </c>
      <c r="M528" t="str">
        <f t="shared" si="60"/>
        <v>2020-07-23</v>
      </c>
      <c r="N528" s="20">
        <f t="shared" si="61"/>
        <v>44036</v>
      </c>
      <c r="O528" t="str">
        <f t="shared" si="62"/>
        <v>2020-07-24</v>
      </c>
    </row>
    <row r="529" spans="1:15" x14ac:dyDescent="0.2">
      <c r="A529" s="21" t="str">
        <f t="shared" si="56"/>
        <v>y</v>
      </c>
      <c r="B529" s="24" t="s">
        <v>1684</v>
      </c>
      <c r="C529" t="s">
        <v>701</v>
      </c>
      <c r="D529" t="s">
        <v>13</v>
      </c>
      <c r="E529" t="s">
        <v>34</v>
      </c>
      <c r="F529" t="s">
        <v>2</v>
      </c>
      <c r="H529" t="s">
        <v>1958</v>
      </c>
      <c r="I529" s="22" t="str">
        <f t="shared" si="57"/>
        <v>2020-07-23</v>
      </c>
      <c r="J529" s="23" t="str">
        <f t="shared" si="58"/>
        <v>23</v>
      </c>
      <c r="K529" t="str">
        <f t="shared" si="59"/>
        <v>no</v>
      </c>
      <c r="L529">
        <v>23</v>
      </c>
      <c r="M529" t="str">
        <f t="shared" si="60"/>
        <v>2020-07-23</v>
      </c>
      <c r="N529" s="20">
        <f t="shared" si="61"/>
        <v>44036</v>
      </c>
      <c r="O529" t="str">
        <f t="shared" si="62"/>
        <v>2020-07-24</v>
      </c>
    </row>
    <row r="530" spans="1:15" x14ac:dyDescent="0.2">
      <c r="A530" s="21" t="str">
        <f t="shared" si="56"/>
        <v>y</v>
      </c>
      <c r="B530" s="24" t="s">
        <v>1685</v>
      </c>
      <c r="C530" t="s">
        <v>235</v>
      </c>
      <c r="D530" t="s">
        <v>13</v>
      </c>
      <c r="E530" t="s">
        <v>34</v>
      </c>
      <c r="F530" t="s">
        <v>2</v>
      </c>
      <c r="G530" t="s">
        <v>1289</v>
      </c>
      <c r="H530" t="s">
        <v>1978</v>
      </c>
      <c r="I530" s="22" t="str">
        <f t="shared" si="57"/>
        <v>2020-07-22</v>
      </c>
      <c r="J530" s="23" t="str">
        <f t="shared" si="58"/>
        <v>22</v>
      </c>
      <c r="K530" t="str">
        <f t="shared" si="59"/>
        <v>no</v>
      </c>
      <c r="L530">
        <v>22</v>
      </c>
      <c r="M530" t="str">
        <f t="shared" si="60"/>
        <v>2020-07-22</v>
      </c>
      <c r="N530" s="20">
        <f t="shared" si="61"/>
        <v>44035</v>
      </c>
      <c r="O530" t="str">
        <f t="shared" si="62"/>
        <v>2020-07-23</v>
      </c>
    </row>
    <row r="531" spans="1:15" x14ac:dyDescent="0.2">
      <c r="A531" s="21" t="str">
        <f t="shared" si="56"/>
        <v>y</v>
      </c>
      <c r="B531" s="24" t="s">
        <v>1685</v>
      </c>
      <c r="C531" t="s">
        <v>975</v>
      </c>
      <c r="D531" t="s">
        <v>13</v>
      </c>
      <c r="E531" t="s">
        <v>27</v>
      </c>
      <c r="F531" t="s">
        <v>29</v>
      </c>
      <c r="G531" t="s">
        <v>1284</v>
      </c>
      <c r="H531" t="s">
        <v>1986</v>
      </c>
      <c r="I531" s="22" t="str">
        <f t="shared" si="57"/>
        <v>2020-07-22</v>
      </c>
      <c r="J531" s="23" t="str">
        <f t="shared" si="58"/>
        <v>22</v>
      </c>
      <c r="K531" t="str">
        <f t="shared" si="59"/>
        <v>no</v>
      </c>
      <c r="L531">
        <v>22</v>
      </c>
      <c r="M531" t="str">
        <f t="shared" si="60"/>
        <v>2020-07-22</v>
      </c>
      <c r="N531" s="20" t="str">
        <f t="shared" si="61"/>
        <v>2020-07-22</v>
      </c>
      <c r="O531" t="str">
        <f t="shared" si="62"/>
        <v>2020-07-22</v>
      </c>
    </row>
    <row r="532" spans="1:15" x14ac:dyDescent="0.2">
      <c r="A532" s="21" t="str">
        <f t="shared" si="56"/>
        <v>y</v>
      </c>
      <c r="B532" s="24" t="s">
        <v>1685</v>
      </c>
      <c r="C532" t="s">
        <v>1265</v>
      </c>
      <c r="D532" t="s">
        <v>13</v>
      </c>
      <c r="E532" t="s">
        <v>28</v>
      </c>
      <c r="F532" t="s">
        <v>29</v>
      </c>
      <c r="G532" t="s">
        <v>1287</v>
      </c>
      <c r="H532" t="s">
        <v>1962</v>
      </c>
      <c r="I532" s="22" t="str">
        <f t="shared" si="57"/>
        <v>2020-07-22</v>
      </c>
      <c r="J532" s="23" t="str">
        <f t="shared" si="58"/>
        <v>22</v>
      </c>
      <c r="K532" t="str">
        <f t="shared" si="59"/>
        <v>no</v>
      </c>
      <c r="L532">
        <v>22</v>
      </c>
      <c r="M532" t="str">
        <f t="shared" si="60"/>
        <v>2020-07-22</v>
      </c>
      <c r="N532" s="20" t="str">
        <f t="shared" si="61"/>
        <v>2020-07-22</v>
      </c>
      <c r="O532" t="str">
        <f t="shared" si="62"/>
        <v>2020-07-22</v>
      </c>
    </row>
    <row r="533" spans="1:15" x14ac:dyDescent="0.2">
      <c r="A533" s="21" t="str">
        <f t="shared" si="56"/>
        <v>y</v>
      </c>
      <c r="B533" s="24" t="s">
        <v>1685</v>
      </c>
      <c r="C533" t="s">
        <v>964</v>
      </c>
      <c r="D533" t="s">
        <v>13</v>
      </c>
      <c r="E533" t="s">
        <v>27</v>
      </c>
      <c r="F533" t="s">
        <v>2</v>
      </c>
      <c r="G533" t="s">
        <v>1288</v>
      </c>
      <c r="H533" t="s">
        <v>1958</v>
      </c>
      <c r="I533" s="22" t="str">
        <f t="shared" si="57"/>
        <v>2020-07-22</v>
      </c>
      <c r="J533" s="23" t="str">
        <f t="shared" si="58"/>
        <v>22</v>
      </c>
      <c r="K533" t="str">
        <f t="shared" si="59"/>
        <v>no</v>
      </c>
      <c r="L533">
        <v>22</v>
      </c>
      <c r="M533" t="str">
        <f t="shared" si="60"/>
        <v>2020-07-22</v>
      </c>
      <c r="N533" s="20">
        <f t="shared" si="61"/>
        <v>44035</v>
      </c>
      <c r="O533" t="str">
        <f t="shared" si="62"/>
        <v>2020-07-23</v>
      </c>
    </row>
    <row r="534" spans="1:15" x14ac:dyDescent="0.2">
      <c r="A534" s="21" t="str">
        <f t="shared" si="56"/>
        <v>y</v>
      </c>
      <c r="B534" s="24" t="s">
        <v>1685</v>
      </c>
      <c r="C534" t="s">
        <v>235</v>
      </c>
      <c r="D534" t="s">
        <v>13</v>
      </c>
      <c r="E534" t="s">
        <v>27</v>
      </c>
      <c r="F534" t="s">
        <v>29</v>
      </c>
      <c r="G534" t="s">
        <v>1285</v>
      </c>
      <c r="H534" t="s">
        <v>1988</v>
      </c>
      <c r="I534" s="22" t="str">
        <f t="shared" si="57"/>
        <v>2020-07-22</v>
      </c>
      <c r="J534" s="23" t="str">
        <f t="shared" si="58"/>
        <v>22</v>
      </c>
      <c r="K534" t="str">
        <f t="shared" si="59"/>
        <v>no</v>
      </c>
      <c r="L534">
        <v>22</v>
      </c>
      <c r="M534" t="str">
        <f t="shared" si="60"/>
        <v>2020-07-22</v>
      </c>
      <c r="N534" s="20" t="str">
        <f t="shared" si="61"/>
        <v>2020-07-22</v>
      </c>
      <c r="O534" t="str">
        <f t="shared" si="62"/>
        <v>2020-07-22</v>
      </c>
    </row>
    <row r="535" spans="1:15" x14ac:dyDescent="0.2">
      <c r="A535" s="21" t="str">
        <f t="shared" si="56"/>
        <v>y</v>
      </c>
      <c r="B535" s="24" t="s">
        <v>1685</v>
      </c>
      <c r="C535" t="s">
        <v>151</v>
      </c>
      <c r="D535" t="s">
        <v>13</v>
      </c>
      <c r="E535" t="s">
        <v>42</v>
      </c>
      <c r="F535" t="s">
        <v>29</v>
      </c>
      <c r="G535" t="s">
        <v>1286</v>
      </c>
      <c r="H535" t="s">
        <v>1958</v>
      </c>
      <c r="I535" s="22" t="str">
        <f t="shared" si="57"/>
        <v>2020-07-22</v>
      </c>
      <c r="J535" s="23" t="str">
        <f t="shared" si="58"/>
        <v>22</v>
      </c>
      <c r="K535" t="str">
        <f t="shared" si="59"/>
        <v>no</v>
      </c>
      <c r="L535">
        <v>22</v>
      </c>
      <c r="M535" t="str">
        <f t="shared" si="60"/>
        <v>2020-07-22</v>
      </c>
      <c r="N535" s="20" t="str">
        <f t="shared" si="61"/>
        <v>2020-07-22</v>
      </c>
      <c r="O535" t="str">
        <f t="shared" si="62"/>
        <v>2020-07-22</v>
      </c>
    </row>
    <row r="536" spans="1:15" x14ac:dyDescent="0.2">
      <c r="A536" s="21" t="str">
        <f t="shared" si="56"/>
        <v>y</v>
      </c>
      <c r="B536" s="24" t="s">
        <v>1686</v>
      </c>
      <c r="C536" t="s">
        <v>235</v>
      </c>
      <c r="D536" t="s">
        <v>13</v>
      </c>
      <c r="E536" t="s">
        <v>34</v>
      </c>
      <c r="F536" t="s">
        <v>2</v>
      </c>
      <c r="H536" t="s">
        <v>1978</v>
      </c>
      <c r="I536" s="22" t="str">
        <f t="shared" si="57"/>
        <v>2020-07-21</v>
      </c>
      <c r="J536" s="23" t="str">
        <f t="shared" si="58"/>
        <v>21</v>
      </c>
      <c r="K536" t="str">
        <f t="shared" si="59"/>
        <v>no</v>
      </c>
      <c r="L536">
        <v>21</v>
      </c>
      <c r="M536" t="str">
        <f t="shared" si="60"/>
        <v>2020-07-21</v>
      </c>
      <c r="N536" s="20">
        <f t="shared" si="61"/>
        <v>44034</v>
      </c>
      <c r="O536" t="str">
        <f t="shared" si="62"/>
        <v>2020-07-22</v>
      </c>
    </row>
    <row r="537" spans="1:15" x14ac:dyDescent="0.2">
      <c r="A537" s="21" t="str">
        <f t="shared" si="56"/>
        <v>y</v>
      </c>
      <c r="B537" s="24" t="s">
        <v>1686</v>
      </c>
      <c r="C537" t="s">
        <v>975</v>
      </c>
      <c r="D537" t="s">
        <v>13</v>
      </c>
      <c r="E537" t="s">
        <v>27</v>
      </c>
      <c r="F537" t="s">
        <v>2</v>
      </c>
      <c r="H537" t="s">
        <v>1986</v>
      </c>
      <c r="I537" s="22" t="str">
        <f t="shared" si="57"/>
        <v>2020-07-21</v>
      </c>
      <c r="J537" s="23" t="str">
        <f t="shared" si="58"/>
        <v>21</v>
      </c>
      <c r="K537" t="str">
        <f t="shared" si="59"/>
        <v>no</v>
      </c>
      <c r="L537">
        <v>21</v>
      </c>
      <c r="M537" t="str">
        <f t="shared" si="60"/>
        <v>2020-07-21</v>
      </c>
      <c r="N537" s="20">
        <f t="shared" si="61"/>
        <v>44034</v>
      </c>
      <c r="O537" t="str">
        <f t="shared" si="62"/>
        <v>2020-07-22</v>
      </c>
    </row>
    <row r="538" spans="1:15" x14ac:dyDescent="0.2">
      <c r="A538" s="21" t="str">
        <f t="shared" si="56"/>
        <v>y</v>
      </c>
      <c r="B538" s="24" t="s">
        <v>1686</v>
      </c>
      <c r="C538" t="s">
        <v>1265</v>
      </c>
      <c r="D538" t="s">
        <v>13</v>
      </c>
      <c r="E538" t="s">
        <v>27</v>
      </c>
      <c r="F538" t="s">
        <v>2</v>
      </c>
      <c r="H538" t="s">
        <v>1962</v>
      </c>
      <c r="I538" s="22" t="str">
        <f t="shared" si="57"/>
        <v>2020-07-21</v>
      </c>
      <c r="J538" s="23" t="str">
        <f t="shared" si="58"/>
        <v>21</v>
      </c>
      <c r="K538" t="str">
        <f t="shared" si="59"/>
        <v>no</v>
      </c>
      <c r="L538">
        <v>21</v>
      </c>
      <c r="M538" t="str">
        <f t="shared" si="60"/>
        <v>2020-07-21</v>
      </c>
      <c r="N538" s="20">
        <f t="shared" si="61"/>
        <v>44034</v>
      </c>
      <c r="O538" t="str">
        <f t="shared" si="62"/>
        <v>2020-07-22</v>
      </c>
    </row>
    <row r="539" spans="1:15" x14ac:dyDescent="0.2">
      <c r="A539" s="21" t="str">
        <f t="shared" si="56"/>
        <v>y</v>
      </c>
      <c r="B539" s="24" t="s">
        <v>1686</v>
      </c>
      <c r="C539" t="s">
        <v>964</v>
      </c>
      <c r="D539" t="s">
        <v>13</v>
      </c>
      <c r="E539" t="s">
        <v>27</v>
      </c>
      <c r="F539" t="s">
        <v>2</v>
      </c>
      <c r="G539" t="s">
        <v>1282</v>
      </c>
      <c r="H539" t="s">
        <v>1958</v>
      </c>
      <c r="I539" s="22" t="str">
        <f t="shared" si="57"/>
        <v>2020-07-21</v>
      </c>
      <c r="J539" s="23" t="str">
        <f t="shared" si="58"/>
        <v>21</v>
      </c>
      <c r="K539" t="str">
        <f t="shared" si="59"/>
        <v>no</v>
      </c>
      <c r="L539">
        <v>21</v>
      </c>
      <c r="M539" t="str">
        <f t="shared" si="60"/>
        <v>2020-07-21</v>
      </c>
      <c r="N539" s="20">
        <f t="shared" si="61"/>
        <v>44034</v>
      </c>
      <c r="O539" t="str">
        <f t="shared" si="62"/>
        <v>2020-07-22</v>
      </c>
    </row>
    <row r="540" spans="1:15" x14ac:dyDescent="0.2">
      <c r="A540" s="21" t="str">
        <f t="shared" si="56"/>
        <v>y</v>
      </c>
      <c r="B540" s="24" t="s">
        <v>1686</v>
      </c>
      <c r="C540" t="s">
        <v>235</v>
      </c>
      <c r="D540" t="s">
        <v>13</v>
      </c>
      <c r="E540" t="s">
        <v>27</v>
      </c>
      <c r="F540" t="s">
        <v>2</v>
      </c>
      <c r="G540" t="s">
        <v>1283</v>
      </c>
      <c r="H540" t="s">
        <v>1988</v>
      </c>
      <c r="I540" s="22" t="str">
        <f t="shared" si="57"/>
        <v>2020-07-21</v>
      </c>
      <c r="J540" s="23" t="str">
        <f t="shared" si="58"/>
        <v>21</v>
      </c>
      <c r="K540" t="str">
        <f t="shared" si="59"/>
        <v>no</v>
      </c>
      <c r="L540">
        <v>21</v>
      </c>
      <c r="M540" t="str">
        <f t="shared" si="60"/>
        <v>2020-07-21</v>
      </c>
      <c r="N540" s="20">
        <f t="shared" si="61"/>
        <v>44034</v>
      </c>
      <c r="O540" t="str">
        <f t="shared" si="62"/>
        <v>2020-07-22</v>
      </c>
    </row>
    <row r="541" spans="1:15" x14ac:dyDescent="0.2">
      <c r="A541" s="21" t="str">
        <f t="shared" si="56"/>
        <v>y</v>
      </c>
      <c r="B541" s="24" t="s">
        <v>1686</v>
      </c>
      <c r="C541" t="s">
        <v>151</v>
      </c>
      <c r="D541" t="s">
        <v>13</v>
      </c>
      <c r="E541" t="s">
        <v>42</v>
      </c>
      <c r="F541" t="s">
        <v>2</v>
      </c>
      <c r="H541" t="s">
        <v>1982</v>
      </c>
      <c r="I541" s="22" t="str">
        <f t="shared" si="57"/>
        <v>2020-07-21</v>
      </c>
      <c r="J541" s="23" t="str">
        <f t="shared" si="58"/>
        <v>21</v>
      </c>
      <c r="K541" t="str">
        <f t="shared" si="59"/>
        <v>no</v>
      </c>
      <c r="L541">
        <v>21</v>
      </c>
      <c r="M541" t="str">
        <f t="shared" si="60"/>
        <v>2020-07-21</v>
      </c>
      <c r="N541" s="20">
        <f t="shared" si="61"/>
        <v>44034</v>
      </c>
      <c r="O541" t="str">
        <f t="shared" si="62"/>
        <v>2020-07-22</v>
      </c>
    </row>
    <row r="542" spans="1:15" x14ac:dyDescent="0.2">
      <c r="A542" s="21" t="str">
        <f t="shared" si="56"/>
        <v>y</v>
      </c>
      <c r="B542" s="24" t="s">
        <v>1687</v>
      </c>
      <c r="C542" t="s">
        <v>901</v>
      </c>
      <c r="D542" t="s">
        <v>13</v>
      </c>
      <c r="E542" t="s">
        <v>27</v>
      </c>
      <c r="F542" t="s">
        <v>29</v>
      </c>
      <c r="G542" t="s">
        <v>1279</v>
      </c>
      <c r="H542" t="s">
        <v>1958</v>
      </c>
      <c r="I542" s="22" t="str">
        <f t="shared" si="57"/>
        <v>2020-07-20</v>
      </c>
      <c r="J542" s="23" t="str">
        <f t="shared" si="58"/>
        <v>20</v>
      </c>
      <c r="K542" t="str">
        <f t="shared" si="59"/>
        <v>no</v>
      </c>
      <c r="L542">
        <v>20</v>
      </c>
      <c r="M542" t="str">
        <f t="shared" si="60"/>
        <v>2020-07-20</v>
      </c>
      <c r="N542" s="20" t="str">
        <f t="shared" si="61"/>
        <v>2020-07-20</v>
      </c>
      <c r="O542" t="str">
        <f t="shared" si="62"/>
        <v>2020-07-20</v>
      </c>
    </row>
    <row r="543" spans="1:15" x14ac:dyDescent="0.2">
      <c r="A543" s="21" t="str">
        <f t="shared" si="56"/>
        <v>y</v>
      </c>
      <c r="B543" s="24" t="s">
        <v>1687</v>
      </c>
      <c r="C543" t="s">
        <v>235</v>
      </c>
      <c r="D543" t="s">
        <v>13</v>
      </c>
      <c r="E543" t="s">
        <v>34</v>
      </c>
      <c r="F543" t="s">
        <v>2</v>
      </c>
      <c r="G543" t="s">
        <v>1278</v>
      </c>
      <c r="H543" t="s">
        <v>1978</v>
      </c>
      <c r="I543" s="22" t="str">
        <f t="shared" si="57"/>
        <v>2020-07-20</v>
      </c>
      <c r="J543" s="23" t="str">
        <f t="shared" si="58"/>
        <v>20</v>
      </c>
      <c r="K543" t="str">
        <f t="shared" si="59"/>
        <v>no</v>
      </c>
      <c r="L543">
        <v>20</v>
      </c>
      <c r="M543" t="str">
        <f t="shared" si="60"/>
        <v>2020-07-20</v>
      </c>
      <c r="N543" s="20">
        <f t="shared" si="61"/>
        <v>44033</v>
      </c>
      <c r="O543" t="str">
        <f t="shared" si="62"/>
        <v>2020-07-21</v>
      </c>
    </row>
    <row r="544" spans="1:15" x14ac:dyDescent="0.2">
      <c r="A544" s="21" t="str">
        <f t="shared" si="56"/>
        <v>y</v>
      </c>
      <c r="B544" s="24" t="s">
        <v>1687</v>
      </c>
      <c r="C544" t="s">
        <v>975</v>
      </c>
      <c r="D544" t="s">
        <v>13</v>
      </c>
      <c r="E544" t="s">
        <v>27</v>
      </c>
      <c r="F544" t="s">
        <v>2</v>
      </c>
      <c r="G544" t="s">
        <v>1275</v>
      </c>
      <c r="H544" t="s">
        <v>1976</v>
      </c>
      <c r="I544" s="22" t="str">
        <f t="shared" si="57"/>
        <v>2020-07-20</v>
      </c>
      <c r="J544" s="23" t="str">
        <f t="shared" si="58"/>
        <v>20</v>
      </c>
      <c r="K544" t="str">
        <f t="shared" si="59"/>
        <v>no</v>
      </c>
      <c r="L544">
        <v>20</v>
      </c>
      <c r="M544" t="str">
        <f t="shared" si="60"/>
        <v>2020-07-20</v>
      </c>
      <c r="N544" s="20">
        <f t="shared" si="61"/>
        <v>44033</v>
      </c>
      <c r="O544" t="str">
        <f t="shared" si="62"/>
        <v>2020-07-21</v>
      </c>
    </row>
    <row r="545" spans="1:15" x14ac:dyDescent="0.2">
      <c r="A545" s="21" t="str">
        <f t="shared" si="56"/>
        <v>y</v>
      </c>
      <c r="B545" s="24" t="s">
        <v>1687</v>
      </c>
      <c r="C545" t="s">
        <v>616</v>
      </c>
      <c r="D545" t="s">
        <v>13</v>
      </c>
      <c r="E545" t="s">
        <v>34</v>
      </c>
      <c r="F545" t="s">
        <v>29</v>
      </c>
      <c r="G545" t="s">
        <v>1276</v>
      </c>
      <c r="H545" t="s">
        <v>1986</v>
      </c>
      <c r="I545" s="22" t="str">
        <f t="shared" si="57"/>
        <v>2020-07-20</v>
      </c>
      <c r="J545" s="23" t="str">
        <f t="shared" si="58"/>
        <v>20</v>
      </c>
      <c r="K545" t="str">
        <f t="shared" si="59"/>
        <v>no</v>
      </c>
      <c r="L545">
        <v>20</v>
      </c>
      <c r="M545" t="str">
        <f t="shared" si="60"/>
        <v>2020-07-20</v>
      </c>
      <c r="N545" s="20" t="str">
        <f t="shared" si="61"/>
        <v>2020-07-20</v>
      </c>
      <c r="O545" t="str">
        <f t="shared" si="62"/>
        <v>2020-07-20</v>
      </c>
    </row>
    <row r="546" spans="1:15" x14ac:dyDescent="0.2">
      <c r="A546" s="21" t="str">
        <f t="shared" si="56"/>
        <v>y</v>
      </c>
      <c r="B546" s="24" t="s">
        <v>1687</v>
      </c>
      <c r="C546" t="s">
        <v>1265</v>
      </c>
      <c r="D546" t="s">
        <v>13</v>
      </c>
      <c r="E546" t="s">
        <v>27</v>
      </c>
      <c r="F546" t="s">
        <v>2</v>
      </c>
      <c r="G546" t="s">
        <v>1277</v>
      </c>
      <c r="H546" t="s">
        <v>1982</v>
      </c>
      <c r="I546" s="22" t="str">
        <f t="shared" si="57"/>
        <v>2020-07-20</v>
      </c>
      <c r="J546" s="23" t="str">
        <f t="shared" si="58"/>
        <v>20</v>
      </c>
      <c r="K546" t="str">
        <f t="shared" si="59"/>
        <v>no</v>
      </c>
      <c r="L546">
        <v>20</v>
      </c>
      <c r="M546" t="str">
        <f t="shared" si="60"/>
        <v>2020-07-20</v>
      </c>
      <c r="N546" s="20">
        <f t="shared" si="61"/>
        <v>44033</v>
      </c>
      <c r="O546" t="str">
        <f t="shared" si="62"/>
        <v>2020-07-21</v>
      </c>
    </row>
    <row r="547" spans="1:15" x14ac:dyDescent="0.2">
      <c r="A547" s="21" t="str">
        <f t="shared" si="56"/>
        <v>y</v>
      </c>
      <c r="B547" s="24" t="s">
        <v>1688</v>
      </c>
      <c r="C547" t="s">
        <v>901</v>
      </c>
      <c r="D547" t="s">
        <v>13</v>
      </c>
      <c r="E547" t="s">
        <v>27</v>
      </c>
      <c r="F547" t="s">
        <v>2</v>
      </c>
      <c r="H547" t="s">
        <v>1958</v>
      </c>
      <c r="I547" s="22" t="str">
        <f t="shared" si="57"/>
        <v>2020-07-19</v>
      </c>
      <c r="J547" s="23" t="str">
        <f t="shared" si="58"/>
        <v>19</v>
      </c>
      <c r="K547" t="str">
        <f t="shared" si="59"/>
        <v>no</v>
      </c>
      <c r="L547">
        <v>19</v>
      </c>
      <c r="M547" t="str">
        <f t="shared" si="60"/>
        <v>2020-07-19</v>
      </c>
      <c r="N547" s="20">
        <f t="shared" si="61"/>
        <v>44032</v>
      </c>
      <c r="O547" t="str">
        <f t="shared" si="62"/>
        <v>2020-07-20</v>
      </c>
    </row>
    <row r="548" spans="1:15" x14ac:dyDescent="0.2">
      <c r="A548" s="21" t="str">
        <f t="shared" si="56"/>
        <v>y</v>
      </c>
      <c r="B548" s="24" t="s">
        <v>1688</v>
      </c>
      <c r="C548" t="s">
        <v>901</v>
      </c>
      <c r="D548" t="s">
        <v>13</v>
      </c>
      <c r="E548" t="s">
        <v>28</v>
      </c>
      <c r="F548" t="s">
        <v>29</v>
      </c>
      <c r="G548" t="s">
        <v>1272</v>
      </c>
      <c r="H548" t="s">
        <v>1982</v>
      </c>
      <c r="I548" s="22" t="str">
        <f t="shared" si="57"/>
        <v>2020-07-19</v>
      </c>
      <c r="J548" s="23" t="str">
        <f t="shared" si="58"/>
        <v>19</v>
      </c>
      <c r="K548" t="str">
        <f t="shared" si="59"/>
        <v>no</v>
      </c>
      <c r="L548">
        <v>19</v>
      </c>
      <c r="M548" t="str">
        <f t="shared" si="60"/>
        <v>2020-07-19</v>
      </c>
      <c r="N548" s="20" t="str">
        <f t="shared" si="61"/>
        <v>2020-07-19</v>
      </c>
      <c r="O548" t="str">
        <f t="shared" si="62"/>
        <v>2020-07-19</v>
      </c>
    </row>
    <row r="549" spans="1:15" x14ac:dyDescent="0.2">
      <c r="A549" s="21" t="str">
        <f t="shared" si="56"/>
        <v>y</v>
      </c>
      <c r="B549" s="24" t="s">
        <v>1688</v>
      </c>
      <c r="C549" t="s">
        <v>235</v>
      </c>
      <c r="D549" t="s">
        <v>13</v>
      </c>
      <c r="E549" t="s">
        <v>34</v>
      </c>
      <c r="F549" t="s">
        <v>2</v>
      </c>
      <c r="G549" t="s">
        <v>1273</v>
      </c>
      <c r="H549" t="s">
        <v>1978</v>
      </c>
      <c r="I549" s="22" t="str">
        <f t="shared" si="57"/>
        <v>2020-07-19</v>
      </c>
      <c r="J549" s="23" t="str">
        <f t="shared" si="58"/>
        <v>19</v>
      </c>
      <c r="K549" t="str">
        <f t="shared" si="59"/>
        <v>no</v>
      </c>
      <c r="L549">
        <v>19</v>
      </c>
      <c r="M549" t="str">
        <f t="shared" si="60"/>
        <v>2020-07-19</v>
      </c>
      <c r="N549" s="20">
        <f t="shared" si="61"/>
        <v>44032</v>
      </c>
      <c r="O549" t="str">
        <f t="shared" si="62"/>
        <v>2020-07-20</v>
      </c>
    </row>
    <row r="550" spans="1:15" x14ac:dyDescent="0.2">
      <c r="A550" s="21" t="str">
        <f t="shared" si="56"/>
        <v>y</v>
      </c>
      <c r="B550" s="24" t="s">
        <v>1688</v>
      </c>
      <c r="C550" t="s">
        <v>975</v>
      </c>
      <c r="D550" t="s">
        <v>13</v>
      </c>
      <c r="E550" t="s">
        <v>27</v>
      </c>
      <c r="F550" t="s">
        <v>29</v>
      </c>
      <c r="G550" t="s">
        <v>1271</v>
      </c>
      <c r="H550" t="s">
        <v>1976</v>
      </c>
      <c r="I550" s="22" t="str">
        <f t="shared" si="57"/>
        <v>2020-07-19</v>
      </c>
      <c r="J550" s="23" t="str">
        <f t="shared" si="58"/>
        <v>19</v>
      </c>
      <c r="K550" t="str">
        <f t="shared" si="59"/>
        <v>no</v>
      </c>
      <c r="L550">
        <v>19</v>
      </c>
      <c r="M550" t="str">
        <f t="shared" si="60"/>
        <v>2020-07-19</v>
      </c>
      <c r="N550" s="20" t="str">
        <f t="shared" si="61"/>
        <v>2020-07-19</v>
      </c>
      <c r="O550" t="str">
        <f t="shared" si="62"/>
        <v>2020-07-19</v>
      </c>
    </row>
    <row r="551" spans="1:15" x14ac:dyDescent="0.2">
      <c r="A551" s="21" t="str">
        <f t="shared" si="56"/>
        <v>y</v>
      </c>
      <c r="B551" s="24" t="s">
        <v>1688</v>
      </c>
      <c r="C551" t="s">
        <v>616</v>
      </c>
      <c r="D551" t="s">
        <v>13</v>
      </c>
      <c r="E551" t="s">
        <v>34</v>
      </c>
      <c r="F551" t="s">
        <v>2</v>
      </c>
      <c r="H551" t="s">
        <v>1958</v>
      </c>
      <c r="I551" s="22" t="str">
        <f t="shared" si="57"/>
        <v>2020-07-19</v>
      </c>
      <c r="J551" s="23" t="str">
        <f t="shared" si="58"/>
        <v>19</v>
      </c>
      <c r="K551" t="str">
        <f t="shared" si="59"/>
        <v>no</v>
      </c>
      <c r="L551">
        <v>19</v>
      </c>
      <c r="M551" t="str">
        <f t="shared" si="60"/>
        <v>2020-07-19</v>
      </c>
      <c r="N551" s="20">
        <f t="shared" si="61"/>
        <v>44032</v>
      </c>
      <c r="O551" t="str">
        <f t="shared" si="62"/>
        <v>2020-07-20</v>
      </c>
    </row>
    <row r="552" spans="1:15" x14ac:dyDescent="0.2">
      <c r="A552" s="21" t="str">
        <f t="shared" si="56"/>
        <v>y</v>
      </c>
      <c r="B552" s="24" t="s">
        <v>1688</v>
      </c>
      <c r="C552" t="s">
        <v>235</v>
      </c>
      <c r="D552" t="s">
        <v>13</v>
      </c>
      <c r="E552" t="s">
        <v>43</v>
      </c>
      <c r="F552" t="s">
        <v>29</v>
      </c>
      <c r="G552" t="s">
        <v>1274</v>
      </c>
      <c r="H552" t="s">
        <v>1982</v>
      </c>
      <c r="I552" s="22" t="str">
        <f t="shared" si="57"/>
        <v>2020-07-19</v>
      </c>
      <c r="J552" s="23" t="str">
        <f t="shared" si="58"/>
        <v>19</v>
      </c>
      <c r="K552" t="str">
        <f t="shared" si="59"/>
        <v>no</v>
      </c>
      <c r="L552">
        <v>19</v>
      </c>
      <c r="M552" t="str">
        <f t="shared" si="60"/>
        <v>2020-07-19</v>
      </c>
      <c r="N552" s="20" t="str">
        <f t="shared" si="61"/>
        <v>2020-07-19</v>
      </c>
      <c r="O552" t="str">
        <f t="shared" si="62"/>
        <v>2020-07-19</v>
      </c>
    </row>
    <row r="553" spans="1:15" x14ac:dyDescent="0.2">
      <c r="A553" s="21" t="str">
        <f t="shared" si="56"/>
        <v>y</v>
      </c>
      <c r="B553" s="24" t="s">
        <v>1689</v>
      </c>
      <c r="C553" t="s">
        <v>901</v>
      </c>
      <c r="D553" t="s">
        <v>13</v>
      </c>
      <c r="E553" t="s">
        <v>27</v>
      </c>
      <c r="F553" t="s">
        <v>2</v>
      </c>
      <c r="H553" t="s">
        <v>1958</v>
      </c>
      <c r="I553" s="22" t="str">
        <f t="shared" si="57"/>
        <v>2020-07-18</v>
      </c>
      <c r="J553" s="23" t="str">
        <f t="shared" si="58"/>
        <v>18</v>
      </c>
      <c r="K553" t="str">
        <f t="shared" si="59"/>
        <v>no</v>
      </c>
      <c r="L553">
        <v>18</v>
      </c>
      <c r="M553" t="str">
        <f t="shared" si="60"/>
        <v>2020-07-18</v>
      </c>
      <c r="N553" s="20">
        <f t="shared" si="61"/>
        <v>44031</v>
      </c>
      <c r="O553" t="str">
        <f t="shared" si="62"/>
        <v>2020-07-19</v>
      </c>
    </row>
    <row r="554" spans="1:15" x14ac:dyDescent="0.2">
      <c r="A554" s="21" t="str">
        <f t="shared" si="56"/>
        <v>y</v>
      </c>
      <c r="B554" s="24" t="s">
        <v>1689</v>
      </c>
      <c r="C554" t="s">
        <v>901</v>
      </c>
      <c r="D554" t="s">
        <v>13</v>
      </c>
      <c r="E554" t="s">
        <v>28</v>
      </c>
      <c r="F554" t="s">
        <v>2</v>
      </c>
      <c r="G554" t="s">
        <v>1270</v>
      </c>
      <c r="H554" t="s">
        <v>1982</v>
      </c>
      <c r="I554" s="22" t="str">
        <f t="shared" si="57"/>
        <v>2020-07-18</v>
      </c>
      <c r="J554" s="23" t="str">
        <f t="shared" si="58"/>
        <v>18</v>
      </c>
      <c r="K554" t="str">
        <f t="shared" si="59"/>
        <v>no</v>
      </c>
      <c r="L554">
        <v>18</v>
      </c>
      <c r="M554" t="str">
        <f t="shared" si="60"/>
        <v>2020-07-18</v>
      </c>
      <c r="N554" s="20">
        <f t="shared" si="61"/>
        <v>44031</v>
      </c>
      <c r="O554" t="str">
        <f t="shared" si="62"/>
        <v>2020-07-19</v>
      </c>
    </row>
    <row r="555" spans="1:15" x14ac:dyDescent="0.2">
      <c r="A555" s="21" t="str">
        <f t="shared" si="56"/>
        <v>y</v>
      </c>
      <c r="B555" s="24" t="s">
        <v>1689</v>
      </c>
      <c r="C555" t="s">
        <v>235</v>
      </c>
      <c r="D555" t="s">
        <v>13</v>
      </c>
      <c r="E555" t="s">
        <v>34</v>
      </c>
      <c r="F555" t="s">
        <v>2</v>
      </c>
      <c r="H555" t="s">
        <v>1982</v>
      </c>
      <c r="I555" s="22" t="str">
        <f t="shared" si="57"/>
        <v>2020-07-18</v>
      </c>
      <c r="J555" s="23" t="str">
        <f t="shared" si="58"/>
        <v>18</v>
      </c>
      <c r="K555" t="str">
        <f t="shared" si="59"/>
        <v>no</v>
      </c>
      <c r="L555">
        <v>18</v>
      </c>
      <c r="M555" t="str">
        <f t="shared" si="60"/>
        <v>2020-07-18</v>
      </c>
      <c r="N555" s="20">
        <f t="shared" si="61"/>
        <v>44031</v>
      </c>
      <c r="O555" t="str">
        <f t="shared" si="62"/>
        <v>2020-07-19</v>
      </c>
    </row>
    <row r="556" spans="1:15" x14ac:dyDescent="0.2">
      <c r="A556" s="21" t="str">
        <f t="shared" si="56"/>
        <v>y</v>
      </c>
      <c r="B556" s="24" t="s">
        <v>1690</v>
      </c>
      <c r="C556" t="s">
        <v>901</v>
      </c>
      <c r="D556" t="s">
        <v>13</v>
      </c>
      <c r="E556" t="s">
        <v>27</v>
      </c>
      <c r="F556" t="s">
        <v>2</v>
      </c>
      <c r="H556" t="s">
        <v>1958</v>
      </c>
      <c r="I556" s="22" t="str">
        <f t="shared" si="57"/>
        <v>2020-07-16</v>
      </c>
      <c r="J556" s="23" t="str">
        <f t="shared" si="58"/>
        <v>16</v>
      </c>
      <c r="K556" t="str">
        <f t="shared" si="59"/>
        <v>no</v>
      </c>
      <c r="L556">
        <v>16</v>
      </c>
      <c r="M556" t="str">
        <f t="shared" si="60"/>
        <v>2020-07-16</v>
      </c>
      <c r="N556" s="20">
        <f t="shared" si="61"/>
        <v>44029</v>
      </c>
      <c r="O556" t="str">
        <f t="shared" si="62"/>
        <v>2020-07-17</v>
      </c>
    </row>
    <row r="557" spans="1:15" x14ac:dyDescent="0.2">
      <c r="A557" s="21" t="str">
        <f t="shared" si="56"/>
        <v>y</v>
      </c>
      <c r="B557" s="24" t="s">
        <v>1690</v>
      </c>
      <c r="C557" t="s">
        <v>901</v>
      </c>
      <c r="D557" t="s">
        <v>13</v>
      </c>
      <c r="E557" t="s">
        <v>28</v>
      </c>
      <c r="F557" t="s">
        <v>2</v>
      </c>
      <c r="G557" t="s">
        <v>1268</v>
      </c>
      <c r="H557" t="s">
        <v>1982</v>
      </c>
      <c r="I557" s="22" t="str">
        <f t="shared" si="57"/>
        <v>2020-07-16</v>
      </c>
      <c r="J557" s="23" t="str">
        <f t="shared" si="58"/>
        <v>16</v>
      </c>
      <c r="K557" t="str">
        <f t="shared" si="59"/>
        <v>no</v>
      </c>
      <c r="L557">
        <v>16</v>
      </c>
      <c r="M557" t="str">
        <f t="shared" si="60"/>
        <v>2020-07-16</v>
      </c>
      <c r="N557" s="20">
        <f t="shared" si="61"/>
        <v>44029</v>
      </c>
      <c r="O557" t="str">
        <f t="shared" si="62"/>
        <v>2020-07-17</v>
      </c>
    </row>
    <row r="558" spans="1:15" x14ac:dyDescent="0.2">
      <c r="A558" s="21" t="str">
        <f t="shared" si="56"/>
        <v>y</v>
      </c>
      <c r="B558" s="24" t="s">
        <v>1690</v>
      </c>
      <c r="C558" t="s">
        <v>235</v>
      </c>
      <c r="D558" t="s">
        <v>13</v>
      </c>
      <c r="E558" t="s">
        <v>34</v>
      </c>
      <c r="F558" t="s">
        <v>2</v>
      </c>
      <c r="G558" t="s">
        <v>1266</v>
      </c>
      <c r="H558" t="s">
        <v>1976</v>
      </c>
      <c r="I558" s="22" t="str">
        <f t="shared" si="57"/>
        <v>2020-07-16</v>
      </c>
      <c r="J558" s="23" t="str">
        <f t="shared" si="58"/>
        <v>16</v>
      </c>
      <c r="K558" t="str">
        <f t="shared" si="59"/>
        <v>no</v>
      </c>
      <c r="L558">
        <v>16</v>
      </c>
      <c r="M558" t="str">
        <f t="shared" si="60"/>
        <v>2020-07-16</v>
      </c>
      <c r="N558" s="20">
        <f t="shared" si="61"/>
        <v>44029</v>
      </c>
      <c r="O558" t="str">
        <f t="shared" si="62"/>
        <v>2020-07-17</v>
      </c>
    </row>
    <row r="559" spans="1:15" x14ac:dyDescent="0.2">
      <c r="A559" s="21" t="str">
        <f t="shared" si="56"/>
        <v>y</v>
      </c>
      <c r="B559" s="24" t="s">
        <v>1690</v>
      </c>
      <c r="C559" t="s">
        <v>964</v>
      </c>
      <c r="D559" t="s">
        <v>13</v>
      </c>
      <c r="E559" t="s">
        <v>27</v>
      </c>
      <c r="F559" t="s">
        <v>2</v>
      </c>
      <c r="G559" t="s">
        <v>1280</v>
      </c>
      <c r="H559" t="s">
        <v>1986</v>
      </c>
      <c r="I559" s="22" t="str">
        <f t="shared" si="57"/>
        <v>2020-07-16</v>
      </c>
      <c r="J559" s="23" t="str">
        <f t="shared" si="58"/>
        <v>16</v>
      </c>
      <c r="K559" t="str">
        <f t="shared" si="59"/>
        <v>no</v>
      </c>
      <c r="L559">
        <v>16</v>
      </c>
      <c r="M559" t="str">
        <f t="shared" si="60"/>
        <v>2020-07-16</v>
      </c>
      <c r="N559" s="20">
        <f t="shared" si="61"/>
        <v>44029</v>
      </c>
      <c r="O559" t="str">
        <f t="shared" si="62"/>
        <v>2020-07-17</v>
      </c>
    </row>
    <row r="560" spans="1:15" x14ac:dyDescent="0.2">
      <c r="A560" s="21" t="str">
        <f t="shared" si="56"/>
        <v>y</v>
      </c>
      <c r="B560" s="24" t="s">
        <v>1690</v>
      </c>
      <c r="C560" t="s">
        <v>1265</v>
      </c>
      <c r="D560" t="s">
        <v>13</v>
      </c>
      <c r="E560" t="s">
        <v>27</v>
      </c>
      <c r="F560" t="s">
        <v>2</v>
      </c>
      <c r="G560" t="s">
        <v>1267</v>
      </c>
      <c r="H560" t="s">
        <v>1962</v>
      </c>
      <c r="I560" s="22" t="str">
        <f t="shared" si="57"/>
        <v>2020-07-16</v>
      </c>
      <c r="J560" s="23" t="str">
        <f t="shared" si="58"/>
        <v>16</v>
      </c>
      <c r="K560" t="str">
        <f t="shared" si="59"/>
        <v>no</v>
      </c>
      <c r="L560">
        <v>16</v>
      </c>
      <c r="M560" t="str">
        <f t="shared" si="60"/>
        <v>2020-07-16</v>
      </c>
      <c r="N560" s="20">
        <f t="shared" si="61"/>
        <v>44029</v>
      </c>
      <c r="O560" t="str">
        <f t="shared" si="62"/>
        <v>2020-07-17</v>
      </c>
    </row>
    <row r="561" spans="1:15" x14ac:dyDescent="0.2">
      <c r="A561" s="21" t="str">
        <f t="shared" si="56"/>
        <v>y</v>
      </c>
      <c r="B561" s="24" t="s">
        <v>1690</v>
      </c>
      <c r="C561" t="s">
        <v>616</v>
      </c>
      <c r="D561" t="s">
        <v>13</v>
      </c>
      <c r="E561" t="s">
        <v>27</v>
      </c>
      <c r="F561" t="s">
        <v>29</v>
      </c>
      <c r="G561" t="s">
        <v>1269</v>
      </c>
      <c r="H561" t="s">
        <v>1982</v>
      </c>
      <c r="I561" s="22" t="str">
        <f t="shared" si="57"/>
        <v>2020-07-16</v>
      </c>
      <c r="J561" s="23" t="str">
        <f t="shared" si="58"/>
        <v>16</v>
      </c>
      <c r="K561" t="str">
        <f t="shared" si="59"/>
        <v>no</v>
      </c>
      <c r="L561">
        <v>16</v>
      </c>
      <c r="M561" t="str">
        <f t="shared" si="60"/>
        <v>2020-07-16</v>
      </c>
      <c r="N561" s="20" t="str">
        <f t="shared" si="61"/>
        <v>2020-07-16</v>
      </c>
      <c r="O561" t="str">
        <f t="shared" si="62"/>
        <v>2020-07-16</v>
      </c>
    </row>
    <row r="562" spans="1:15" x14ac:dyDescent="0.2">
      <c r="A562" s="21" t="str">
        <f t="shared" si="56"/>
        <v>y</v>
      </c>
      <c r="B562" s="24" t="s">
        <v>1691</v>
      </c>
      <c r="C562" t="s">
        <v>901</v>
      </c>
      <c r="D562" t="s">
        <v>13</v>
      </c>
      <c r="E562" t="s">
        <v>27</v>
      </c>
      <c r="F562" t="s">
        <v>2</v>
      </c>
      <c r="H562" t="s">
        <v>1958</v>
      </c>
      <c r="I562" s="22" t="str">
        <f t="shared" si="57"/>
        <v>2020-07-15</v>
      </c>
      <c r="J562" s="23" t="str">
        <f t="shared" si="58"/>
        <v>15</v>
      </c>
      <c r="K562" t="str">
        <f t="shared" si="59"/>
        <v>no</v>
      </c>
      <c r="L562">
        <v>15</v>
      </c>
      <c r="M562" t="str">
        <f t="shared" si="60"/>
        <v>2020-07-15</v>
      </c>
      <c r="N562" s="20">
        <f t="shared" si="61"/>
        <v>44028</v>
      </c>
      <c r="O562" t="str">
        <f t="shared" si="62"/>
        <v>2020-07-16</v>
      </c>
    </row>
    <row r="563" spans="1:15" x14ac:dyDescent="0.2">
      <c r="A563" s="21" t="str">
        <f t="shared" si="56"/>
        <v>y</v>
      </c>
      <c r="B563" s="24" t="s">
        <v>1691</v>
      </c>
      <c r="C563" t="s">
        <v>235</v>
      </c>
      <c r="D563" t="s">
        <v>13</v>
      </c>
      <c r="E563" t="s">
        <v>34</v>
      </c>
      <c r="F563" t="s">
        <v>2</v>
      </c>
      <c r="H563" t="s">
        <v>1958</v>
      </c>
      <c r="I563" s="22" t="str">
        <f t="shared" si="57"/>
        <v>2020-07-15</v>
      </c>
      <c r="J563" s="23" t="str">
        <f t="shared" si="58"/>
        <v>15</v>
      </c>
      <c r="K563" t="str">
        <f t="shared" si="59"/>
        <v>no</v>
      </c>
      <c r="L563">
        <v>15</v>
      </c>
      <c r="M563" t="str">
        <f t="shared" si="60"/>
        <v>2020-07-15</v>
      </c>
      <c r="N563" s="20">
        <f t="shared" si="61"/>
        <v>44028</v>
      </c>
      <c r="O563" t="str">
        <f t="shared" si="62"/>
        <v>2020-07-16</v>
      </c>
    </row>
    <row r="564" spans="1:15" x14ac:dyDescent="0.2">
      <c r="A564" s="21" t="str">
        <f t="shared" si="56"/>
        <v>y</v>
      </c>
      <c r="B564" s="24" t="s">
        <v>1691</v>
      </c>
      <c r="C564" t="s">
        <v>235</v>
      </c>
      <c r="D564" t="s">
        <v>13</v>
      </c>
      <c r="E564" t="s">
        <v>43</v>
      </c>
      <c r="F564" t="s">
        <v>29</v>
      </c>
      <c r="G564" t="s">
        <v>1262</v>
      </c>
      <c r="H564" t="s">
        <v>1978</v>
      </c>
      <c r="I564" s="22" t="str">
        <f t="shared" si="57"/>
        <v>2020-07-15</v>
      </c>
      <c r="J564" s="23" t="str">
        <f t="shared" si="58"/>
        <v>15</v>
      </c>
      <c r="K564" t="str">
        <f t="shared" si="59"/>
        <v>no</v>
      </c>
      <c r="L564">
        <v>15</v>
      </c>
      <c r="M564" t="str">
        <f t="shared" si="60"/>
        <v>2020-07-15</v>
      </c>
      <c r="N564" s="20" t="str">
        <f t="shared" si="61"/>
        <v>2020-07-15</v>
      </c>
      <c r="O564" t="str">
        <f t="shared" si="62"/>
        <v>2020-07-15</v>
      </c>
    </row>
    <row r="565" spans="1:15" x14ac:dyDescent="0.2">
      <c r="A565" s="21" t="str">
        <f t="shared" si="56"/>
        <v>y</v>
      </c>
      <c r="B565" s="24" t="s">
        <v>1691</v>
      </c>
      <c r="C565" t="s">
        <v>964</v>
      </c>
      <c r="D565" t="s">
        <v>13</v>
      </c>
      <c r="E565" t="s">
        <v>27</v>
      </c>
      <c r="F565" t="s">
        <v>2</v>
      </c>
      <c r="G565" t="s">
        <v>1281</v>
      </c>
      <c r="H565" t="s">
        <v>1982</v>
      </c>
      <c r="I565" s="22" t="str">
        <f t="shared" si="57"/>
        <v>2020-07-15</v>
      </c>
      <c r="J565" s="23" t="str">
        <f t="shared" si="58"/>
        <v>15</v>
      </c>
      <c r="K565" t="str">
        <f t="shared" si="59"/>
        <v>no</v>
      </c>
      <c r="L565">
        <v>15</v>
      </c>
      <c r="M565" t="str">
        <f t="shared" si="60"/>
        <v>2020-07-15</v>
      </c>
      <c r="N565" s="20">
        <f t="shared" si="61"/>
        <v>44028</v>
      </c>
      <c r="O565" t="str">
        <f t="shared" si="62"/>
        <v>2020-07-16</v>
      </c>
    </row>
    <row r="566" spans="1:15" x14ac:dyDescent="0.2">
      <c r="A566" s="21" t="str">
        <f t="shared" si="56"/>
        <v>y</v>
      </c>
      <c r="B566" s="24" t="s">
        <v>1691</v>
      </c>
      <c r="C566" t="s">
        <v>975</v>
      </c>
      <c r="D566" t="s">
        <v>13</v>
      </c>
      <c r="E566" t="s">
        <v>43</v>
      </c>
      <c r="F566" t="s">
        <v>29</v>
      </c>
      <c r="G566" t="s">
        <v>1263</v>
      </c>
      <c r="H566" t="s">
        <v>1962</v>
      </c>
      <c r="I566" s="22" t="str">
        <f t="shared" si="57"/>
        <v>2020-07-15</v>
      </c>
      <c r="J566" s="23" t="str">
        <f t="shared" si="58"/>
        <v>15</v>
      </c>
      <c r="K566" t="str">
        <f t="shared" si="59"/>
        <v>no</v>
      </c>
      <c r="L566">
        <v>15</v>
      </c>
      <c r="M566" t="str">
        <f t="shared" si="60"/>
        <v>2020-07-15</v>
      </c>
      <c r="N566" s="20" t="str">
        <f t="shared" si="61"/>
        <v>2020-07-15</v>
      </c>
      <c r="O566" t="str">
        <f t="shared" si="62"/>
        <v>2020-07-15</v>
      </c>
    </row>
    <row r="567" spans="1:15" x14ac:dyDescent="0.2">
      <c r="A567" s="21" t="str">
        <f t="shared" si="56"/>
        <v>y</v>
      </c>
      <c r="B567" s="24" t="s">
        <v>1691</v>
      </c>
      <c r="C567" t="s">
        <v>901</v>
      </c>
      <c r="D567" t="s">
        <v>13</v>
      </c>
      <c r="E567" t="s">
        <v>4</v>
      </c>
      <c r="F567" t="s">
        <v>29</v>
      </c>
      <c r="G567" t="s">
        <v>1264</v>
      </c>
      <c r="H567" t="s">
        <v>1982</v>
      </c>
      <c r="I567" s="22" t="str">
        <f t="shared" si="57"/>
        <v>2020-07-15</v>
      </c>
      <c r="J567" s="23" t="str">
        <f t="shared" si="58"/>
        <v>15</v>
      </c>
      <c r="K567" t="str">
        <f t="shared" si="59"/>
        <v>no</v>
      </c>
      <c r="L567">
        <v>15</v>
      </c>
      <c r="M567" t="str">
        <f t="shared" si="60"/>
        <v>2020-07-15</v>
      </c>
      <c r="N567" s="20" t="str">
        <f t="shared" si="61"/>
        <v>2020-07-15</v>
      </c>
      <c r="O567" t="str">
        <f t="shared" si="62"/>
        <v>2020-07-15</v>
      </c>
    </row>
    <row r="568" spans="1:15" x14ac:dyDescent="0.2">
      <c r="A568" s="21" t="str">
        <f t="shared" si="56"/>
        <v>y</v>
      </c>
      <c r="B568" s="24" t="s">
        <v>1692</v>
      </c>
      <c r="C568" t="s">
        <v>901</v>
      </c>
      <c r="D568" t="s">
        <v>13</v>
      </c>
      <c r="E568" t="s">
        <v>27</v>
      </c>
      <c r="F568" t="s">
        <v>2</v>
      </c>
      <c r="H568" t="s">
        <v>1958</v>
      </c>
      <c r="I568" s="22" t="str">
        <f t="shared" si="57"/>
        <v>2020-07-14</v>
      </c>
      <c r="J568" s="23" t="str">
        <f t="shared" si="58"/>
        <v>14</v>
      </c>
      <c r="K568" t="str">
        <f t="shared" si="59"/>
        <v>no</v>
      </c>
      <c r="L568">
        <v>14</v>
      </c>
      <c r="M568" t="str">
        <f t="shared" si="60"/>
        <v>2020-07-14</v>
      </c>
      <c r="N568" s="20">
        <f t="shared" si="61"/>
        <v>44027</v>
      </c>
      <c r="O568" t="str">
        <f t="shared" si="62"/>
        <v>2020-07-15</v>
      </c>
    </row>
    <row r="569" spans="1:15" x14ac:dyDescent="0.2">
      <c r="A569" s="21" t="str">
        <f t="shared" si="56"/>
        <v>y</v>
      </c>
      <c r="B569" s="24" t="s">
        <v>1692</v>
      </c>
      <c r="C569" t="s">
        <v>235</v>
      </c>
      <c r="D569" t="s">
        <v>13</v>
      </c>
      <c r="E569" t="s">
        <v>34</v>
      </c>
      <c r="F569" t="s">
        <v>2</v>
      </c>
      <c r="H569" t="s">
        <v>1976</v>
      </c>
      <c r="I569" s="22" t="str">
        <f t="shared" si="57"/>
        <v>2020-07-14</v>
      </c>
      <c r="J569" s="23" t="str">
        <f t="shared" si="58"/>
        <v>14</v>
      </c>
      <c r="K569" t="str">
        <f t="shared" si="59"/>
        <v>no</v>
      </c>
      <c r="L569">
        <v>14</v>
      </c>
      <c r="M569" t="str">
        <f t="shared" si="60"/>
        <v>2020-07-14</v>
      </c>
      <c r="N569" s="20">
        <f t="shared" si="61"/>
        <v>44027</v>
      </c>
      <c r="O569" t="str">
        <f t="shared" si="62"/>
        <v>2020-07-15</v>
      </c>
    </row>
    <row r="570" spans="1:15" x14ac:dyDescent="0.2">
      <c r="A570" s="21" t="str">
        <f t="shared" si="56"/>
        <v>y</v>
      </c>
      <c r="B570" s="24" t="s">
        <v>1692</v>
      </c>
      <c r="C570" t="s">
        <v>616</v>
      </c>
      <c r="D570" t="s">
        <v>13</v>
      </c>
      <c r="E570" t="s">
        <v>34</v>
      </c>
      <c r="F570" t="s">
        <v>29</v>
      </c>
      <c r="G570" t="s">
        <v>1260</v>
      </c>
      <c r="H570" t="s">
        <v>1989</v>
      </c>
      <c r="I570" s="22" t="str">
        <f t="shared" si="57"/>
        <v>2020-07-14</v>
      </c>
      <c r="J570" s="23" t="str">
        <f t="shared" si="58"/>
        <v>14</v>
      </c>
      <c r="K570" t="str">
        <f t="shared" si="59"/>
        <v>no</v>
      </c>
      <c r="L570">
        <v>14</v>
      </c>
      <c r="M570" t="str">
        <f t="shared" si="60"/>
        <v>2020-07-14</v>
      </c>
      <c r="N570" s="20" t="str">
        <f t="shared" si="61"/>
        <v>2020-07-14</v>
      </c>
      <c r="O570" t="str">
        <f t="shared" si="62"/>
        <v>2020-07-14</v>
      </c>
    </row>
    <row r="571" spans="1:15" x14ac:dyDescent="0.2">
      <c r="A571" s="21" t="str">
        <f t="shared" si="56"/>
        <v>y</v>
      </c>
      <c r="B571" s="24" t="s">
        <v>1692</v>
      </c>
      <c r="C571" t="s">
        <v>220</v>
      </c>
      <c r="D571" t="s">
        <v>13</v>
      </c>
      <c r="E571" t="s">
        <v>49</v>
      </c>
      <c r="F571" t="s">
        <v>29</v>
      </c>
      <c r="G571" t="s">
        <v>1258</v>
      </c>
      <c r="H571" t="s">
        <v>1990</v>
      </c>
      <c r="I571" s="22" t="str">
        <f t="shared" si="57"/>
        <v>2020-07-14</v>
      </c>
      <c r="J571" s="23" t="str">
        <f t="shared" si="58"/>
        <v>14</v>
      </c>
      <c r="K571" t="str">
        <f t="shared" si="59"/>
        <v>no</v>
      </c>
      <c r="L571">
        <v>14</v>
      </c>
      <c r="M571" t="str">
        <f t="shared" si="60"/>
        <v>2020-07-14</v>
      </c>
      <c r="N571" s="20" t="str">
        <f t="shared" si="61"/>
        <v>2020-07-14</v>
      </c>
      <c r="O571" t="str">
        <f t="shared" si="62"/>
        <v>2020-07-14</v>
      </c>
    </row>
    <row r="572" spans="1:15" x14ac:dyDescent="0.2">
      <c r="A572" s="21" t="str">
        <f t="shared" si="56"/>
        <v>y</v>
      </c>
      <c r="B572" s="24" t="s">
        <v>1692</v>
      </c>
      <c r="C572" t="s">
        <v>832</v>
      </c>
      <c r="D572" t="s">
        <v>13</v>
      </c>
      <c r="E572" t="s">
        <v>34</v>
      </c>
      <c r="F572" t="s">
        <v>29</v>
      </c>
      <c r="G572" t="s">
        <v>1259</v>
      </c>
      <c r="H572" t="s">
        <v>1966</v>
      </c>
      <c r="I572" s="22" t="str">
        <f t="shared" si="57"/>
        <v>2020-07-14</v>
      </c>
      <c r="J572" s="23" t="str">
        <f t="shared" si="58"/>
        <v>14</v>
      </c>
      <c r="K572" t="str">
        <f t="shared" si="59"/>
        <v>no</v>
      </c>
      <c r="L572">
        <v>14</v>
      </c>
      <c r="M572" t="str">
        <f t="shared" si="60"/>
        <v>2020-07-14</v>
      </c>
      <c r="N572" s="20" t="str">
        <f t="shared" si="61"/>
        <v>2020-07-14</v>
      </c>
      <c r="O572" t="str">
        <f t="shared" si="62"/>
        <v>2020-07-14</v>
      </c>
    </row>
    <row r="573" spans="1:15" x14ac:dyDescent="0.2">
      <c r="A573" s="21" t="str">
        <f t="shared" si="56"/>
        <v>y</v>
      </c>
      <c r="B573" s="24" t="s">
        <v>1692</v>
      </c>
      <c r="C573" t="s">
        <v>701</v>
      </c>
      <c r="D573" t="s">
        <v>13</v>
      </c>
      <c r="E573" t="s">
        <v>34</v>
      </c>
      <c r="F573" t="s">
        <v>29</v>
      </c>
      <c r="G573" t="s">
        <v>1261</v>
      </c>
      <c r="H573" t="s">
        <v>1982</v>
      </c>
      <c r="I573" s="22" t="str">
        <f t="shared" si="57"/>
        <v>2020-07-14</v>
      </c>
      <c r="J573" s="23" t="str">
        <f t="shared" si="58"/>
        <v>14</v>
      </c>
      <c r="K573" t="str">
        <f t="shared" si="59"/>
        <v>no</v>
      </c>
      <c r="L573">
        <v>14</v>
      </c>
      <c r="M573" t="str">
        <f t="shared" si="60"/>
        <v>2020-07-14</v>
      </c>
      <c r="N573" s="20" t="str">
        <f t="shared" si="61"/>
        <v>2020-07-14</v>
      </c>
      <c r="O573" t="str">
        <f t="shared" si="62"/>
        <v>2020-07-14</v>
      </c>
    </row>
    <row r="574" spans="1:15" x14ac:dyDescent="0.2">
      <c r="A574" s="21" t="str">
        <f t="shared" si="56"/>
        <v>y</v>
      </c>
      <c r="B574" s="24" t="s">
        <v>1693</v>
      </c>
      <c r="C574" t="s">
        <v>901</v>
      </c>
      <c r="D574" t="s">
        <v>13</v>
      </c>
      <c r="E574" t="s">
        <v>27</v>
      </c>
      <c r="F574" t="s">
        <v>2</v>
      </c>
      <c r="G574" t="s">
        <v>1255</v>
      </c>
      <c r="H574" t="s">
        <v>1958</v>
      </c>
      <c r="I574" s="22" t="str">
        <f t="shared" si="57"/>
        <v>2020-07-13</v>
      </c>
      <c r="J574" s="23" t="str">
        <f t="shared" si="58"/>
        <v>13</v>
      </c>
      <c r="K574" t="str">
        <f t="shared" si="59"/>
        <v>no</v>
      </c>
      <c r="L574">
        <v>13</v>
      </c>
      <c r="M574" t="str">
        <f t="shared" si="60"/>
        <v>2020-07-13</v>
      </c>
      <c r="N574" s="20">
        <f t="shared" si="61"/>
        <v>44026</v>
      </c>
      <c r="O574" t="str">
        <f t="shared" si="62"/>
        <v>2020-07-14</v>
      </c>
    </row>
    <row r="575" spans="1:15" x14ac:dyDescent="0.2">
      <c r="A575" s="21" t="str">
        <f t="shared" si="56"/>
        <v>y</v>
      </c>
      <c r="B575" s="24" t="s">
        <v>1693</v>
      </c>
      <c r="C575" t="s">
        <v>235</v>
      </c>
      <c r="D575" t="s">
        <v>13</v>
      </c>
      <c r="E575" t="s">
        <v>34</v>
      </c>
      <c r="F575" t="s">
        <v>2</v>
      </c>
      <c r="H575" t="s">
        <v>1966</v>
      </c>
      <c r="I575" s="22" t="str">
        <f t="shared" si="57"/>
        <v>2020-07-13</v>
      </c>
      <c r="J575" s="23" t="str">
        <f t="shared" si="58"/>
        <v>13</v>
      </c>
      <c r="K575" t="str">
        <f t="shared" si="59"/>
        <v>no</v>
      </c>
      <c r="L575">
        <v>13</v>
      </c>
      <c r="M575" t="str">
        <f t="shared" si="60"/>
        <v>2020-07-13</v>
      </c>
      <c r="N575" s="20">
        <f t="shared" si="61"/>
        <v>44026</v>
      </c>
      <c r="O575" t="str">
        <f t="shared" si="62"/>
        <v>2020-07-14</v>
      </c>
    </row>
    <row r="576" spans="1:15" x14ac:dyDescent="0.2">
      <c r="A576" s="21" t="str">
        <f t="shared" si="56"/>
        <v>y</v>
      </c>
      <c r="B576" s="24" t="s">
        <v>1693</v>
      </c>
      <c r="C576" t="s">
        <v>701</v>
      </c>
      <c r="D576" t="s">
        <v>13</v>
      </c>
      <c r="E576" t="s">
        <v>27</v>
      </c>
      <c r="F576" t="s">
        <v>29</v>
      </c>
      <c r="G576" t="s">
        <v>1256</v>
      </c>
      <c r="H576" t="s">
        <v>1976</v>
      </c>
      <c r="I576" s="22" t="str">
        <f t="shared" si="57"/>
        <v>2020-07-13</v>
      </c>
      <c r="J576" s="23" t="str">
        <f t="shared" si="58"/>
        <v>13</v>
      </c>
      <c r="K576" t="str">
        <f t="shared" si="59"/>
        <v>no</v>
      </c>
      <c r="L576">
        <v>13</v>
      </c>
      <c r="M576" t="str">
        <f t="shared" si="60"/>
        <v>2020-07-13</v>
      </c>
      <c r="N576" s="20" t="str">
        <f t="shared" si="61"/>
        <v>2020-07-13</v>
      </c>
      <c r="O576" t="str">
        <f t="shared" si="62"/>
        <v>2020-07-13</v>
      </c>
    </row>
    <row r="577" spans="1:15" x14ac:dyDescent="0.2">
      <c r="A577" s="21" t="str">
        <f t="shared" si="56"/>
        <v>y</v>
      </c>
      <c r="B577" s="24" t="s">
        <v>1693</v>
      </c>
      <c r="C577" t="s">
        <v>616</v>
      </c>
      <c r="D577" t="s">
        <v>13</v>
      </c>
      <c r="E577" t="s">
        <v>34</v>
      </c>
      <c r="F577" t="s">
        <v>2</v>
      </c>
      <c r="G577" t="s">
        <v>1257</v>
      </c>
      <c r="H577" t="s">
        <v>1976</v>
      </c>
      <c r="I577" s="22" t="str">
        <f t="shared" si="57"/>
        <v>2020-07-13</v>
      </c>
      <c r="J577" s="23" t="str">
        <f t="shared" si="58"/>
        <v>13</v>
      </c>
      <c r="K577" t="str">
        <f t="shared" si="59"/>
        <v>no</v>
      </c>
      <c r="L577">
        <v>13</v>
      </c>
      <c r="M577" t="str">
        <f t="shared" si="60"/>
        <v>2020-07-13</v>
      </c>
      <c r="N577" s="20">
        <f t="shared" si="61"/>
        <v>44026</v>
      </c>
      <c r="O577" t="str">
        <f t="shared" si="62"/>
        <v>2020-07-14</v>
      </c>
    </row>
    <row r="578" spans="1:15" x14ac:dyDescent="0.2">
      <c r="A578" s="21" t="str">
        <f t="shared" si="56"/>
        <v>y</v>
      </c>
      <c r="B578" s="24">
        <v>44172</v>
      </c>
      <c r="C578" t="s">
        <v>616</v>
      </c>
      <c r="D578" t="s">
        <v>13</v>
      </c>
      <c r="E578" t="s">
        <v>34</v>
      </c>
      <c r="F578" t="s">
        <v>2</v>
      </c>
      <c r="G578" t="s">
        <v>1251</v>
      </c>
      <c r="H578" t="s">
        <v>1982</v>
      </c>
      <c r="I578" s="22" t="str">
        <f t="shared" si="57"/>
        <v>2020-07-12</v>
      </c>
      <c r="J578" s="23" t="str">
        <f t="shared" si="58"/>
        <v>44</v>
      </c>
      <c r="K578" t="str">
        <f t="shared" si="59"/>
        <v>yes</v>
      </c>
      <c r="L578">
        <v>44</v>
      </c>
      <c r="M578" t="str">
        <f t="shared" si="60"/>
        <v>2020-07-12</v>
      </c>
      <c r="N578" s="20">
        <f t="shared" si="61"/>
        <v>44025</v>
      </c>
      <c r="O578" t="str">
        <f t="shared" si="62"/>
        <v>2020-07-13</v>
      </c>
    </row>
    <row r="579" spans="1:15" x14ac:dyDescent="0.2">
      <c r="A579" s="21" t="str">
        <f t="shared" si="56"/>
        <v>y</v>
      </c>
      <c r="B579" s="24">
        <v>44172</v>
      </c>
      <c r="C579" t="s">
        <v>901</v>
      </c>
      <c r="D579" t="s">
        <v>13</v>
      </c>
      <c r="E579" t="s">
        <v>27</v>
      </c>
      <c r="F579" t="s">
        <v>2</v>
      </c>
      <c r="G579" t="s">
        <v>1252</v>
      </c>
      <c r="H579" t="s">
        <v>1958</v>
      </c>
      <c r="I579" s="22" t="str">
        <f t="shared" si="57"/>
        <v>2020-07-12</v>
      </c>
      <c r="J579" s="23" t="str">
        <f t="shared" si="58"/>
        <v>44</v>
      </c>
      <c r="K579" t="str">
        <f t="shared" si="59"/>
        <v>yes</v>
      </c>
      <c r="L579">
        <v>44</v>
      </c>
      <c r="M579" t="str">
        <f t="shared" si="60"/>
        <v>2020-07-12</v>
      </c>
      <c r="N579" s="20">
        <f t="shared" si="61"/>
        <v>44025</v>
      </c>
      <c r="O579" t="str">
        <f t="shared" si="62"/>
        <v>2020-07-13</v>
      </c>
    </row>
    <row r="580" spans="1:15" x14ac:dyDescent="0.2">
      <c r="A580" s="21" t="str">
        <f t="shared" ref="A580:A643" si="63">IF(LEFT(B580,2)&gt;12,"y","-")</f>
        <v>y</v>
      </c>
      <c r="B580" s="24">
        <v>44172</v>
      </c>
      <c r="C580" t="s">
        <v>235</v>
      </c>
      <c r="D580" t="s">
        <v>13</v>
      </c>
      <c r="E580" t="s">
        <v>42</v>
      </c>
      <c r="F580" t="s">
        <v>29</v>
      </c>
      <c r="G580" t="s">
        <v>1253</v>
      </c>
      <c r="H580" t="s">
        <v>1958</v>
      </c>
      <c r="I580" s="22" t="str">
        <f t="shared" ref="I580:I643" si="64">IF(K580="yes",TEXT(B580,"YYYY-DD-MM"),TEXT(B580,"YYYY-MM-DD"))</f>
        <v>2020-07-12</v>
      </c>
      <c r="J580" s="23" t="str">
        <f t="shared" ref="J580:J643" si="65">LEFT(B580,2)</f>
        <v>44</v>
      </c>
      <c r="K580" t="str">
        <f t="shared" ref="K580:K643" si="66">IF(L580&gt;31,"yes","no")</f>
        <v>yes</v>
      </c>
      <c r="L580">
        <v>44</v>
      </c>
      <c r="M580" t="str">
        <f t="shared" ref="M580:M643" si="67">I580</f>
        <v>2020-07-12</v>
      </c>
      <c r="N580" s="20" t="str">
        <f t="shared" ref="N580:N643" si="68">IF(F580="DONE",M580,M580+1)</f>
        <v>2020-07-12</v>
      </c>
      <c r="O580" t="str">
        <f t="shared" ref="O580:O643" si="69">TEXT(N580,"YYYY-MM-DD")</f>
        <v>2020-07-12</v>
      </c>
    </row>
    <row r="581" spans="1:15" x14ac:dyDescent="0.2">
      <c r="A581" s="21" t="str">
        <f t="shared" si="63"/>
        <v>y</v>
      </c>
      <c r="B581" s="24">
        <v>44172</v>
      </c>
      <c r="C581" t="s">
        <v>235</v>
      </c>
      <c r="D581" t="s">
        <v>13</v>
      </c>
      <c r="E581" t="s">
        <v>34</v>
      </c>
      <c r="F581" t="s">
        <v>2</v>
      </c>
      <c r="G581" t="s">
        <v>1254</v>
      </c>
      <c r="H581" t="s">
        <v>1990</v>
      </c>
      <c r="I581" s="22" t="str">
        <f t="shared" si="64"/>
        <v>2020-07-12</v>
      </c>
      <c r="J581" s="23" t="str">
        <f t="shared" si="65"/>
        <v>44</v>
      </c>
      <c r="K581" t="str">
        <f t="shared" si="66"/>
        <v>yes</v>
      </c>
      <c r="L581">
        <v>44</v>
      </c>
      <c r="M581" t="str">
        <f t="shared" si="67"/>
        <v>2020-07-12</v>
      </c>
      <c r="N581" s="20">
        <f t="shared" si="68"/>
        <v>44025</v>
      </c>
      <c r="O581" t="str">
        <f t="shared" si="69"/>
        <v>2020-07-13</v>
      </c>
    </row>
    <row r="582" spans="1:15" x14ac:dyDescent="0.2">
      <c r="A582" s="21" t="str">
        <f t="shared" si="63"/>
        <v>y</v>
      </c>
      <c r="B582" s="24">
        <v>44081</v>
      </c>
      <c r="C582" t="s">
        <v>832</v>
      </c>
      <c r="D582" t="s">
        <v>13</v>
      </c>
      <c r="E582" t="s">
        <v>34</v>
      </c>
      <c r="F582" t="s">
        <v>29</v>
      </c>
      <c r="G582" t="s">
        <v>1246</v>
      </c>
      <c r="H582" t="s">
        <v>1976</v>
      </c>
      <c r="I582" s="22" t="str">
        <f t="shared" si="64"/>
        <v>2020-07-09</v>
      </c>
      <c r="J582" s="23" t="str">
        <f t="shared" si="65"/>
        <v>44</v>
      </c>
      <c r="K582" t="str">
        <f t="shared" si="66"/>
        <v>yes</v>
      </c>
      <c r="L582">
        <v>44</v>
      </c>
      <c r="M582" t="str">
        <f t="shared" si="67"/>
        <v>2020-07-09</v>
      </c>
      <c r="N582" s="20" t="str">
        <f t="shared" si="68"/>
        <v>2020-07-09</v>
      </c>
      <c r="O582" t="str">
        <f t="shared" si="69"/>
        <v>2020-07-09</v>
      </c>
    </row>
    <row r="583" spans="1:15" x14ac:dyDescent="0.2">
      <c r="A583" s="21" t="str">
        <f t="shared" si="63"/>
        <v>y</v>
      </c>
      <c r="B583" s="24">
        <v>44081</v>
      </c>
      <c r="C583" t="s">
        <v>616</v>
      </c>
      <c r="D583" t="s">
        <v>13</v>
      </c>
      <c r="E583" t="s">
        <v>34</v>
      </c>
      <c r="F583" t="s">
        <v>2</v>
      </c>
      <c r="G583" t="s">
        <v>1244</v>
      </c>
      <c r="H583" t="s">
        <v>1982</v>
      </c>
      <c r="I583" s="22" t="str">
        <f t="shared" si="64"/>
        <v>2020-07-09</v>
      </c>
      <c r="J583" s="23" t="str">
        <f t="shared" si="65"/>
        <v>44</v>
      </c>
      <c r="K583" t="str">
        <f t="shared" si="66"/>
        <v>yes</v>
      </c>
      <c r="L583">
        <v>44</v>
      </c>
      <c r="M583" t="str">
        <f t="shared" si="67"/>
        <v>2020-07-09</v>
      </c>
      <c r="N583" s="20">
        <f t="shared" si="68"/>
        <v>44022</v>
      </c>
      <c r="O583" t="str">
        <f t="shared" si="69"/>
        <v>2020-07-10</v>
      </c>
    </row>
    <row r="584" spans="1:15" x14ac:dyDescent="0.2">
      <c r="A584" s="21" t="str">
        <f t="shared" si="63"/>
        <v>y</v>
      </c>
      <c r="B584" s="24">
        <v>44081</v>
      </c>
      <c r="C584" t="s">
        <v>901</v>
      </c>
      <c r="D584" t="s">
        <v>13</v>
      </c>
      <c r="E584" t="s">
        <v>27</v>
      </c>
      <c r="F584" t="s">
        <v>2</v>
      </c>
      <c r="G584" t="s">
        <v>1245</v>
      </c>
      <c r="H584" t="s">
        <v>1958</v>
      </c>
      <c r="I584" s="22" t="str">
        <f t="shared" si="64"/>
        <v>2020-07-09</v>
      </c>
      <c r="J584" s="23" t="str">
        <f t="shared" si="65"/>
        <v>44</v>
      </c>
      <c r="K584" t="str">
        <f t="shared" si="66"/>
        <v>yes</v>
      </c>
      <c r="L584">
        <v>44</v>
      </c>
      <c r="M584" t="str">
        <f t="shared" si="67"/>
        <v>2020-07-09</v>
      </c>
      <c r="N584" s="20">
        <f t="shared" si="68"/>
        <v>44022</v>
      </c>
      <c r="O584" t="str">
        <f t="shared" si="69"/>
        <v>2020-07-10</v>
      </c>
    </row>
    <row r="585" spans="1:15" x14ac:dyDescent="0.2">
      <c r="A585" s="21" t="str">
        <f t="shared" si="63"/>
        <v>y</v>
      </c>
      <c r="B585" s="24">
        <v>44081</v>
      </c>
      <c r="C585" t="s">
        <v>235</v>
      </c>
      <c r="D585" t="s">
        <v>13</v>
      </c>
      <c r="E585" t="s">
        <v>43</v>
      </c>
      <c r="F585" t="s">
        <v>29</v>
      </c>
      <c r="G585" t="s">
        <v>1248</v>
      </c>
      <c r="H585" t="s">
        <v>1991</v>
      </c>
      <c r="I585" s="22" t="str">
        <f t="shared" si="64"/>
        <v>2020-07-09</v>
      </c>
      <c r="J585" s="23" t="str">
        <f t="shared" si="65"/>
        <v>44</v>
      </c>
      <c r="K585" t="str">
        <f t="shared" si="66"/>
        <v>yes</v>
      </c>
      <c r="L585">
        <v>44</v>
      </c>
      <c r="M585" t="str">
        <f t="shared" si="67"/>
        <v>2020-07-09</v>
      </c>
      <c r="N585" s="20" t="str">
        <f t="shared" si="68"/>
        <v>2020-07-09</v>
      </c>
      <c r="O585" t="str">
        <f t="shared" si="69"/>
        <v>2020-07-09</v>
      </c>
    </row>
    <row r="586" spans="1:15" x14ac:dyDescent="0.2">
      <c r="A586" s="21" t="str">
        <f t="shared" si="63"/>
        <v>y</v>
      </c>
      <c r="B586" s="24">
        <v>44081</v>
      </c>
      <c r="C586" t="s">
        <v>1160</v>
      </c>
      <c r="D586" t="s">
        <v>13</v>
      </c>
      <c r="E586" t="s">
        <v>34</v>
      </c>
      <c r="F586" t="s">
        <v>29</v>
      </c>
      <c r="G586" t="s">
        <v>1249</v>
      </c>
      <c r="H586" t="s">
        <v>1976</v>
      </c>
      <c r="I586" s="22" t="str">
        <f t="shared" si="64"/>
        <v>2020-07-09</v>
      </c>
      <c r="J586" s="23" t="str">
        <f t="shared" si="65"/>
        <v>44</v>
      </c>
      <c r="K586" t="str">
        <f t="shared" si="66"/>
        <v>yes</v>
      </c>
      <c r="L586">
        <v>44</v>
      </c>
      <c r="M586" t="str">
        <f t="shared" si="67"/>
        <v>2020-07-09</v>
      </c>
      <c r="N586" s="20" t="str">
        <f t="shared" si="68"/>
        <v>2020-07-09</v>
      </c>
      <c r="O586" t="str">
        <f t="shared" si="69"/>
        <v>2020-07-09</v>
      </c>
    </row>
    <row r="587" spans="1:15" x14ac:dyDescent="0.2">
      <c r="A587" s="21" t="str">
        <f t="shared" si="63"/>
        <v>y</v>
      </c>
      <c r="B587" s="24">
        <v>44081</v>
      </c>
      <c r="C587" t="s">
        <v>616</v>
      </c>
      <c r="D587" t="s">
        <v>13</v>
      </c>
      <c r="E587" t="s">
        <v>34</v>
      </c>
      <c r="F587" t="s">
        <v>29</v>
      </c>
      <c r="G587" t="s">
        <v>1247</v>
      </c>
      <c r="H587" t="s">
        <v>1958</v>
      </c>
      <c r="I587" s="22" t="str">
        <f t="shared" si="64"/>
        <v>2020-07-09</v>
      </c>
      <c r="J587" s="23" t="str">
        <f t="shared" si="65"/>
        <v>44</v>
      </c>
      <c r="K587" t="str">
        <f t="shared" si="66"/>
        <v>yes</v>
      </c>
      <c r="L587">
        <v>44</v>
      </c>
      <c r="M587" t="str">
        <f t="shared" si="67"/>
        <v>2020-07-09</v>
      </c>
      <c r="N587" s="20" t="str">
        <f t="shared" si="68"/>
        <v>2020-07-09</v>
      </c>
      <c r="O587" t="str">
        <f t="shared" si="69"/>
        <v>2020-07-09</v>
      </c>
    </row>
    <row r="588" spans="1:15" x14ac:dyDescent="0.2">
      <c r="A588" s="21" t="str">
        <f t="shared" si="63"/>
        <v>y</v>
      </c>
      <c r="B588" s="24">
        <v>44081</v>
      </c>
      <c r="C588" t="s">
        <v>235</v>
      </c>
      <c r="D588" t="s">
        <v>13</v>
      </c>
      <c r="E588" t="s">
        <v>42</v>
      </c>
      <c r="F588" t="s">
        <v>29</v>
      </c>
      <c r="G588" t="s">
        <v>1250</v>
      </c>
      <c r="H588" t="s">
        <v>1990</v>
      </c>
      <c r="I588" s="22" t="str">
        <f t="shared" si="64"/>
        <v>2020-07-09</v>
      </c>
      <c r="J588" s="23" t="str">
        <f t="shared" si="65"/>
        <v>44</v>
      </c>
      <c r="K588" t="str">
        <f t="shared" si="66"/>
        <v>yes</v>
      </c>
      <c r="L588">
        <v>44</v>
      </c>
      <c r="M588" t="str">
        <f t="shared" si="67"/>
        <v>2020-07-09</v>
      </c>
      <c r="N588" s="20" t="str">
        <f t="shared" si="68"/>
        <v>2020-07-09</v>
      </c>
      <c r="O588" t="str">
        <f t="shared" si="69"/>
        <v>2020-07-09</v>
      </c>
    </row>
    <row r="589" spans="1:15" x14ac:dyDescent="0.2">
      <c r="A589" s="21" t="str">
        <f t="shared" si="63"/>
        <v>y</v>
      </c>
      <c r="B589" s="24">
        <v>44050</v>
      </c>
      <c r="C589" t="s">
        <v>832</v>
      </c>
      <c r="D589" t="s">
        <v>13</v>
      </c>
      <c r="E589" t="s">
        <v>34</v>
      </c>
      <c r="F589" t="s">
        <v>29</v>
      </c>
      <c r="G589" t="s">
        <v>1240</v>
      </c>
      <c r="H589" t="s">
        <v>1976</v>
      </c>
      <c r="I589" s="22" t="str">
        <f t="shared" si="64"/>
        <v>2020-07-08</v>
      </c>
      <c r="J589" s="23" t="str">
        <f t="shared" si="65"/>
        <v>44</v>
      </c>
      <c r="K589" t="str">
        <f t="shared" si="66"/>
        <v>yes</v>
      </c>
      <c r="L589">
        <v>44</v>
      </c>
      <c r="M589" t="str">
        <f t="shared" si="67"/>
        <v>2020-07-08</v>
      </c>
      <c r="N589" s="20" t="str">
        <f t="shared" si="68"/>
        <v>2020-07-08</v>
      </c>
      <c r="O589" t="str">
        <f t="shared" si="69"/>
        <v>2020-07-08</v>
      </c>
    </row>
    <row r="590" spans="1:15" x14ac:dyDescent="0.2">
      <c r="A590" s="21" t="str">
        <f t="shared" si="63"/>
        <v>y</v>
      </c>
      <c r="B590" s="24">
        <v>44050</v>
      </c>
      <c r="C590" t="s">
        <v>616</v>
      </c>
      <c r="D590" t="s">
        <v>13</v>
      </c>
      <c r="E590" t="s">
        <v>34</v>
      </c>
      <c r="F590" t="s">
        <v>2</v>
      </c>
      <c r="G590" t="s">
        <v>1241</v>
      </c>
      <c r="H590" t="s">
        <v>1982</v>
      </c>
      <c r="I590" s="22" t="str">
        <f t="shared" si="64"/>
        <v>2020-07-08</v>
      </c>
      <c r="J590" s="23" t="str">
        <f t="shared" si="65"/>
        <v>44</v>
      </c>
      <c r="K590" t="str">
        <f t="shared" si="66"/>
        <v>yes</v>
      </c>
      <c r="L590">
        <v>44</v>
      </c>
      <c r="M590" t="str">
        <f t="shared" si="67"/>
        <v>2020-07-08</v>
      </c>
      <c r="N590" s="20">
        <f t="shared" si="68"/>
        <v>44021</v>
      </c>
      <c r="O590" t="str">
        <f t="shared" si="69"/>
        <v>2020-07-09</v>
      </c>
    </row>
    <row r="591" spans="1:15" x14ac:dyDescent="0.2">
      <c r="A591" s="21" t="str">
        <f t="shared" si="63"/>
        <v>y</v>
      </c>
      <c r="B591" s="24">
        <v>44050</v>
      </c>
      <c r="C591" t="s">
        <v>901</v>
      </c>
      <c r="D591" t="s">
        <v>13</v>
      </c>
      <c r="E591" t="s">
        <v>27</v>
      </c>
      <c r="F591" t="s">
        <v>2</v>
      </c>
      <c r="G591" t="s">
        <v>1242</v>
      </c>
      <c r="H591" t="s">
        <v>1958</v>
      </c>
      <c r="I591" s="22" t="str">
        <f t="shared" si="64"/>
        <v>2020-07-08</v>
      </c>
      <c r="J591" s="23" t="str">
        <f t="shared" si="65"/>
        <v>44</v>
      </c>
      <c r="K591" t="str">
        <f t="shared" si="66"/>
        <v>yes</v>
      </c>
      <c r="L591">
        <v>44</v>
      </c>
      <c r="M591" t="str">
        <f t="shared" si="67"/>
        <v>2020-07-08</v>
      </c>
      <c r="N591" s="20">
        <f t="shared" si="68"/>
        <v>44021</v>
      </c>
      <c r="O591" t="str">
        <f t="shared" si="69"/>
        <v>2020-07-09</v>
      </c>
    </row>
    <row r="592" spans="1:15" x14ac:dyDescent="0.2">
      <c r="A592" s="21" t="str">
        <f t="shared" si="63"/>
        <v>y</v>
      </c>
      <c r="B592" s="24">
        <v>44050</v>
      </c>
      <c r="C592" t="s">
        <v>235</v>
      </c>
      <c r="D592" t="s">
        <v>13</v>
      </c>
      <c r="E592" t="s">
        <v>43</v>
      </c>
      <c r="F592" t="s">
        <v>2</v>
      </c>
      <c r="G592" t="s">
        <v>1243</v>
      </c>
      <c r="H592" t="s">
        <v>1990</v>
      </c>
      <c r="I592" s="22" t="str">
        <f t="shared" si="64"/>
        <v>2020-07-08</v>
      </c>
      <c r="J592" s="23" t="str">
        <f t="shared" si="65"/>
        <v>44</v>
      </c>
      <c r="K592" t="str">
        <f t="shared" si="66"/>
        <v>yes</v>
      </c>
      <c r="L592">
        <v>44</v>
      </c>
      <c r="M592" t="str">
        <f t="shared" si="67"/>
        <v>2020-07-08</v>
      </c>
      <c r="N592" s="20">
        <f t="shared" si="68"/>
        <v>44021</v>
      </c>
      <c r="O592" t="str">
        <f t="shared" si="69"/>
        <v>2020-07-09</v>
      </c>
    </row>
    <row r="593" spans="1:15" x14ac:dyDescent="0.2">
      <c r="A593" s="21" t="str">
        <f t="shared" si="63"/>
        <v>y</v>
      </c>
      <c r="B593" s="24">
        <v>44019</v>
      </c>
      <c r="C593" t="s">
        <v>832</v>
      </c>
      <c r="D593" t="s">
        <v>13</v>
      </c>
      <c r="E593" t="s">
        <v>34</v>
      </c>
      <c r="F593" t="s">
        <v>2</v>
      </c>
      <c r="G593" t="s">
        <v>1232</v>
      </c>
      <c r="H593" t="s">
        <v>1992</v>
      </c>
      <c r="I593" s="22" t="str">
        <f t="shared" si="64"/>
        <v>2020-07-07</v>
      </c>
      <c r="J593" s="23" t="str">
        <f t="shared" si="65"/>
        <v>44</v>
      </c>
      <c r="K593" t="str">
        <f t="shared" si="66"/>
        <v>yes</v>
      </c>
      <c r="L593">
        <v>44</v>
      </c>
      <c r="M593" t="str">
        <f t="shared" si="67"/>
        <v>2020-07-07</v>
      </c>
      <c r="N593" s="20">
        <f t="shared" si="68"/>
        <v>44020</v>
      </c>
      <c r="O593" t="str">
        <f t="shared" si="69"/>
        <v>2020-07-08</v>
      </c>
    </row>
    <row r="594" spans="1:15" x14ac:dyDescent="0.2">
      <c r="A594" s="21" t="str">
        <f t="shared" si="63"/>
        <v>y</v>
      </c>
      <c r="B594" s="24">
        <v>44019</v>
      </c>
      <c r="C594" t="s">
        <v>701</v>
      </c>
      <c r="D594" t="s">
        <v>13</v>
      </c>
      <c r="E594" t="s">
        <v>34</v>
      </c>
      <c r="F594" t="s">
        <v>29</v>
      </c>
      <c r="G594" t="s">
        <v>1236</v>
      </c>
      <c r="H594" t="s">
        <v>1976</v>
      </c>
      <c r="I594" s="22" t="str">
        <f t="shared" si="64"/>
        <v>2020-07-07</v>
      </c>
      <c r="J594" s="23" t="str">
        <f t="shared" si="65"/>
        <v>44</v>
      </c>
      <c r="K594" t="str">
        <f t="shared" si="66"/>
        <v>yes</v>
      </c>
      <c r="L594">
        <v>44</v>
      </c>
      <c r="M594" t="str">
        <f t="shared" si="67"/>
        <v>2020-07-07</v>
      </c>
      <c r="N594" s="20" t="str">
        <f t="shared" si="68"/>
        <v>2020-07-07</v>
      </c>
      <c r="O594" t="str">
        <f t="shared" si="69"/>
        <v>2020-07-07</v>
      </c>
    </row>
    <row r="595" spans="1:15" x14ac:dyDescent="0.2">
      <c r="A595" s="21" t="str">
        <f t="shared" si="63"/>
        <v>y</v>
      </c>
      <c r="B595" s="24">
        <v>44019</v>
      </c>
      <c r="C595" t="s">
        <v>616</v>
      </c>
      <c r="D595" t="s">
        <v>13</v>
      </c>
      <c r="E595" t="s">
        <v>34</v>
      </c>
      <c r="F595" t="s">
        <v>2</v>
      </c>
      <c r="H595" t="s">
        <v>1964</v>
      </c>
      <c r="I595" s="22" t="str">
        <f t="shared" si="64"/>
        <v>2020-07-07</v>
      </c>
      <c r="J595" s="23" t="str">
        <f t="shared" si="65"/>
        <v>44</v>
      </c>
      <c r="K595" t="str">
        <f t="shared" si="66"/>
        <v>yes</v>
      </c>
      <c r="L595">
        <v>44</v>
      </c>
      <c r="M595" t="str">
        <f t="shared" si="67"/>
        <v>2020-07-07</v>
      </c>
      <c r="N595" s="20">
        <f t="shared" si="68"/>
        <v>44020</v>
      </c>
      <c r="O595" t="str">
        <f t="shared" si="69"/>
        <v>2020-07-08</v>
      </c>
    </row>
    <row r="596" spans="1:15" x14ac:dyDescent="0.2">
      <c r="A596" s="21" t="str">
        <f t="shared" si="63"/>
        <v>y</v>
      </c>
      <c r="B596" s="24">
        <v>44019</v>
      </c>
      <c r="C596" t="s">
        <v>345</v>
      </c>
      <c r="D596" t="s">
        <v>13</v>
      </c>
      <c r="E596" t="s">
        <v>34</v>
      </c>
      <c r="F596" t="s">
        <v>29</v>
      </c>
      <c r="G596" t="s">
        <v>1237</v>
      </c>
      <c r="H596" t="s">
        <v>1982</v>
      </c>
      <c r="I596" s="22" t="str">
        <f t="shared" si="64"/>
        <v>2020-07-07</v>
      </c>
      <c r="J596" s="23" t="str">
        <f t="shared" si="65"/>
        <v>44</v>
      </c>
      <c r="K596" t="str">
        <f t="shared" si="66"/>
        <v>yes</v>
      </c>
      <c r="L596">
        <v>44</v>
      </c>
      <c r="M596" t="str">
        <f t="shared" si="67"/>
        <v>2020-07-07</v>
      </c>
      <c r="N596" s="20" t="str">
        <f t="shared" si="68"/>
        <v>2020-07-07</v>
      </c>
      <c r="O596" t="str">
        <f t="shared" si="69"/>
        <v>2020-07-07</v>
      </c>
    </row>
    <row r="597" spans="1:15" x14ac:dyDescent="0.2">
      <c r="A597" s="21" t="str">
        <f t="shared" si="63"/>
        <v>y</v>
      </c>
      <c r="B597" s="24">
        <v>44019</v>
      </c>
      <c r="C597" t="s">
        <v>901</v>
      </c>
      <c r="D597" t="s">
        <v>13</v>
      </c>
      <c r="E597" t="s">
        <v>27</v>
      </c>
      <c r="F597" t="s">
        <v>2</v>
      </c>
      <c r="G597" t="s">
        <v>1238</v>
      </c>
      <c r="H597" t="s">
        <v>1958</v>
      </c>
      <c r="I597" s="22" t="str">
        <f t="shared" si="64"/>
        <v>2020-07-07</v>
      </c>
      <c r="J597" s="23" t="str">
        <f t="shared" si="65"/>
        <v>44</v>
      </c>
      <c r="K597" t="str">
        <f t="shared" si="66"/>
        <v>yes</v>
      </c>
      <c r="L597">
        <v>44</v>
      </c>
      <c r="M597" t="str">
        <f t="shared" si="67"/>
        <v>2020-07-07</v>
      </c>
      <c r="N597" s="20">
        <f t="shared" si="68"/>
        <v>44020</v>
      </c>
      <c r="O597" t="str">
        <f t="shared" si="69"/>
        <v>2020-07-08</v>
      </c>
    </row>
    <row r="598" spans="1:15" x14ac:dyDescent="0.2">
      <c r="A598" s="21" t="str">
        <f t="shared" si="63"/>
        <v>y</v>
      </c>
      <c r="B598" s="24">
        <v>44019</v>
      </c>
      <c r="C598" t="s">
        <v>235</v>
      </c>
      <c r="D598" t="s">
        <v>13</v>
      </c>
      <c r="E598" t="s">
        <v>42</v>
      </c>
      <c r="F598" t="s">
        <v>29</v>
      </c>
      <c r="G598" t="s">
        <v>1239</v>
      </c>
      <c r="H598" t="s">
        <v>1990</v>
      </c>
      <c r="I598" s="22" t="str">
        <f t="shared" si="64"/>
        <v>2020-07-07</v>
      </c>
      <c r="J598" s="23" t="str">
        <f t="shared" si="65"/>
        <v>44</v>
      </c>
      <c r="K598" t="str">
        <f t="shared" si="66"/>
        <v>yes</v>
      </c>
      <c r="L598">
        <v>44</v>
      </c>
      <c r="M598" t="str">
        <f t="shared" si="67"/>
        <v>2020-07-07</v>
      </c>
      <c r="N598" s="20" t="str">
        <f t="shared" si="68"/>
        <v>2020-07-07</v>
      </c>
      <c r="O598" t="str">
        <f t="shared" si="69"/>
        <v>2020-07-07</v>
      </c>
    </row>
    <row r="599" spans="1:15" x14ac:dyDescent="0.2">
      <c r="A599" s="21" t="str">
        <f t="shared" si="63"/>
        <v>y</v>
      </c>
      <c r="B599" s="24">
        <v>43989</v>
      </c>
      <c r="C599" t="s">
        <v>832</v>
      </c>
      <c r="D599" t="s">
        <v>13</v>
      </c>
      <c r="E599" t="s">
        <v>34</v>
      </c>
      <c r="F599" t="s">
        <v>2</v>
      </c>
      <c r="G599" t="s">
        <v>1232</v>
      </c>
      <c r="H599" t="s">
        <v>1993</v>
      </c>
      <c r="I599" s="22" t="str">
        <f t="shared" si="64"/>
        <v>2020-07-06</v>
      </c>
      <c r="J599" s="23" t="str">
        <f t="shared" si="65"/>
        <v>43</v>
      </c>
      <c r="K599" t="str">
        <f t="shared" si="66"/>
        <v>yes</v>
      </c>
      <c r="L599">
        <v>43</v>
      </c>
      <c r="M599" t="str">
        <f t="shared" si="67"/>
        <v>2020-07-06</v>
      </c>
      <c r="N599" s="20">
        <f t="shared" si="68"/>
        <v>44019</v>
      </c>
      <c r="O599" t="str">
        <f t="shared" si="69"/>
        <v>2020-07-07</v>
      </c>
    </row>
    <row r="600" spans="1:15" x14ac:dyDescent="0.2">
      <c r="A600" s="21" t="str">
        <f t="shared" si="63"/>
        <v>y</v>
      </c>
      <c r="B600" s="24">
        <v>43989</v>
      </c>
      <c r="C600" t="s">
        <v>701</v>
      </c>
      <c r="D600" t="s">
        <v>13</v>
      </c>
      <c r="E600" t="s">
        <v>34</v>
      </c>
      <c r="F600" t="s">
        <v>29</v>
      </c>
      <c r="G600" t="s">
        <v>1233</v>
      </c>
      <c r="H600" t="s">
        <v>1976</v>
      </c>
      <c r="I600" s="22" t="str">
        <f t="shared" si="64"/>
        <v>2020-07-06</v>
      </c>
      <c r="J600" s="23" t="str">
        <f t="shared" si="65"/>
        <v>43</v>
      </c>
      <c r="K600" t="str">
        <f t="shared" si="66"/>
        <v>yes</v>
      </c>
      <c r="L600">
        <v>43</v>
      </c>
      <c r="M600" t="str">
        <f t="shared" si="67"/>
        <v>2020-07-06</v>
      </c>
      <c r="N600" s="20" t="str">
        <f t="shared" si="68"/>
        <v>2020-07-06</v>
      </c>
      <c r="O600" t="str">
        <f t="shared" si="69"/>
        <v>2020-07-06</v>
      </c>
    </row>
    <row r="601" spans="1:15" x14ac:dyDescent="0.2">
      <c r="A601" s="21" t="str">
        <f t="shared" si="63"/>
        <v>y</v>
      </c>
      <c r="B601" s="24">
        <v>43989</v>
      </c>
      <c r="C601" t="s">
        <v>616</v>
      </c>
      <c r="D601" t="s">
        <v>13</v>
      </c>
      <c r="E601" t="s">
        <v>34</v>
      </c>
      <c r="F601" t="s">
        <v>2</v>
      </c>
      <c r="H601" t="s">
        <v>1964</v>
      </c>
      <c r="I601" s="22" t="str">
        <f t="shared" si="64"/>
        <v>2020-07-06</v>
      </c>
      <c r="J601" s="23" t="str">
        <f t="shared" si="65"/>
        <v>43</v>
      </c>
      <c r="K601" t="str">
        <f t="shared" si="66"/>
        <v>yes</v>
      </c>
      <c r="L601">
        <v>43</v>
      </c>
      <c r="M601" t="str">
        <f t="shared" si="67"/>
        <v>2020-07-06</v>
      </c>
      <c r="N601" s="20">
        <f t="shared" si="68"/>
        <v>44019</v>
      </c>
      <c r="O601" t="str">
        <f t="shared" si="69"/>
        <v>2020-07-07</v>
      </c>
    </row>
    <row r="602" spans="1:15" x14ac:dyDescent="0.2">
      <c r="A602" s="21" t="str">
        <f t="shared" si="63"/>
        <v>y</v>
      </c>
      <c r="B602" s="24">
        <v>43989</v>
      </c>
      <c r="C602" t="s">
        <v>345</v>
      </c>
      <c r="D602" t="s">
        <v>13</v>
      </c>
      <c r="E602" t="s">
        <v>34</v>
      </c>
      <c r="F602" t="s">
        <v>2</v>
      </c>
      <c r="H602" t="s">
        <v>1958</v>
      </c>
      <c r="I602" s="22" t="str">
        <f t="shared" si="64"/>
        <v>2020-07-06</v>
      </c>
      <c r="J602" s="23" t="str">
        <f t="shared" si="65"/>
        <v>43</v>
      </c>
      <c r="K602" t="str">
        <f t="shared" si="66"/>
        <v>yes</v>
      </c>
      <c r="L602">
        <v>43</v>
      </c>
      <c r="M602" t="str">
        <f t="shared" si="67"/>
        <v>2020-07-06</v>
      </c>
      <c r="N602" s="20">
        <f t="shared" si="68"/>
        <v>44019</v>
      </c>
      <c r="O602" t="str">
        <f t="shared" si="69"/>
        <v>2020-07-07</v>
      </c>
    </row>
    <row r="603" spans="1:15" x14ac:dyDescent="0.2">
      <c r="A603" s="21" t="str">
        <f t="shared" si="63"/>
        <v>y</v>
      </c>
      <c r="B603" s="24">
        <v>43989</v>
      </c>
      <c r="C603" t="s">
        <v>235</v>
      </c>
      <c r="D603" t="s">
        <v>13</v>
      </c>
      <c r="E603" t="s">
        <v>43</v>
      </c>
      <c r="F603" t="s">
        <v>29</v>
      </c>
      <c r="G603" t="s">
        <v>1235</v>
      </c>
      <c r="H603" t="s">
        <v>1990</v>
      </c>
      <c r="I603" s="22" t="str">
        <f t="shared" si="64"/>
        <v>2020-07-06</v>
      </c>
      <c r="J603" s="23" t="str">
        <f t="shared" si="65"/>
        <v>43</v>
      </c>
      <c r="K603" t="str">
        <f t="shared" si="66"/>
        <v>yes</v>
      </c>
      <c r="L603">
        <v>43</v>
      </c>
      <c r="M603" t="str">
        <f t="shared" si="67"/>
        <v>2020-07-06</v>
      </c>
      <c r="N603" s="20" t="str">
        <f t="shared" si="68"/>
        <v>2020-07-06</v>
      </c>
      <c r="O603" t="str">
        <f t="shared" si="69"/>
        <v>2020-07-06</v>
      </c>
    </row>
    <row r="604" spans="1:15" x14ac:dyDescent="0.2">
      <c r="A604" s="21" t="str">
        <f t="shared" si="63"/>
        <v>y</v>
      </c>
      <c r="B604" s="24">
        <v>43958</v>
      </c>
      <c r="C604" t="s">
        <v>832</v>
      </c>
      <c r="D604" t="s">
        <v>13</v>
      </c>
      <c r="E604" t="s">
        <v>34</v>
      </c>
      <c r="F604" t="s">
        <v>2</v>
      </c>
      <c r="G604" t="s">
        <v>1232</v>
      </c>
      <c r="H604" t="s">
        <v>1993</v>
      </c>
      <c r="I604" s="22" t="str">
        <f t="shared" si="64"/>
        <v>2020-07-05</v>
      </c>
      <c r="J604" s="23" t="str">
        <f t="shared" si="65"/>
        <v>43</v>
      </c>
      <c r="K604" t="str">
        <f t="shared" si="66"/>
        <v>yes</v>
      </c>
      <c r="L604">
        <v>43</v>
      </c>
      <c r="M604" t="str">
        <f t="shared" si="67"/>
        <v>2020-07-05</v>
      </c>
      <c r="N604" s="20">
        <f t="shared" si="68"/>
        <v>44018</v>
      </c>
      <c r="O604" t="str">
        <f t="shared" si="69"/>
        <v>2020-07-06</v>
      </c>
    </row>
    <row r="605" spans="1:15" x14ac:dyDescent="0.2">
      <c r="A605" s="21" t="str">
        <f t="shared" si="63"/>
        <v>y</v>
      </c>
      <c r="B605" s="24">
        <v>43958</v>
      </c>
      <c r="C605" t="s">
        <v>701</v>
      </c>
      <c r="D605" t="s">
        <v>13</v>
      </c>
      <c r="E605" t="s">
        <v>34</v>
      </c>
      <c r="F605" t="s">
        <v>2</v>
      </c>
      <c r="G605" t="s">
        <v>1233</v>
      </c>
      <c r="H605" t="s">
        <v>1958</v>
      </c>
      <c r="I605" s="22" t="str">
        <f t="shared" si="64"/>
        <v>2020-07-05</v>
      </c>
      <c r="J605" s="23" t="str">
        <f t="shared" si="65"/>
        <v>43</v>
      </c>
      <c r="K605" t="str">
        <f t="shared" si="66"/>
        <v>yes</v>
      </c>
      <c r="L605">
        <v>43</v>
      </c>
      <c r="M605" t="str">
        <f t="shared" si="67"/>
        <v>2020-07-05</v>
      </c>
      <c r="N605" s="20">
        <f t="shared" si="68"/>
        <v>44018</v>
      </c>
      <c r="O605" t="str">
        <f t="shared" si="69"/>
        <v>2020-07-06</v>
      </c>
    </row>
    <row r="606" spans="1:15" x14ac:dyDescent="0.2">
      <c r="A606" s="21" t="str">
        <f t="shared" si="63"/>
        <v>y</v>
      </c>
      <c r="B606" s="24">
        <v>43958</v>
      </c>
      <c r="C606" t="s">
        <v>235</v>
      </c>
      <c r="D606" t="s">
        <v>13</v>
      </c>
      <c r="E606" t="s">
        <v>42</v>
      </c>
      <c r="F606" t="s">
        <v>29</v>
      </c>
      <c r="G606" t="s">
        <v>1234</v>
      </c>
      <c r="H606" t="s">
        <v>1990</v>
      </c>
      <c r="I606" s="22" t="str">
        <f t="shared" si="64"/>
        <v>2020-07-05</v>
      </c>
      <c r="J606" s="23" t="str">
        <f t="shared" si="65"/>
        <v>43</v>
      </c>
      <c r="K606" t="str">
        <f t="shared" si="66"/>
        <v>yes</v>
      </c>
      <c r="L606">
        <v>43</v>
      </c>
      <c r="M606" t="str">
        <f t="shared" si="67"/>
        <v>2020-07-05</v>
      </c>
      <c r="N606" s="20" t="str">
        <f t="shared" si="68"/>
        <v>2020-07-05</v>
      </c>
      <c r="O606" t="str">
        <f t="shared" si="69"/>
        <v>2020-07-05</v>
      </c>
    </row>
    <row r="607" spans="1:15" x14ac:dyDescent="0.2">
      <c r="A607" s="21" t="str">
        <f t="shared" si="63"/>
        <v>y</v>
      </c>
      <c r="B607" s="24">
        <v>43868</v>
      </c>
      <c r="C607" t="s">
        <v>832</v>
      </c>
      <c r="D607" t="s">
        <v>13</v>
      </c>
      <c r="E607" t="s">
        <v>34</v>
      </c>
      <c r="F607" t="s">
        <v>2</v>
      </c>
      <c r="H607" t="s">
        <v>1993</v>
      </c>
      <c r="I607" s="22" t="str">
        <f t="shared" si="64"/>
        <v>2020-07-02</v>
      </c>
      <c r="J607" s="23" t="str">
        <f t="shared" si="65"/>
        <v>43</v>
      </c>
      <c r="K607" t="str">
        <f t="shared" si="66"/>
        <v>yes</v>
      </c>
      <c r="L607">
        <v>43</v>
      </c>
      <c r="M607" t="str">
        <f t="shared" si="67"/>
        <v>2020-07-02</v>
      </c>
      <c r="N607" s="20">
        <f t="shared" si="68"/>
        <v>44015</v>
      </c>
      <c r="O607" t="str">
        <f t="shared" si="69"/>
        <v>2020-07-03</v>
      </c>
    </row>
    <row r="608" spans="1:15" x14ac:dyDescent="0.2">
      <c r="A608" s="21" t="str">
        <f t="shared" si="63"/>
        <v>y</v>
      </c>
      <c r="B608" s="24">
        <v>43868</v>
      </c>
      <c r="C608" t="s">
        <v>701</v>
      </c>
      <c r="D608" t="s">
        <v>13</v>
      </c>
      <c r="E608" t="s">
        <v>34</v>
      </c>
      <c r="F608" t="s">
        <v>2</v>
      </c>
      <c r="H608" t="s">
        <v>1990</v>
      </c>
      <c r="I608" s="22" t="str">
        <f t="shared" si="64"/>
        <v>2020-07-02</v>
      </c>
      <c r="J608" s="23" t="str">
        <f t="shared" si="65"/>
        <v>43</v>
      </c>
      <c r="K608" t="str">
        <f t="shared" si="66"/>
        <v>yes</v>
      </c>
      <c r="L608">
        <v>43</v>
      </c>
      <c r="M608" t="str">
        <f t="shared" si="67"/>
        <v>2020-07-02</v>
      </c>
      <c r="N608" s="20">
        <f t="shared" si="68"/>
        <v>44015</v>
      </c>
      <c r="O608" t="str">
        <f t="shared" si="69"/>
        <v>2020-07-03</v>
      </c>
    </row>
    <row r="609" spans="1:15" x14ac:dyDescent="0.2">
      <c r="A609" s="21" t="str">
        <f t="shared" si="63"/>
        <v>y</v>
      </c>
      <c r="B609" s="24">
        <v>43837</v>
      </c>
      <c r="C609" t="s">
        <v>832</v>
      </c>
      <c r="D609" t="s">
        <v>13</v>
      </c>
      <c r="E609" t="s">
        <v>34</v>
      </c>
      <c r="F609" t="s">
        <v>2</v>
      </c>
      <c r="H609" t="s">
        <v>1993</v>
      </c>
      <c r="I609" s="22" t="str">
        <f t="shared" si="64"/>
        <v>2020-07-01</v>
      </c>
      <c r="J609" s="23" t="str">
        <f t="shared" si="65"/>
        <v>43</v>
      </c>
      <c r="K609" t="str">
        <f t="shared" si="66"/>
        <v>yes</v>
      </c>
      <c r="L609">
        <v>43</v>
      </c>
      <c r="M609" t="str">
        <f t="shared" si="67"/>
        <v>2020-07-01</v>
      </c>
      <c r="N609" s="20">
        <f t="shared" si="68"/>
        <v>44014</v>
      </c>
      <c r="O609" t="str">
        <f t="shared" si="69"/>
        <v>2020-07-02</v>
      </c>
    </row>
    <row r="610" spans="1:15" x14ac:dyDescent="0.2">
      <c r="A610" s="21" t="str">
        <f t="shared" si="63"/>
        <v>y</v>
      </c>
      <c r="B610" s="24">
        <v>43837</v>
      </c>
      <c r="C610" t="s">
        <v>701</v>
      </c>
      <c r="D610" t="s">
        <v>13</v>
      </c>
      <c r="E610" t="s">
        <v>34</v>
      </c>
      <c r="F610" t="s">
        <v>2</v>
      </c>
      <c r="H610" t="s">
        <v>1958</v>
      </c>
      <c r="I610" s="22" t="str">
        <f t="shared" si="64"/>
        <v>2020-07-01</v>
      </c>
      <c r="J610" s="23" t="str">
        <f t="shared" si="65"/>
        <v>43</v>
      </c>
      <c r="K610" t="str">
        <f t="shared" si="66"/>
        <v>yes</v>
      </c>
      <c r="L610">
        <v>43</v>
      </c>
      <c r="M610" t="str">
        <f t="shared" si="67"/>
        <v>2020-07-01</v>
      </c>
      <c r="N610" s="20">
        <f t="shared" si="68"/>
        <v>44014</v>
      </c>
      <c r="O610" t="str">
        <f t="shared" si="69"/>
        <v>2020-07-02</v>
      </c>
    </row>
    <row r="611" spans="1:15" x14ac:dyDescent="0.2">
      <c r="A611" s="21" t="str">
        <f t="shared" si="63"/>
        <v>y</v>
      </c>
      <c r="B611" s="24">
        <v>43837</v>
      </c>
      <c r="C611" t="s">
        <v>235</v>
      </c>
      <c r="D611" t="s">
        <v>13</v>
      </c>
      <c r="E611" t="s">
        <v>49</v>
      </c>
      <c r="F611" t="s">
        <v>2</v>
      </c>
      <c r="G611" t="s">
        <v>1231</v>
      </c>
      <c r="H611" t="s">
        <v>1990</v>
      </c>
      <c r="I611" s="22" t="str">
        <f t="shared" si="64"/>
        <v>2020-07-01</v>
      </c>
      <c r="J611" s="23" t="str">
        <f t="shared" si="65"/>
        <v>43</v>
      </c>
      <c r="K611" t="str">
        <f t="shared" si="66"/>
        <v>yes</v>
      </c>
      <c r="L611">
        <v>43</v>
      </c>
      <c r="M611" t="str">
        <f t="shared" si="67"/>
        <v>2020-07-01</v>
      </c>
      <c r="N611" s="20">
        <f t="shared" si="68"/>
        <v>44014</v>
      </c>
      <c r="O611" t="str">
        <f t="shared" si="69"/>
        <v>2020-07-02</v>
      </c>
    </row>
    <row r="612" spans="1:15" x14ac:dyDescent="0.2">
      <c r="A612" s="21" t="str">
        <f t="shared" si="63"/>
        <v>y</v>
      </c>
      <c r="B612" s="24" t="s">
        <v>1694</v>
      </c>
      <c r="C612" t="s">
        <v>832</v>
      </c>
      <c r="D612" t="s">
        <v>13</v>
      </c>
      <c r="E612" t="s">
        <v>34</v>
      </c>
      <c r="F612" t="s">
        <v>2</v>
      </c>
      <c r="G612" t="s">
        <v>1226</v>
      </c>
      <c r="H612" t="s">
        <v>1958</v>
      </c>
      <c r="I612" s="22" t="str">
        <f t="shared" si="64"/>
        <v>2020-06-30</v>
      </c>
      <c r="J612" s="23" t="str">
        <f t="shared" si="65"/>
        <v>30</v>
      </c>
      <c r="K612" t="str">
        <f t="shared" si="66"/>
        <v>no</v>
      </c>
      <c r="L612">
        <v>30</v>
      </c>
      <c r="M612" t="str">
        <f t="shared" si="67"/>
        <v>2020-06-30</v>
      </c>
      <c r="N612" s="20">
        <f t="shared" si="68"/>
        <v>44013</v>
      </c>
      <c r="O612" t="str">
        <f t="shared" si="69"/>
        <v>2020-07-01</v>
      </c>
    </row>
    <row r="613" spans="1:15" x14ac:dyDescent="0.2">
      <c r="A613" s="21" t="str">
        <f t="shared" si="63"/>
        <v>y</v>
      </c>
      <c r="B613" s="24" t="s">
        <v>1694</v>
      </c>
      <c r="C613" t="s">
        <v>235</v>
      </c>
      <c r="D613" t="s">
        <v>13</v>
      </c>
      <c r="E613" t="s">
        <v>42</v>
      </c>
      <c r="F613" t="s">
        <v>29</v>
      </c>
      <c r="G613" t="s">
        <v>1227</v>
      </c>
      <c r="H613" t="s">
        <v>1964</v>
      </c>
      <c r="I613" s="22" t="str">
        <f t="shared" si="64"/>
        <v>2020-06-30</v>
      </c>
      <c r="J613" s="23" t="str">
        <f t="shared" si="65"/>
        <v>30</v>
      </c>
      <c r="K613" t="str">
        <f t="shared" si="66"/>
        <v>no</v>
      </c>
      <c r="L613">
        <v>30</v>
      </c>
      <c r="M613" t="str">
        <f t="shared" si="67"/>
        <v>2020-06-30</v>
      </c>
      <c r="N613" s="20" t="str">
        <f t="shared" si="68"/>
        <v>2020-06-30</v>
      </c>
      <c r="O613" t="str">
        <f t="shared" si="69"/>
        <v>2020-06-30</v>
      </c>
    </row>
    <row r="614" spans="1:15" x14ac:dyDescent="0.2">
      <c r="A614" s="21" t="str">
        <f t="shared" si="63"/>
        <v>y</v>
      </c>
      <c r="B614" s="24" t="s">
        <v>1694</v>
      </c>
      <c r="C614" t="s">
        <v>345</v>
      </c>
      <c r="D614" t="s">
        <v>13</v>
      </c>
      <c r="E614" t="s">
        <v>34</v>
      </c>
      <c r="F614" t="s">
        <v>29</v>
      </c>
      <c r="G614" t="s">
        <v>1228</v>
      </c>
      <c r="H614" t="s">
        <v>1958</v>
      </c>
      <c r="I614" s="22" t="str">
        <f t="shared" si="64"/>
        <v>2020-06-30</v>
      </c>
      <c r="J614" s="23" t="str">
        <f t="shared" si="65"/>
        <v>30</v>
      </c>
      <c r="K614" t="str">
        <f t="shared" si="66"/>
        <v>no</v>
      </c>
      <c r="L614">
        <v>30</v>
      </c>
      <c r="M614" t="str">
        <f t="shared" si="67"/>
        <v>2020-06-30</v>
      </c>
      <c r="N614" s="20" t="str">
        <f t="shared" si="68"/>
        <v>2020-06-30</v>
      </c>
      <c r="O614" t="str">
        <f t="shared" si="69"/>
        <v>2020-06-30</v>
      </c>
    </row>
    <row r="615" spans="1:15" x14ac:dyDescent="0.2">
      <c r="A615" s="21" t="str">
        <f t="shared" si="63"/>
        <v>y</v>
      </c>
      <c r="B615" s="24" t="s">
        <v>1694</v>
      </c>
      <c r="C615" t="s">
        <v>235</v>
      </c>
      <c r="D615" t="s">
        <v>13</v>
      </c>
      <c r="E615" t="s">
        <v>34</v>
      </c>
      <c r="F615" t="s">
        <v>29</v>
      </c>
      <c r="G615" t="s">
        <v>1229</v>
      </c>
      <c r="H615" t="s">
        <v>1993</v>
      </c>
      <c r="I615" s="22" t="str">
        <f t="shared" si="64"/>
        <v>2020-06-30</v>
      </c>
      <c r="J615" s="23" t="str">
        <f t="shared" si="65"/>
        <v>30</v>
      </c>
      <c r="K615" t="str">
        <f t="shared" si="66"/>
        <v>no</v>
      </c>
      <c r="L615">
        <v>30</v>
      </c>
      <c r="M615" t="str">
        <f t="shared" si="67"/>
        <v>2020-06-30</v>
      </c>
      <c r="N615" s="20" t="str">
        <f t="shared" si="68"/>
        <v>2020-06-30</v>
      </c>
      <c r="O615" t="str">
        <f t="shared" si="69"/>
        <v>2020-06-30</v>
      </c>
    </row>
    <row r="616" spans="1:15" x14ac:dyDescent="0.2">
      <c r="A616" s="21" t="str">
        <f t="shared" si="63"/>
        <v>y</v>
      </c>
      <c r="B616" s="24" t="s">
        <v>1694</v>
      </c>
      <c r="C616" t="s">
        <v>701</v>
      </c>
      <c r="D616" t="s">
        <v>13</v>
      </c>
      <c r="E616" t="s">
        <v>115</v>
      </c>
      <c r="F616" t="s">
        <v>2</v>
      </c>
      <c r="G616" t="s">
        <v>1230</v>
      </c>
      <c r="H616" t="s">
        <v>1991</v>
      </c>
      <c r="I616" s="22" t="str">
        <f t="shared" si="64"/>
        <v>2020-06-30</v>
      </c>
      <c r="J616" s="23" t="str">
        <f t="shared" si="65"/>
        <v>30</v>
      </c>
      <c r="K616" t="str">
        <f t="shared" si="66"/>
        <v>no</v>
      </c>
      <c r="L616">
        <v>30</v>
      </c>
      <c r="M616" t="str">
        <f t="shared" si="67"/>
        <v>2020-06-30</v>
      </c>
      <c r="N616" s="20">
        <f t="shared" si="68"/>
        <v>44013</v>
      </c>
      <c r="O616" t="str">
        <f t="shared" si="69"/>
        <v>2020-07-01</v>
      </c>
    </row>
    <row r="617" spans="1:15" x14ac:dyDescent="0.2">
      <c r="A617" s="21" t="str">
        <f t="shared" si="63"/>
        <v>y</v>
      </c>
      <c r="B617" s="24" t="s">
        <v>1695</v>
      </c>
      <c r="C617" t="s">
        <v>1160</v>
      </c>
      <c r="D617" t="s">
        <v>13</v>
      </c>
      <c r="E617" t="s">
        <v>8</v>
      </c>
      <c r="F617" t="s">
        <v>29</v>
      </c>
      <c r="G617" t="s">
        <v>1223</v>
      </c>
      <c r="H617" t="s">
        <v>1956</v>
      </c>
      <c r="I617" s="22" t="str">
        <f t="shared" si="64"/>
        <v>2020-06-29</v>
      </c>
      <c r="J617" s="23" t="str">
        <f t="shared" si="65"/>
        <v>29</v>
      </c>
      <c r="K617" t="str">
        <f t="shared" si="66"/>
        <v>no</v>
      </c>
      <c r="L617">
        <v>29</v>
      </c>
      <c r="M617" t="str">
        <f t="shared" si="67"/>
        <v>2020-06-29</v>
      </c>
      <c r="N617" s="20" t="str">
        <f t="shared" si="68"/>
        <v>2020-06-29</v>
      </c>
      <c r="O617" t="str">
        <f t="shared" si="69"/>
        <v>2020-06-29</v>
      </c>
    </row>
    <row r="618" spans="1:15" x14ac:dyDescent="0.2">
      <c r="A618" s="21" t="str">
        <f t="shared" si="63"/>
        <v>y</v>
      </c>
      <c r="B618" s="24" t="s">
        <v>1695</v>
      </c>
      <c r="C618" t="s">
        <v>1064</v>
      </c>
      <c r="D618" t="s">
        <v>13</v>
      </c>
      <c r="E618" t="s">
        <v>8</v>
      </c>
      <c r="F618" t="s">
        <v>29</v>
      </c>
      <c r="G618" t="s">
        <v>1224</v>
      </c>
      <c r="H618" t="s">
        <v>1977</v>
      </c>
      <c r="I618" s="22" t="str">
        <f t="shared" si="64"/>
        <v>2020-06-29</v>
      </c>
      <c r="J618" s="23" t="str">
        <f t="shared" si="65"/>
        <v>29</v>
      </c>
      <c r="K618" t="str">
        <f t="shared" si="66"/>
        <v>no</v>
      </c>
      <c r="L618">
        <v>29</v>
      </c>
      <c r="M618" t="str">
        <f t="shared" si="67"/>
        <v>2020-06-29</v>
      </c>
      <c r="N618" s="20" t="str">
        <f t="shared" si="68"/>
        <v>2020-06-29</v>
      </c>
      <c r="O618" t="str">
        <f t="shared" si="69"/>
        <v>2020-06-29</v>
      </c>
    </row>
    <row r="619" spans="1:15" x14ac:dyDescent="0.2">
      <c r="A619" s="21" t="str">
        <f t="shared" si="63"/>
        <v>y</v>
      </c>
      <c r="B619" s="24" t="s">
        <v>1695</v>
      </c>
      <c r="C619" t="s">
        <v>756</v>
      </c>
      <c r="D619" t="s">
        <v>13</v>
      </c>
      <c r="E619" t="s">
        <v>28</v>
      </c>
      <c r="F619" t="s">
        <v>29</v>
      </c>
      <c r="G619" t="s">
        <v>1222</v>
      </c>
      <c r="H619" t="s">
        <v>1990</v>
      </c>
      <c r="I619" s="22" t="str">
        <f t="shared" si="64"/>
        <v>2020-06-29</v>
      </c>
      <c r="J619" s="23" t="str">
        <f t="shared" si="65"/>
        <v>29</v>
      </c>
      <c r="K619" t="str">
        <f t="shared" si="66"/>
        <v>no</v>
      </c>
      <c r="L619">
        <v>29</v>
      </c>
      <c r="M619" t="str">
        <f t="shared" si="67"/>
        <v>2020-06-29</v>
      </c>
      <c r="N619" s="20" t="str">
        <f t="shared" si="68"/>
        <v>2020-06-29</v>
      </c>
      <c r="O619" t="str">
        <f t="shared" si="69"/>
        <v>2020-06-29</v>
      </c>
    </row>
    <row r="620" spans="1:15" x14ac:dyDescent="0.2">
      <c r="A620" s="21" t="str">
        <f t="shared" si="63"/>
        <v>y</v>
      </c>
      <c r="B620" s="24" t="s">
        <v>1695</v>
      </c>
      <c r="C620" t="s">
        <v>832</v>
      </c>
      <c r="D620" t="s">
        <v>13</v>
      </c>
      <c r="E620" t="s">
        <v>34</v>
      </c>
      <c r="F620" t="s">
        <v>2</v>
      </c>
      <c r="H620" t="s">
        <v>1958</v>
      </c>
      <c r="I620" s="22" t="str">
        <f t="shared" si="64"/>
        <v>2020-06-29</v>
      </c>
      <c r="J620" s="23" t="str">
        <f t="shared" si="65"/>
        <v>29</v>
      </c>
      <c r="K620" t="str">
        <f t="shared" si="66"/>
        <v>no</v>
      </c>
      <c r="L620">
        <v>29</v>
      </c>
      <c r="M620" t="str">
        <f t="shared" si="67"/>
        <v>2020-06-29</v>
      </c>
      <c r="N620" s="20">
        <f t="shared" si="68"/>
        <v>44012</v>
      </c>
      <c r="O620" t="str">
        <f t="shared" si="69"/>
        <v>2020-06-30</v>
      </c>
    </row>
    <row r="621" spans="1:15" x14ac:dyDescent="0.2">
      <c r="A621" s="21" t="str">
        <f t="shared" si="63"/>
        <v>y</v>
      </c>
      <c r="B621" s="24" t="s">
        <v>1695</v>
      </c>
      <c r="C621" t="s">
        <v>235</v>
      </c>
      <c r="D621" t="s">
        <v>13</v>
      </c>
      <c r="E621" t="s">
        <v>43</v>
      </c>
      <c r="F621" t="s">
        <v>29</v>
      </c>
      <c r="G621" t="s">
        <v>1225</v>
      </c>
      <c r="H621" t="s">
        <v>1958</v>
      </c>
      <c r="I621" s="22" t="str">
        <f t="shared" si="64"/>
        <v>2020-06-29</v>
      </c>
      <c r="J621" s="23" t="str">
        <f t="shared" si="65"/>
        <v>29</v>
      </c>
      <c r="K621" t="str">
        <f t="shared" si="66"/>
        <v>no</v>
      </c>
      <c r="L621">
        <v>29</v>
      </c>
      <c r="M621" t="str">
        <f t="shared" si="67"/>
        <v>2020-06-29</v>
      </c>
      <c r="N621" s="20" t="str">
        <f t="shared" si="68"/>
        <v>2020-06-29</v>
      </c>
      <c r="O621" t="str">
        <f t="shared" si="69"/>
        <v>2020-06-29</v>
      </c>
    </row>
    <row r="622" spans="1:15" x14ac:dyDescent="0.2">
      <c r="A622" s="21" t="str">
        <f t="shared" si="63"/>
        <v>y</v>
      </c>
      <c r="B622" s="24" t="s">
        <v>1695</v>
      </c>
      <c r="C622" t="s">
        <v>235</v>
      </c>
      <c r="D622" t="s">
        <v>13</v>
      </c>
      <c r="E622" t="s">
        <v>8</v>
      </c>
      <c r="F622" t="s">
        <v>2</v>
      </c>
      <c r="H622" t="s">
        <v>1991</v>
      </c>
      <c r="I622" s="22" t="str">
        <f t="shared" si="64"/>
        <v>2020-06-29</v>
      </c>
      <c r="J622" s="23" t="str">
        <f t="shared" si="65"/>
        <v>29</v>
      </c>
      <c r="K622" t="str">
        <f t="shared" si="66"/>
        <v>no</v>
      </c>
      <c r="L622">
        <v>29</v>
      </c>
      <c r="M622" t="str">
        <f t="shared" si="67"/>
        <v>2020-06-29</v>
      </c>
      <c r="N622" s="20">
        <f t="shared" si="68"/>
        <v>44012</v>
      </c>
      <c r="O622" t="str">
        <f t="shared" si="69"/>
        <v>2020-06-30</v>
      </c>
    </row>
    <row r="623" spans="1:15" x14ac:dyDescent="0.2">
      <c r="A623" s="21" t="str">
        <f t="shared" si="63"/>
        <v>y</v>
      </c>
      <c r="B623" s="24" t="s">
        <v>1696</v>
      </c>
      <c r="C623" t="s">
        <v>1160</v>
      </c>
      <c r="D623" t="s">
        <v>13</v>
      </c>
      <c r="E623" t="s">
        <v>8</v>
      </c>
      <c r="F623" t="s">
        <v>29</v>
      </c>
      <c r="G623" t="s">
        <v>1221</v>
      </c>
      <c r="H623" t="s">
        <v>1958</v>
      </c>
      <c r="I623" s="22" t="str">
        <f t="shared" si="64"/>
        <v>2020-06-28</v>
      </c>
      <c r="J623" s="23" t="str">
        <f t="shared" si="65"/>
        <v>28</v>
      </c>
      <c r="K623" t="str">
        <f t="shared" si="66"/>
        <v>no</v>
      </c>
      <c r="L623">
        <v>28</v>
      </c>
      <c r="M623" t="str">
        <f t="shared" si="67"/>
        <v>2020-06-28</v>
      </c>
      <c r="N623" s="20" t="str">
        <f t="shared" si="68"/>
        <v>2020-06-28</v>
      </c>
      <c r="O623" t="str">
        <f t="shared" si="69"/>
        <v>2020-06-28</v>
      </c>
    </row>
    <row r="624" spans="1:15" x14ac:dyDescent="0.2">
      <c r="A624" s="21" t="str">
        <f t="shared" si="63"/>
        <v>y</v>
      </c>
      <c r="B624" s="24" t="s">
        <v>1696</v>
      </c>
      <c r="C624" t="s">
        <v>235</v>
      </c>
      <c r="D624" t="s">
        <v>13</v>
      </c>
      <c r="E624" t="s">
        <v>8</v>
      </c>
      <c r="F624" t="s">
        <v>29</v>
      </c>
      <c r="G624" t="s">
        <v>1220</v>
      </c>
      <c r="H624" t="s">
        <v>1990</v>
      </c>
      <c r="I624" s="22" t="str">
        <f t="shared" si="64"/>
        <v>2020-06-28</v>
      </c>
      <c r="J624" s="23" t="str">
        <f t="shared" si="65"/>
        <v>28</v>
      </c>
      <c r="K624" t="str">
        <f t="shared" si="66"/>
        <v>no</v>
      </c>
      <c r="L624">
        <v>28</v>
      </c>
      <c r="M624" t="str">
        <f t="shared" si="67"/>
        <v>2020-06-28</v>
      </c>
      <c r="N624" s="20" t="str">
        <f t="shared" si="68"/>
        <v>2020-06-28</v>
      </c>
      <c r="O624" t="str">
        <f t="shared" si="69"/>
        <v>2020-06-28</v>
      </c>
    </row>
    <row r="625" spans="1:15" x14ac:dyDescent="0.2">
      <c r="A625" s="21" t="str">
        <f t="shared" si="63"/>
        <v>y</v>
      </c>
      <c r="B625" s="24" t="s">
        <v>1696</v>
      </c>
      <c r="C625" t="s">
        <v>832</v>
      </c>
      <c r="D625" t="s">
        <v>13</v>
      </c>
      <c r="E625" t="s">
        <v>8</v>
      </c>
      <c r="F625" t="s">
        <v>29</v>
      </c>
      <c r="G625" t="s">
        <v>1219</v>
      </c>
      <c r="H625" t="s">
        <v>1956</v>
      </c>
      <c r="I625" s="22" t="str">
        <f t="shared" si="64"/>
        <v>2020-06-28</v>
      </c>
      <c r="J625" s="23" t="str">
        <f t="shared" si="65"/>
        <v>28</v>
      </c>
      <c r="K625" t="str">
        <f t="shared" si="66"/>
        <v>no</v>
      </c>
      <c r="L625">
        <v>28</v>
      </c>
      <c r="M625" t="str">
        <f t="shared" si="67"/>
        <v>2020-06-28</v>
      </c>
      <c r="N625" s="20" t="str">
        <f t="shared" si="68"/>
        <v>2020-06-28</v>
      </c>
      <c r="O625" t="str">
        <f t="shared" si="69"/>
        <v>2020-06-28</v>
      </c>
    </row>
    <row r="626" spans="1:15" x14ac:dyDescent="0.2">
      <c r="A626" s="21" t="str">
        <f t="shared" si="63"/>
        <v>y</v>
      </c>
      <c r="B626" s="24" t="s">
        <v>1696</v>
      </c>
      <c r="C626" t="s">
        <v>1064</v>
      </c>
      <c r="D626" t="s">
        <v>13</v>
      </c>
      <c r="E626" t="s">
        <v>8</v>
      </c>
      <c r="F626" t="s">
        <v>2</v>
      </c>
      <c r="H626" t="s">
        <v>1994</v>
      </c>
      <c r="I626" s="22" t="str">
        <f t="shared" si="64"/>
        <v>2020-06-28</v>
      </c>
      <c r="J626" s="23" t="str">
        <f t="shared" si="65"/>
        <v>28</v>
      </c>
      <c r="K626" t="str">
        <f t="shared" si="66"/>
        <v>no</v>
      </c>
      <c r="L626">
        <v>28</v>
      </c>
      <c r="M626" t="str">
        <f t="shared" si="67"/>
        <v>2020-06-28</v>
      </c>
      <c r="N626" s="20">
        <f t="shared" si="68"/>
        <v>44011</v>
      </c>
      <c r="O626" t="str">
        <f t="shared" si="69"/>
        <v>2020-06-29</v>
      </c>
    </row>
    <row r="627" spans="1:15" x14ac:dyDescent="0.2">
      <c r="A627" s="21" t="str">
        <f t="shared" si="63"/>
        <v>y</v>
      </c>
      <c r="B627" s="24" t="s">
        <v>1697</v>
      </c>
      <c r="C627" t="s">
        <v>38</v>
      </c>
      <c r="D627" t="s">
        <v>13</v>
      </c>
      <c r="E627" t="s">
        <v>34</v>
      </c>
      <c r="F627" t="s">
        <v>29</v>
      </c>
      <c r="G627" t="s">
        <v>1218</v>
      </c>
      <c r="H627" t="s">
        <v>1990</v>
      </c>
      <c r="I627" s="22" t="str">
        <f t="shared" si="64"/>
        <v>2020-06-25</v>
      </c>
      <c r="J627" s="23" t="str">
        <f t="shared" si="65"/>
        <v>25</v>
      </c>
      <c r="K627" t="str">
        <f t="shared" si="66"/>
        <v>no</v>
      </c>
      <c r="L627">
        <v>25</v>
      </c>
      <c r="M627" t="str">
        <f t="shared" si="67"/>
        <v>2020-06-25</v>
      </c>
      <c r="N627" s="20" t="str">
        <f t="shared" si="68"/>
        <v>2020-06-25</v>
      </c>
      <c r="O627" t="str">
        <f t="shared" si="69"/>
        <v>2020-06-25</v>
      </c>
    </row>
    <row r="628" spans="1:15" x14ac:dyDescent="0.2">
      <c r="A628" s="21" t="str">
        <f t="shared" si="63"/>
        <v>y</v>
      </c>
      <c r="B628" s="24" t="s">
        <v>1697</v>
      </c>
      <c r="C628" t="s">
        <v>832</v>
      </c>
      <c r="D628" t="s">
        <v>13</v>
      </c>
      <c r="E628" t="s">
        <v>34</v>
      </c>
      <c r="F628" t="s">
        <v>29</v>
      </c>
      <c r="G628" t="s">
        <v>1217</v>
      </c>
      <c r="H628" t="s">
        <v>1991</v>
      </c>
      <c r="I628" s="22" t="str">
        <f t="shared" si="64"/>
        <v>2020-06-25</v>
      </c>
      <c r="J628" s="23" t="str">
        <f t="shared" si="65"/>
        <v>25</v>
      </c>
      <c r="K628" t="str">
        <f t="shared" si="66"/>
        <v>no</v>
      </c>
      <c r="L628">
        <v>25</v>
      </c>
      <c r="M628" t="str">
        <f t="shared" si="67"/>
        <v>2020-06-25</v>
      </c>
      <c r="N628" s="20" t="str">
        <f t="shared" si="68"/>
        <v>2020-06-25</v>
      </c>
      <c r="O628" t="str">
        <f t="shared" si="69"/>
        <v>2020-06-25</v>
      </c>
    </row>
    <row r="629" spans="1:15" x14ac:dyDescent="0.2">
      <c r="A629" s="21" t="str">
        <f t="shared" si="63"/>
        <v>y</v>
      </c>
      <c r="B629" s="24" t="s">
        <v>1697</v>
      </c>
      <c r="C629" t="s">
        <v>1160</v>
      </c>
      <c r="D629" t="s">
        <v>13</v>
      </c>
      <c r="E629" t="s">
        <v>8</v>
      </c>
      <c r="F629" t="s">
        <v>2</v>
      </c>
      <c r="H629" t="s">
        <v>1958</v>
      </c>
      <c r="I629" s="22" t="str">
        <f t="shared" si="64"/>
        <v>2020-06-25</v>
      </c>
      <c r="J629" s="23" t="str">
        <f t="shared" si="65"/>
        <v>25</v>
      </c>
      <c r="K629" t="str">
        <f t="shared" si="66"/>
        <v>no</v>
      </c>
      <c r="L629">
        <v>25</v>
      </c>
      <c r="M629" t="str">
        <f t="shared" si="67"/>
        <v>2020-06-25</v>
      </c>
      <c r="N629" s="20">
        <f t="shared" si="68"/>
        <v>44008</v>
      </c>
      <c r="O629" t="str">
        <f t="shared" si="69"/>
        <v>2020-06-26</v>
      </c>
    </row>
    <row r="630" spans="1:15" x14ac:dyDescent="0.2">
      <c r="A630" s="21" t="str">
        <f t="shared" si="63"/>
        <v>y</v>
      </c>
      <c r="B630" s="24" t="s">
        <v>1698</v>
      </c>
      <c r="C630" t="s">
        <v>235</v>
      </c>
      <c r="D630" t="s">
        <v>13</v>
      </c>
      <c r="E630" t="s">
        <v>43</v>
      </c>
      <c r="F630" t="s">
        <v>29</v>
      </c>
      <c r="G630" t="s">
        <v>1214</v>
      </c>
      <c r="H630" t="s">
        <v>1958</v>
      </c>
      <c r="I630" s="22" t="str">
        <f t="shared" si="64"/>
        <v>2020-06-24</v>
      </c>
      <c r="J630" s="23" t="str">
        <f t="shared" si="65"/>
        <v>24</v>
      </c>
      <c r="K630" t="str">
        <f t="shared" si="66"/>
        <v>no</v>
      </c>
      <c r="L630">
        <v>24</v>
      </c>
      <c r="M630" t="str">
        <f t="shared" si="67"/>
        <v>2020-06-24</v>
      </c>
      <c r="N630" s="20" t="str">
        <f t="shared" si="68"/>
        <v>2020-06-24</v>
      </c>
      <c r="O630" t="str">
        <f t="shared" si="69"/>
        <v>2020-06-24</v>
      </c>
    </row>
    <row r="631" spans="1:15" x14ac:dyDescent="0.2">
      <c r="A631" s="21" t="str">
        <f t="shared" si="63"/>
        <v>y</v>
      </c>
      <c r="B631" s="24" t="s">
        <v>1698</v>
      </c>
      <c r="C631" t="s">
        <v>235</v>
      </c>
      <c r="D631" t="s">
        <v>13</v>
      </c>
      <c r="E631" t="s">
        <v>115</v>
      </c>
      <c r="F631" t="s">
        <v>29</v>
      </c>
      <c r="G631" t="s">
        <v>1213</v>
      </c>
      <c r="H631" t="s">
        <v>1994</v>
      </c>
      <c r="I631" s="22" t="str">
        <f t="shared" si="64"/>
        <v>2020-06-24</v>
      </c>
      <c r="J631" s="23" t="str">
        <f t="shared" si="65"/>
        <v>24</v>
      </c>
      <c r="K631" t="str">
        <f t="shared" si="66"/>
        <v>no</v>
      </c>
      <c r="L631">
        <v>24</v>
      </c>
      <c r="M631" t="str">
        <f t="shared" si="67"/>
        <v>2020-06-24</v>
      </c>
      <c r="N631" s="20" t="str">
        <f t="shared" si="68"/>
        <v>2020-06-24</v>
      </c>
      <c r="O631" t="str">
        <f t="shared" si="69"/>
        <v>2020-06-24</v>
      </c>
    </row>
    <row r="632" spans="1:15" x14ac:dyDescent="0.2">
      <c r="A632" s="21" t="str">
        <f t="shared" si="63"/>
        <v>y</v>
      </c>
      <c r="B632" s="24" t="s">
        <v>1698</v>
      </c>
      <c r="C632" t="s">
        <v>38</v>
      </c>
      <c r="D632" t="s">
        <v>13</v>
      </c>
      <c r="E632" t="s">
        <v>34</v>
      </c>
      <c r="F632" t="s">
        <v>2</v>
      </c>
      <c r="G632" t="s">
        <v>1216</v>
      </c>
      <c r="H632" t="s">
        <v>1995</v>
      </c>
      <c r="I632" s="22" t="str">
        <f t="shared" si="64"/>
        <v>2020-06-24</v>
      </c>
      <c r="J632" s="23" t="str">
        <f t="shared" si="65"/>
        <v>24</v>
      </c>
      <c r="K632" t="str">
        <f t="shared" si="66"/>
        <v>no</v>
      </c>
      <c r="L632">
        <v>24</v>
      </c>
      <c r="M632" t="str">
        <f t="shared" si="67"/>
        <v>2020-06-24</v>
      </c>
      <c r="N632" s="20">
        <f t="shared" si="68"/>
        <v>44007</v>
      </c>
      <c r="O632" t="str">
        <f t="shared" si="69"/>
        <v>2020-06-25</v>
      </c>
    </row>
    <row r="633" spans="1:15" x14ac:dyDescent="0.2">
      <c r="A633" s="21" t="str">
        <f t="shared" si="63"/>
        <v>y</v>
      </c>
      <c r="B633" s="24" t="s">
        <v>1698</v>
      </c>
      <c r="C633" t="s">
        <v>1197</v>
      </c>
      <c r="D633" t="s">
        <v>13</v>
      </c>
      <c r="E633" t="s">
        <v>8</v>
      </c>
      <c r="F633" t="s">
        <v>29</v>
      </c>
      <c r="G633" t="s">
        <v>1215</v>
      </c>
      <c r="H633" t="s">
        <v>1990</v>
      </c>
      <c r="I633" s="22" t="str">
        <f t="shared" si="64"/>
        <v>2020-06-24</v>
      </c>
      <c r="J633" s="23" t="str">
        <f t="shared" si="65"/>
        <v>24</v>
      </c>
      <c r="K633" t="str">
        <f t="shared" si="66"/>
        <v>no</v>
      </c>
      <c r="L633">
        <v>24</v>
      </c>
      <c r="M633" t="str">
        <f t="shared" si="67"/>
        <v>2020-06-24</v>
      </c>
      <c r="N633" s="20" t="str">
        <f t="shared" si="68"/>
        <v>2020-06-24</v>
      </c>
      <c r="O633" t="str">
        <f t="shared" si="69"/>
        <v>2020-06-24</v>
      </c>
    </row>
    <row r="634" spans="1:15" x14ac:dyDescent="0.2">
      <c r="A634" s="21" t="str">
        <f t="shared" si="63"/>
        <v>y</v>
      </c>
      <c r="B634" s="24" t="s">
        <v>1699</v>
      </c>
      <c r="C634" t="s">
        <v>832</v>
      </c>
      <c r="D634" t="s">
        <v>13</v>
      </c>
      <c r="E634" t="s">
        <v>34</v>
      </c>
      <c r="F634" t="s">
        <v>29</v>
      </c>
      <c r="G634" t="s">
        <v>1210</v>
      </c>
      <c r="H634" t="s">
        <v>1964</v>
      </c>
      <c r="I634" s="22" t="str">
        <f t="shared" si="64"/>
        <v>2020-06-23</v>
      </c>
      <c r="J634" s="23" t="str">
        <f t="shared" si="65"/>
        <v>23</v>
      </c>
      <c r="K634" t="str">
        <f t="shared" si="66"/>
        <v>no</v>
      </c>
      <c r="L634">
        <v>23</v>
      </c>
      <c r="M634" t="str">
        <f t="shared" si="67"/>
        <v>2020-06-23</v>
      </c>
      <c r="N634" s="20" t="str">
        <f t="shared" si="68"/>
        <v>2020-06-23</v>
      </c>
      <c r="O634" t="str">
        <f t="shared" si="69"/>
        <v>2020-06-23</v>
      </c>
    </row>
    <row r="635" spans="1:15" x14ac:dyDescent="0.2">
      <c r="A635" s="21" t="str">
        <f t="shared" si="63"/>
        <v>y</v>
      </c>
      <c r="B635" s="24" t="s">
        <v>1699</v>
      </c>
      <c r="C635" t="s">
        <v>345</v>
      </c>
      <c r="D635" t="s">
        <v>13</v>
      </c>
      <c r="E635" t="s">
        <v>34</v>
      </c>
      <c r="F635" t="s">
        <v>29</v>
      </c>
      <c r="G635" t="s">
        <v>1212</v>
      </c>
      <c r="H635" t="s">
        <v>1993</v>
      </c>
      <c r="I635" s="22" t="str">
        <f t="shared" si="64"/>
        <v>2020-06-23</v>
      </c>
      <c r="J635" s="23" t="str">
        <f t="shared" si="65"/>
        <v>23</v>
      </c>
      <c r="K635" t="str">
        <f t="shared" si="66"/>
        <v>no</v>
      </c>
      <c r="L635">
        <v>23</v>
      </c>
      <c r="M635" t="str">
        <f t="shared" si="67"/>
        <v>2020-06-23</v>
      </c>
      <c r="N635" s="20" t="str">
        <f t="shared" si="68"/>
        <v>2020-06-23</v>
      </c>
      <c r="O635" t="str">
        <f t="shared" si="69"/>
        <v>2020-06-23</v>
      </c>
    </row>
    <row r="636" spans="1:15" x14ac:dyDescent="0.2">
      <c r="A636" s="21" t="str">
        <f t="shared" si="63"/>
        <v>y</v>
      </c>
      <c r="B636" s="24" t="s">
        <v>1699</v>
      </c>
      <c r="C636" t="s">
        <v>701</v>
      </c>
      <c r="D636" t="s">
        <v>13</v>
      </c>
      <c r="E636" t="s">
        <v>8</v>
      </c>
      <c r="F636" t="s">
        <v>29</v>
      </c>
      <c r="G636" t="s">
        <v>1211</v>
      </c>
      <c r="H636" t="s">
        <v>1958</v>
      </c>
      <c r="I636" s="22" t="str">
        <f t="shared" si="64"/>
        <v>2020-06-23</v>
      </c>
      <c r="J636" s="23" t="str">
        <f t="shared" si="65"/>
        <v>23</v>
      </c>
      <c r="K636" t="str">
        <f t="shared" si="66"/>
        <v>no</v>
      </c>
      <c r="L636">
        <v>23</v>
      </c>
      <c r="M636" t="str">
        <f t="shared" si="67"/>
        <v>2020-06-23</v>
      </c>
      <c r="N636" s="20" t="str">
        <f t="shared" si="68"/>
        <v>2020-06-23</v>
      </c>
      <c r="O636" t="str">
        <f t="shared" si="69"/>
        <v>2020-06-23</v>
      </c>
    </row>
    <row r="637" spans="1:15" x14ac:dyDescent="0.2">
      <c r="A637" s="21" t="str">
        <f t="shared" si="63"/>
        <v>y</v>
      </c>
      <c r="B637" s="24" t="s">
        <v>1700</v>
      </c>
      <c r="C637" t="s">
        <v>235</v>
      </c>
      <c r="D637" t="s">
        <v>13</v>
      </c>
      <c r="E637" t="s">
        <v>49</v>
      </c>
      <c r="F637" t="s">
        <v>29</v>
      </c>
      <c r="G637" t="s">
        <v>1209</v>
      </c>
      <c r="H637" t="s">
        <v>1978</v>
      </c>
      <c r="I637" s="22" t="str">
        <f t="shared" si="64"/>
        <v>2020-06-22</v>
      </c>
      <c r="J637" s="23" t="str">
        <f t="shared" si="65"/>
        <v>22</v>
      </c>
      <c r="K637" t="str">
        <f t="shared" si="66"/>
        <v>no</v>
      </c>
      <c r="L637">
        <v>22</v>
      </c>
      <c r="M637" t="str">
        <f t="shared" si="67"/>
        <v>2020-06-22</v>
      </c>
      <c r="N637" s="20" t="str">
        <f t="shared" si="68"/>
        <v>2020-06-22</v>
      </c>
      <c r="O637" t="str">
        <f t="shared" si="69"/>
        <v>2020-06-22</v>
      </c>
    </row>
    <row r="638" spans="1:15" x14ac:dyDescent="0.2">
      <c r="A638" s="21" t="str">
        <f t="shared" si="63"/>
        <v>y</v>
      </c>
      <c r="B638" s="24" t="s">
        <v>1700</v>
      </c>
      <c r="C638" t="s">
        <v>975</v>
      </c>
      <c r="D638" t="s">
        <v>13</v>
      </c>
      <c r="E638" t="s">
        <v>27</v>
      </c>
      <c r="F638" t="s">
        <v>29</v>
      </c>
      <c r="G638" t="s">
        <v>1208</v>
      </c>
      <c r="H638" t="s">
        <v>1991</v>
      </c>
      <c r="I638" s="22" t="str">
        <f t="shared" si="64"/>
        <v>2020-06-22</v>
      </c>
      <c r="J638" s="23" t="str">
        <f t="shared" si="65"/>
        <v>22</v>
      </c>
      <c r="K638" t="str">
        <f t="shared" si="66"/>
        <v>no</v>
      </c>
      <c r="L638">
        <v>22</v>
      </c>
      <c r="M638" t="str">
        <f t="shared" si="67"/>
        <v>2020-06-22</v>
      </c>
      <c r="N638" s="20" t="str">
        <f t="shared" si="68"/>
        <v>2020-06-22</v>
      </c>
      <c r="O638" t="str">
        <f t="shared" si="69"/>
        <v>2020-06-22</v>
      </c>
    </row>
    <row r="639" spans="1:15" x14ac:dyDescent="0.2">
      <c r="A639" s="21" t="str">
        <f t="shared" si="63"/>
        <v>y</v>
      </c>
      <c r="B639" s="24" t="s">
        <v>1700</v>
      </c>
      <c r="C639" t="s">
        <v>1160</v>
      </c>
      <c r="D639" t="s">
        <v>13</v>
      </c>
      <c r="E639" t="s">
        <v>8</v>
      </c>
      <c r="F639" t="s">
        <v>29</v>
      </c>
      <c r="G639" t="s">
        <v>1206</v>
      </c>
      <c r="H639" t="s">
        <v>1988</v>
      </c>
      <c r="I639" s="22" t="str">
        <f t="shared" si="64"/>
        <v>2020-06-22</v>
      </c>
      <c r="J639" s="23" t="str">
        <f t="shared" si="65"/>
        <v>22</v>
      </c>
      <c r="K639" t="str">
        <f t="shared" si="66"/>
        <v>no</v>
      </c>
      <c r="L639">
        <v>22</v>
      </c>
      <c r="M639" t="str">
        <f t="shared" si="67"/>
        <v>2020-06-22</v>
      </c>
      <c r="N639" s="20" t="str">
        <f t="shared" si="68"/>
        <v>2020-06-22</v>
      </c>
      <c r="O639" t="str">
        <f t="shared" si="69"/>
        <v>2020-06-22</v>
      </c>
    </row>
    <row r="640" spans="1:15" x14ac:dyDescent="0.2">
      <c r="A640" s="21" t="str">
        <f t="shared" si="63"/>
        <v>y</v>
      </c>
      <c r="B640" s="24" t="s">
        <v>1700</v>
      </c>
      <c r="C640" t="s">
        <v>151</v>
      </c>
      <c r="D640" t="s">
        <v>13</v>
      </c>
      <c r="E640" t="s">
        <v>42</v>
      </c>
      <c r="F640" t="s">
        <v>29</v>
      </c>
      <c r="G640" t="s">
        <v>1207</v>
      </c>
      <c r="H640" t="s">
        <v>1996</v>
      </c>
      <c r="I640" s="22" t="str">
        <f t="shared" si="64"/>
        <v>2020-06-22</v>
      </c>
      <c r="J640" s="23" t="str">
        <f t="shared" si="65"/>
        <v>22</v>
      </c>
      <c r="K640" t="str">
        <f t="shared" si="66"/>
        <v>no</v>
      </c>
      <c r="L640">
        <v>22</v>
      </c>
      <c r="M640" t="str">
        <f t="shared" si="67"/>
        <v>2020-06-22</v>
      </c>
      <c r="N640" s="20" t="str">
        <f t="shared" si="68"/>
        <v>2020-06-22</v>
      </c>
      <c r="O640" t="str">
        <f t="shared" si="69"/>
        <v>2020-06-22</v>
      </c>
    </row>
    <row r="641" spans="1:15" x14ac:dyDescent="0.2">
      <c r="A641" s="21" t="str">
        <f t="shared" si="63"/>
        <v>y</v>
      </c>
      <c r="B641" s="24" t="s">
        <v>1701</v>
      </c>
      <c r="C641" t="s">
        <v>12</v>
      </c>
      <c r="D641" t="s">
        <v>13</v>
      </c>
      <c r="E641" t="s">
        <v>49</v>
      </c>
      <c r="F641" t="s">
        <v>2</v>
      </c>
      <c r="G641" t="s">
        <v>1205</v>
      </c>
      <c r="H641" t="s">
        <v>1958</v>
      </c>
      <c r="I641" s="22" t="str">
        <f t="shared" si="64"/>
        <v>2020-06-21</v>
      </c>
      <c r="J641" s="23" t="str">
        <f t="shared" si="65"/>
        <v>21</v>
      </c>
      <c r="K641" t="str">
        <f t="shared" si="66"/>
        <v>no</v>
      </c>
      <c r="L641">
        <v>21</v>
      </c>
      <c r="M641" t="str">
        <f t="shared" si="67"/>
        <v>2020-06-21</v>
      </c>
      <c r="N641" s="20">
        <f t="shared" si="68"/>
        <v>44004</v>
      </c>
      <c r="O641" t="str">
        <f t="shared" si="69"/>
        <v>2020-06-22</v>
      </c>
    </row>
    <row r="642" spans="1:15" x14ac:dyDescent="0.2">
      <c r="A642" s="21" t="str">
        <f t="shared" si="63"/>
        <v>y</v>
      </c>
      <c r="B642" s="24" t="s">
        <v>1701</v>
      </c>
      <c r="C642" t="s">
        <v>235</v>
      </c>
      <c r="D642" t="s">
        <v>13</v>
      </c>
      <c r="E642" t="s">
        <v>49</v>
      </c>
      <c r="F642" t="s">
        <v>2</v>
      </c>
      <c r="H642" t="s">
        <v>1977</v>
      </c>
      <c r="I642" s="22" t="str">
        <f t="shared" si="64"/>
        <v>2020-06-21</v>
      </c>
      <c r="J642" s="23" t="str">
        <f t="shared" si="65"/>
        <v>21</v>
      </c>
      <c r="K642" t="str">
        <f t="shared" si="66"/>
        <v>no</v>
      </c>
      <c r="L642">
        <v>21</v>
      </c>
      <c r="M642" t="str">
        <f t="shared" si="67"/>
        <v>2020-06-21</v>
      </c>
      <c r="N642" s="20">
        <f t="shared" si="68"/>
        <v>44004</v>
      </c>
      <c r="O642" t="str">
        <f t="shared" si="69"/>
        <v>2020-06-22</v>
      </c>
    </row>
    <row r="643" spans="1:15" x14ac:dyDescent="0.2">
      <c r="A643" s="21" t="str">
        <f t="shared" si="63"/>
        <v>y</v>
      </c>
      <c r="B643" s="24" t="s">
        <v>1701</v>
      </c>
      <c r="C643" t="s">
        <v>756</v>
      </c>
      <c r="D643" t="s">
        <v>13</v>
      </c>
      <c r="E643" t="s">
        <v>8</v>
      </c>
      <c r="F643" t="s">
        <v>29</v>
      </c>
      <c r="G643" t="s">
        <v>1200</v>
      </c>
      <c r="H643" t="s">
        <v>1978</v>
      </c>
      <c r="I643" s="22" t="str">
        <f t="shared" si="64"/>
        <v>2020-06-21</v>
      </c>
      <c r="J643" s="23" t="str">
        <f t="shared" si="65"/>
        <v>21</v>
      </c>
      <c r="K643" t="str">
        <f t="shared" si="66"/>
        <v>no</v>
      </c>
      <c r="L643">
        <v>21</v>
      </c>
      <c r="M643" t="str">
        <f t="shared" si="67"/>
        <v>2020-06-21</v>
      </c>
      <c r="N643" s="20" t="str">
        <f t="shared" si="68"/>
        <v>2020-06-21</v>
      </c>
      <c r="O643" t="str">
        <f t="shared" si="69"/>
        <v>2020-06-21</v>
      </c>
    </row>
    <row r="644" spans="1:15" x14ac:dyDescent="0.2">
      <c r="A644" s="21" t="str">
        <f t="shared" ref="A644:A707" si="70">IF(LEFT(B644,2)&gt;12,"y","-")</f>
        <v>y</v>
      </c>
      <c r="B644" s="24" t="s">
        <v>1701</v>
      </c>
      <c r="C644" t="s">
        <v>975</v>
      </c>
      <c r="D644" t="s">
        <v>13</v>
      </c>
      <c r="E644" t="s">
        <v>27</v>
      </c>
      <c r="F644" t="s">
        <v>2</v>
      </c>
      <c r="G644" t="s">
        <v>1201</v>
      </c>
      <c r="H644" t="s">
        <v>1990</v>
      </c>
      <c r="I644" s="22" t="str">
        <f t="shared" ref="I644:I707" si="71">IF(K644="yes",TEXT(B644,"YYYY-DD-MM"),TEXT(B644,"YYYY-MM-DD"))</f>
        <v>2020-06-21</v>
      </c>
      <c r="J644" s="23" t="str">
        <f t="shared" ref="J644:J707" si="72">LEFT(B644,2)</f>
        <v>21</v>
      </c>
      <c r="K644" t="str">
        <f t="shared" ref="K644:K707" si="73">IF(L644&gt;31,"yes","no")</f>
        <v>no</v>
      </c>
      <c r="L644">
        <v>21</v>
      </c>
      <c r="M644" t="str">
        <f t="shared" ref="M644:M707" si="74">I644</f>
        <v>2020-06-21</v>
      </c>
      <c r="N644" s="20">
        <f t="shared" ref="N644:N707" si="75">IF(F644="DONE",M644,M644+1)</f>
        <v>44004</v>
      </c>
      <c r="O644" t="str">
        <f t="shared" ref="O644:O707" si="76">TEXT(N644,"YYYY-MM-DD")</f>
        <v>2020-06-22</v>
      </c>
    </row>
    <row r="645" spans="1:15" x14ac:dyDescent="0.2">
      <c r="A645" s="21" t="str">
        <f t="shared" si="70"/>
        <v>y</v>
      </c>
      <c r="B645" s="24" t="s">
        <v>1701</v>
      </c>
      <c r="C645" t="s">
        <v>832</v>
      </c>
      <c r="D645" t="s">
        <v>13</v>
      </c>
      <c r="E645" t="s">
        <v>34</v>
      </c>
      <c r="F645" t="s">
        <v>29</v>
      </c>
      <c r="G645" t="s">
        <v>1203</v>
      </c>
      <c r="H645" t="s">
        <v>1969</v>
      </c>
      <c r="I645" s="22" t="str">
        <f t="shared" si="71"/>
        <v>2020-06-21</v>
      </c>
      <c r="J645" s="23" t="str">
        <f t="shared" si="72"/>
        <v>21</v>
      </c>
      <c r="K645" t="str">
        <f t="shared" si="73"/>
        <v>no</v>
      </c>
      <c r="L645">
        <v>21</v>
      </c>
      <c r="M645" t="str">
        <f t="shared" si="74"/>
        <v>2020-06-21</v>
      </c>
      <c r="N645" s="20" t="str">
        <f t="shared" si="75"/>
        <v>2020-06-21</v>
      </c>
      <c r="O645" t="str">
        <f t="shared" si="76"/>
        <v>2020-06-21</v>
      </c>
    </row>
    <row r="646" spans="1:15" x14ac:dyDescent="0.2">
      <c r="A646" s="21" t="str">
        <f t="shared" si="70"/>
        <v>y</v>
      </c>
      <c r="B646" s="24" t="s">
        <v>1701</v>
      </c>
      <c r="C646" t="s">
        <v>65</v>
      </c>
      <c r="D646" t="s">
        <v>13</v>
      </c>
      <c r="E646" t="s">
        <v>27</v>
      </c>
      <c r="F646" t="s">
        <v>2</v>
      </c>
      <c r="G646" t="s">
        <v>1202</v>
      </c>
      <c r="H646" t="s">
        <v>1991</v>
      </c>
      <c r="I646" s="22" t="str">
        <f t="shared" si="71"/>
        <v>2020-06-21</v>
      </c>
      <c r="J646" s="23" t="str">
        <f t="shared" si="72"/>
        <v>21</v>
      </c>
      <c r="K646" t="str">
        <f t="shared" si="73"/>
        <v>no</v>
      </c>
      <c r="L646">
        <v>21</v>
      </c>
      <c r="M646" t="str">
        <f t="shared" si="74"/>
        <v>2020-06-21</v>
      </c>
      <c r="N646" s="20">
        <f t="shared" si="75"/>
        <v>44004</v>
      </c>
      <c r="O646" t="str">
        <f t="shared" si="76"/>
        <v>2020-06-22</v>
      </c>
    </row>
    <row r="647" spans="1:15" x14ac:dyDescent="0.2">
      <c r="A647" s="21" t="str">
        <f t="shared" si="70"/>
        <v>y</v>
      </c>
      <c r="B647" s="24" t="s">
        <v>1701</v>
      </c>
      <c r="C647" t="s">
        <v>1160</v>
      </c>
      <c r="D647" t="s">
        <v>13</v>
      </c>
      <c r="E647" t="s">
        <v>34</v>
      </c>
      <c r="F647" t="s">
        <v>29</v>
      </c>
      <c r="G647" t="s">
        <v>1204</v>
      </c>
      <c r="H647" t="s">
        <v>1996</v>
      </c>
      <c r="I647" s="22" t="str">
        <f t="shared" si="71"/>
        <v>2020-06-21</v>
      </c>
      <c r="J647" s="23" t="str">
        <f t="shared" si="72"/>
        <v>21</v>
      </c>
      <c r="K647" t="str">
        <f t="shared" si="73"/>
        <v>no</v>
      </c>
      <c r="L647">
        <v>21</v>
      </c>
      <c r="M647" t="str">
        <f t="shared" si="74"/>
        <v>2020-06-21</v>
      </c>
      <c r="N647" s="20" t="str">
        <f t="shared" si="75"/>
        <v>2020-06-21</v>
      </c>
      <c r="O647" t="str">
        <f t="shared" si="76"/>
        <v>2020-06-21</v>
      </c>
    </row>
    <row r="648" spans="1:15" x14ac:dyDescent="0.2">
      <c r="A648" s="21" t="str">
        <f t="shared" si="70"/>
        <v>y</v>
      </c>
      <c r="B648" s="24" t="s">
        <v>1702</v>
      </c>
      <c r="C648" t="s">
        <v>12</v>
      </c>
      <c r="D648" t="s">
        <v>13</v>
      </c>
      <c r="E648" t="s">
        <v>49</v>
      </c>
      <c r="F648" t="s">
        <v>2</v>
      </c>
      <c r="H648" t="s">
        <v>1977</v>
      </c>
      <c r="I648" s="22" t="str">
        <f t="shared" si="71"/>
        <v>2020-06-18</v>
      </c>
      <c r="J648" s="23" t="str">
        <f t="shared" si="72"/>
        <v>18</v>
      </c>
      <c r="K648" t="str">
        <f t="shared" si="73"/>
        <v>no</v>
      </c>
      <c r="L648">
        <v>18</v>
      </c>
      <c r="M648" t="str">
        <f t="shared" si="74"/>
        <v>2020-06-18</v>
      </c>
      <c r="N648" s="20">
        <f t="shared" si="75"/>
        <v>44001</v>
      </c>
      <c r="O648" t="str">
        <f t="shared" si="76"/>
        <v>2020-06-19</v>
      </c>
    </row>
    <row r="649" spans="1:15" x14ac:dyDescent="0.2">
      <c r="A649" s="21" t="str">
        <f t="shared" si="70"/>
        <v>y</v>
      </c>
      <c r="B649" s="24" t="s">
        <v>1702</v>
      </c>
      <c r="C649" t="s">
        <v>756</v>
      </c>
      <c r="D649" t="s">
        <v>13</v>
      </c>
      <c r="E649" t="s">
        <v>31</v>
      </c>
      <c r="F649" t="s">
        <v>29</v>
      </c>
      <c r="G649" t="s">
        <v>1199</v>
      </c>
      <c r="H649" t="s">
        <v>1958</v>
      </c>
      <c r="I649" s="22" t="str">
        <f t="shared" si="71"/>
        <v>2020-06-18</v>
      </c>
      <c r="J649" s="23" t="str">
        <f t="shared" si="72"/>
        <v>18</v>
      </c>
      <c r="K649" t="str">
        <f t="shared" si="73"/>
        <v>no</v>
      </c>
      <c r="L649">
        <v>18</v>
      </c>
      <c r="M649" t="str">
        <f t="shared" si="74"/>
        <v>2020-06-18</v>
      </c>
      <c r="N649" s="20" t="str">
        <f t="shared" si="75"/>
        <v>2020-06-18</v>
      </c>
      <c r="O649" t="str">
        <f t="shared" si="76"/>
        <v>2020-06-18</v>
      </c>
    </row>
    <row r="650" spans="1:15" x14ac:dyDescent="0.2">
      <c r="A650" s="21" t="str">
        <f t="shared" si="70"/>
        <v>y</v>
      </c>
      <c r="B650" s="24" t="s">
        <v>1702</v>
      </c>
      <c r="C650" t="s">
        <v>235</v>
      </c>
      <c r="D650" t="s">
        <v>13</v>
      </c>
      <c r="E650" t="s">
        <v>49</v>
      </c>
      <c r="F650" t="s">
        <v>29</v>
      </c>
      <c r="G650" t="s">
        <v>1196</v>
      </c>
      <c r="H650" t="s">
        <v>1993</v>
      </c>
      <c r="I650" s="22" t="str">
        <f t="shared" si="71"/>
        <v>2020-06-18</v>
      </c>
      <c r="J650" s="23" t="str">
        <f t="shared" si="72"/>
        <v>18</v>
      </c>
      <c r="K650" t="str">
        <f t="shared" si="73"/>
        <v>no</v>
      </c>
      <c r="L650">
        <v>18</v>
      </c>
      <c r="M650" t="str">
        <f t="shared" si="74"/>
        <v>2020-06-18</v>
      </c>
      <c r="N650" s="20" t="str">
        <f t="shared" si="75"/>
        <v>2020-06-18</v>
      </c>
      <c r="O650" t="str">
        <f t="shared" si="76"/>
        <v>2020-06-18</v>
      </c>
    </row>
    <row r="651" spans="1:15" x14ac:dyDescent="0.2">
      <c r="A651" s="21" t="str">
        <f t="shared" si="70"/>
        <v>y</v>
      </c>
      <c r="B651" s="24" t="s">
        <v>1702</v>
      </c>
      <c r="C651" t="s">
        <v>701</v>
      </c>
      <c r="D651" t="s">
        <v>13</v>
      </c>
      <c r="E651" t="s">
        <v>8</v>
      </c>
      <c r="F651" t="s">
        <v>29</v>
      </c>
      <c r="G651" t="s">
        <v>1195</v>
      </c>
      <c r="H651" t="s">
        <v>1995</v>
      </c>
      <c r="I651" s="22" t="str">
        <f t="shared" si="71"/>
        <v>2020-06-18</v>
      </c>
      <c r="J651" s="23" t="str">
        <f t="shared" si="72"/>
        <v>18</v>
      </c>
      <c r="K651" t="str">
        <f t="shared" si="73"/>
        <v>no</v>
      </c>
      <c r="L651">
        <v>18</v>
      </c>
      <c r="M651" t="str">
        <f t="shared" si="74"/>
        <v>2020-06-18</v>
      </c>
      <c r="N651" s="20" t="str">
        <f t="shared" si="75"/>
        <v>2020-06-18</v>
      </c>
      <c r="O651" t="str">
        <f t="shared" si="76"/>
        <v>2020-06-18</v>
      </c>
    </row>
    <row r="652" spans="1:15" x14ac:dyDescent="0.2">
      <c r="A652" s="21" t="str">
        <f t="shared" si="70"/>
        <v>y</v>
      </c>
      <c r="B652" s="24" t="s">
        <v>1702</v>
      </c>
      <c r="C652" t="s">
        <v>1197</v>
      </c>
      <c r="D652" t="s">
        <v>13</v>
      </c>
      <c r="E652" t="s">
        <v>27</v>
      </c>
      <c r="F652" t="s">
        <v>29</v>
      </c>
      <c r="G652" t="s">
        <v>1198</v>
      </c>
      <c r="H652" t="s">
        <v>1996</v>
      </c>
      <c r="I652" s="22" t="str">
        <f t="shared" si="71"/>
        <v>2020-06-18</v>
      </c>
      <c r="J652" s="23" t="str">
        <f t="shared" si="72"/>
        <v>18</v>
      </c>
      <c r="K652" t="str">
        <f t="shared" si="73"/>
        <v>no</v>
      </c>
      <c r="L652">
        <v>18</v>
      </c>
      <c r="M652" t="str">
        <f t="shared" si="74"/>
        <v>2020-06-18</v>
      </c>
      <c r="N652" s="20" t="str">
        <f t="shared" si="75"/>
        <v>2020-06-18</v>
      </c>
      <c r="O652" t="str">
        <f t="shared" si="76"/>
        <v>2020-06-18</v>
      </c>
    </row>
    <row r="653" spans="1:15" x14ac:dyDescent="0.2">
      <c r="A653" s="21" t="str">
        <f t="shared" si="70"/>
        <v>y</v>
      </c>
      <c r="B653" s="24" t="s">
        <v>1703</v>
      </c>
      <c r="C653" t="s">
        <v>235</v>
      </c>
      <c r="D653" t="s">
        <v>13</v>
      </c>
      <c r="E653" t="s">
        <v>42</v>
      </c>
      <c r="F653" t="s">
        <v>29</v>
      </c>
      <c r="G653" t="s">
        <v>1193</v>
      </c>
      <c r="H653" t="s">
        <v>1958</v>
      </c>
      <c r="I653" s="22" t="str">
        <f t="shared" si="71"/>
        <v>2020-06-17</v>
      </c>
      <c r="J653" s="23" t="str">
        <f t="shared" si="72"/>
        <v>17</v>
      </c>
      <c r="K653" t="str">
        <f t="shared" si="73"/>
        <v>no</v>
      </c>
      <c r="L653">
        <v>17</v>
      </c>
      <c r="M653" t="str">
        <f t="shared" si="74"/>
        <v>2020-06-17</v>
      </c>
      <c r="N653" s="20" t="str">
        <f t="shared" si="75"/>
        <v>2020-06-17</v>
      </c>
      <c r="O653" t="str">
        <f t="shared" si="76"/>
        <v>2020-06-17</v>
      </c>
    </row>
    <row r="654" spans="1:15" x14ac:dyDescent="0.2">
      <c r="A654" s="21" t="str">
        <f t="shared" si="70"/>
        <v>y</v>
      </c>
      <c r="B654" s="24" t="s">
        <v>1703</v>
      </c>
      <c r="C654" t="s">
        <v>12</v>
      </c>
      <c r="D654" t="s">
        <v>13</v>
      </c>
      <c r="E654" t="s">
        <v>49</v>
      </c>
      <c r="F654" t="s">
        <v>2</v>
      </c>
      <c r="H654" t="s">
        <v>1975</v>
      </c>
      <c r="I654" s="22" t="str">
        <f t="shared" si="71"/>
        <v>2020-06-17</v>
      </c>
      <c r="J654" s="23" t="str">
        <f t="shared" si="72"/>
        <v>17</v>
      </c>
      <c r="K654" t="str">
        <f t="shared" si="73"/>
        <v>no</v>
      </c>
      <c r="L654">
        <v>17</v>
      </c>
      <c r="M654" t="str">
        <f t="shared" si="74"/>
        <v>2020-06-17</v>
      </c>
      <c r="N654" s="20">
        <f t="shared" si="75"/>
        <v>44000</v>
      </c>
      <c r="O654" t="str">
        <f t="shared" si="76"/>
        <v>2020-06-18</v>
      </c>
    </row>
    <row r="655" spans="1:15" x14ac:dyDescent="0.2">
      <c r="A655" s="21" t="str">
        <f t="shared" si="70"/>
        <v>y</v>
      </c>
      <c r="B655" s="24" t="s">
        <v>1703</v>
      </c>
      <c r="C655" t="s">
        <v>1192</v>
      </c>
      <c r="D655" t="s">
        <v>13</v>
      </c>
      <c r="E655" t="s">
        <v>27</v>
      </c>
      <c r="F655" t="s">
        <v>29</v>
      </c>
      <c r="G655" t="s">
        <v>1194</v>
      </c>
      <c r="H655" t="s">
        <v>1977</v>
      </c>
      <c r="I655" s="22" t="str">
        <f t="shared" si="71"/>
        <v>2020-06-17</v>
      </c>
      <c r="J655" s="23" t="str">
        <f t="shared" si="72"/>
        <v>17</v>
      </c>
      <c r="K655" t="str">
        <f t="shared" si="73"/>
        <v>no</v>
      </c>
      <c r="L655">
        <v>17</v>
      </c>
      <c r="M655" t="str">
        <f t="shared" si="74"/>
        <v>2020-06-17</v>
      </c>
      <c r="N655" s="20" t="str">
        <f t="shared" si="75"/>
        <v>2020-06-17</v>
      </c>
      <c r="O655" t="str">
        <f t="shared" si="76"/>
        <v>2020-06-17</v>
      </c>
    </row>
    <row r="656" spans="1:15" x14ac:dyDescent="0.2">
      <c r="A656" s="21" t="str">
        <f t="shared" si="70"/>
        <v>y</v>
      </c>
      <c r="B656" s="24" t="s">
        <v>1703</v>
      </c>
      <c r="C656" t="s">
        <v>756</v>
      </c>
      <c r="D656" t="s">
        <v>13</v>
      </c>
      <c r="E656" t="s">
        <v>31</v>
      </c>
      <c r="F656" t="s">
        <v>2</v>
      </c>
      <c r="H656" t="s">
        <v>1976</v>
      </c>
      <c r="I656" s="22" t="str">
        <f t="shared" si="71"/>
        <v>2020-06-17</v>
      </c>
      <c r="J656" s="23" t="str">
        <f t="shared" si="72"/>
        <v>17</v>
      </c>
      <c r="K656" t="str">
        <f t="shared" si="73"/>
        <v>no</v>
      </c>
      <c r="L656">
        <v>17</v>
      </c>
      <c r="M656" t="str">
        <f t="shared" si="74"/>
        <v>2020-06-17</v>
      </c>
      <c r="N656" s="20">
        <f t="shared" si="75"/>
        <v>44000</v>
      </c>
      <c r="O656" t="str">
        <f t="shared" si="76"/>
        <v>2020-06-18</v>
      </c>
    </row>
    <row r="657" spans="1:15" x14ac:dyDescent="0.2">
      <c r="A657" s="21" t="str">
        <f t="shared" si="70"/>
        <v>y</v>
      </c>
      <c r="B657" s="24" t="s">
        <v>1704</v>
      </c>
      <c r="C657" t="s">
        <v>616</v>
      </c>
      <c r="D657" t="s">
        <v>13</v>
      </c>
      <c r="E657" t="s">
        <v>34</v>
      </c>
      <c r="F657" t="s">
        <v>29</v>
      </c>
      <c r="G657" t="s">
        <v>1191</v>
      </c>
      <c r="H657" t="s">
        <v>1996</v>
      </c>
      <c r="I657" s="22" t="str">
        <f t="shared" si="71"/>
        <v>2020-06-16</v>
      </c>
      <c r="J657" s="23" t="str">
        <f t="shared" si="72"/>
        <v>16</v>
      </c>
      <c r="K657" t="str">
        <f t="shared" si="73"/>
        <v>no</v>
      </c>
      <c r="L657">
        <v>16</v>
      </c>
      <c r="M657" t="str">
        <f t="shared" si="74"/>
        <v>2020-06-16</v>
      </c>
      <c r="N657" s="20" t="str">
        <f t="shared" si="75"/>
        <v>2020-06-16</v>
      </c>
      <c r="O657" t="str">
        <f t="shared" si="76"/>
        <v>2020-06-16</v>
      </c>
    </row>
    <row r="658" spans="1:15" x14ac:dyDescent="0.2">
      <c r="A658" s="21" t="str">
        <f t="shared" si="70"/>
        <v>y</v>
      </c>
      <c r="B658" s="24" t="s">
        <v>1704</v>
      </c>
      <c r="C658" t="s">
        <v>12</v>
      </c>
      <c r="D658" t="s">
        <v>13</v>
      </c>
      <c r="E658" t="s">
        <v>49</v>
      </c>
      <c r="F658" t="s">
        <v>2</v>
      </c>
      <c r="G658" t="s">
        <v>1187</v>
      </c>
      <c r="H658" t="s">
        <v>1977</v>
      </c>
      <c r="I658" s="22" t="str">
        <f t="shared" si="71"/>
        <v>2020-06-16</v>
      </c>
      <c r="J658" s="23" t="str">
        <f t="shared" si="72"/>
        <v>16</v>
      </c>
      <c r="K658" t="str">
        <f t="shared" si="73"/>
        <v>no</v>
      </c>
      <c r="L658">
        <v>16</v>
      </c>
      <c r="M658" t="str">
        <f t="shared" si="74"/>
        <v>2020-06-16</v>
      </c>
      <c r="N658" s="20">
        <f t="shared" si="75"/>
        <v>43999</v>
      </c>
      <c r="O658" t="str">
        <f t="shared" si="76"/>
        <v>2020-06-17</v>
      </c>
    </row>
    <row r="659" spans="1:15" x14ac:dyDescent="0.2">
      <c r="A659" s="21" t="str">
        <f t="shared" si="70"/>
        <v>y</v>
      </c>
      <c r="B659" s="24" t="s">
        <v>1704</v>
      </c>
      <c r="C659" t="s">
        <v>756</v>
      </c>
      <c r="D659" t="s">
        <v>13</v>
      </c>
      <c r="E659" t="s">
        <v>43</v>
      </c>
      <c r="F659" t="s">
        <v>29</v>
      </c>
      <c r="G659" t="s">
        <v>1189</v>
      </c>
      <c r="H659" t="s">
        <v>1958</v>
      </c>
      <c r="I659" s="22" t="str">
        <f t="shared" si="71"/>
        <v>2020-06-16</v>
      </c>
      <c r="J659" s="23" t="str">
        <f t="shared" si="72"/>
        <v>16</v>
      </c>
      <c r="K659" t="str">
        <f t="shared" si="73"/>
        <v>no</v>
      </c>
      <c r="L659">
        <v>16</v>
      </c>
      <c r="M659" t="str">
        <f t="shared" si="74"/>
        <v>2020-06-16</v>
      </c>
      <c r="N659" s="20" t="str">
        <f t="shared" si="75"/>
        <v>2020-06-16</v>
      </c>
      <c r="O659" t="str">
        <f t="shared" si="76"/>
        <v>2020-06-16</v>
      </c>
    </row>
    <row r="660" spans="1:15" x14ac:dyDescent="0.2">
      <c r="A660" s="21" t="str">
        <f t="shared" si="70"/>
        <v>y</v>
      </c>
      <c r="B660" s="24" t="s">
        <v>1704</v>
      </c>
      <c r="C660" t="s">
        <v>235</v>
      </c>
      <c r="D660" t="s">
        <v>13</v>
      </c>
      <c r="E660" t="s">
        <v>42</v>
      </c>
      <c r="F660" t="s">
        <v>29</v>
      </c>
      <c r="G660" t="s">
        <v>1190</v>
      </c>
      <c r="H660" t="s">
        <v>1976</v>
      </c>
      <c r="I660" s="22" t="str">
        <f t="shared" si="71"/>
        <v>2020-06-16</v>
      </c>
      <c r="J660" s="23" t="str">
        <f t="shared" si="72"/>
        <v>16</v>
      </c>
      <c r="K660" t="str">
        <f t="shared" si="73"/>
        <v>no</v>
      </c>
      <c r="L660">
        <v>16</v>
      </c>
      <c r="M660" t="str">
        <f t="shared" si="74"/>
        <v>2020-06-16</v>
      </c>
      <c r="N660" s="20" t="str">
        <f t="shared" si="75"/>
        <v>2020-06-16</v>
      </c>
      <c r="O660" t="str">
        <f t="shared" si="76"/>
        <v>2020-06-16</v>
      </c>
    </row>
    <row r="661" spans="1:15" x14ac:dyDescent="0.2">
      <c r="A661" s="21" t="str">
        <f t="shared" si="70"/>
        <v>y</v>
      </c>
      <c r="B661" s="24" t="s">
        <v>1705</v>
      </c>
      <c r="C661" t="s">
        <v>616</v>
      </c>
      <c r="D661" t="s">
        <v>13</v>
      </c>
      <c r="E661" t="s">
        <v>34</v>
      </c>
      <c r="F661" t="s">
        <v>2</v>
      </c>
      <c r="G661" t="s">
        <v>1186</v>
      </c>
      <c r="H661" t="s">
        <v>1996</v>
      </c>
      <c r="I661" s="22" t="str">
        <f t="shared" si="71"/>
        <v>2020-06-15</v>
      </c>
      <c r="J661" s="23" t="str">
        <f t="shared" si="72"/>
        <v>15</v>
      </c>
      <c r="K661" t="str">
        <f t="shared" si="73"/>
        <v>no</v>
      </c>
      <c r="L661">
        <v>15</v>
      </c>
      <c r="M661" t="str">
        <f t="shared" si="74"/>
        <v>2020-06-15</v>
      </c>
      <c r="N661" s="20">
        <f t="shared" si="75"/>
        <v>43998</v>
      </c>
      <c r="O661" t="str">
        <f t="shared" si="76"/>
        <v>2020-06-16</v>
      </c>
    </row>
    <row r="662" spans="1:15" x14ac:dyDescent="0.2">
      <c r="A662" s="21" t="str">
        <f t="shared" si="70"/>
        <v>y</v>
      </c>
      <c r="B662" s="24" t="s">
        <v>1705</v>
      </c>
      <c r="C662" t="s">
        <v>12</v>
      </c>
      <c r="D662" t="s">
        <v>13</v>
      </c>
      <c r="E662" t="s">
        <v>49</v>
      </c>
      <c r="F662" t="s">
        <v>2</v>
      </c>
      <c r="G662" t="s">
        <v>1187</v>
      </c>
      <c r="H662" t="s">
        <v>1977</v>
      </c>
      <c r="I662" s="22" t="str">
        <f t="shared" si="71"/>
        <v>2020-06-15</v>
      </c>
      <c r="J662" s="23" t="str">
        <f t="shared" si="72"/>
        <v>15</v>
      </c>
      <c r="K662" t="str">
        <f t="shared" si="73"/>
        <v>no</v>
      </c>
      <c r="L662">
        <v>15</v>
      </c>
      <c r="M662" t="str">
        <f t="shared" si="74"/>
        <v>2020-06-15</v>
      </c>
      <c r="N662" s="20">
        <f t="shared" si="75"/>
        <v>43998</v>
      </c>
      <c r="O662" t="str">
        <f t="shared" si="76"/>
        <v>2020-06-16</v>
      </c>
    </row>
    <row r="663" spans="1:15" x14ac:dyDescent="0.2">
      <c r="A663" s="21" t="str">
        <f t="shared" si="70"/>
        <v>y</v>
      </c>
      <c r="B663" s="24" t="s">
        <v>1705</v>
      </c>
      <c r="C663" t="s">
        <v>756</v>
      </c>
      <c r="D663" t="s">
        <v>13</v>
      </c>
      <c r="E663" t="s">
        <v>43</v>
      </c>
      <c r="F663" t="s">
        <v>2</v>
      </c>
      <c r="H663" t="s">
        <v>1958</v>
      </c>
      <c r="I663" s="22" t="str">
        <f t="shared" si="71"/>
        <v>2020-06-15</v>
      </c>
      <c r="J663" s="23" t="str">
        <f t="shared" si="72"/>
        <v>15</v>
      </c>
      <c r="K663" t="str">
        <f t="shared" si="73"/>
        <v>no</v>
      </c>
      <c r="L663">
        <v>15</v>
      </c>
      <c r="M663" t="str">
        <f t="shared" si="74"/>
        <v>2020-06-15</v>
      </c>
      <c r="N663" s="20">
        <f t="shared" si="75"/>
        <v>43998</v>
      </c>
      <c r="O663" t="str">
        <f t="shared" si="76"/>
        <v>2020-06-16</v>
      </c>
    </row>
    <row r="664" spans="1:15" x14ac:dyDescent="0.2">
      <c r="A664" s="21" t="str">
        <f t="shared" si="70"/>
        <v>y</v>
      </c>
      <c r="B664" s="24" t="s">
        <v>1705</v>
      </c>
      <c r="C664" t="s">
        <v>235</v>
      </c>
      <c r="D664" t="s">
        <v>13</v>
      </c>
      <c r="E664" t="s">
        <v>8</v>
      </c>
      <c r="F664" t="s">
        <v>29</v>
      </c>
      <c r="G664" t="s">
        <v>1188</v>
      </c>
      <c r="H664" t="s">
        <v>1958</v>
      </c>
      <c r="I664" s="22" t="str">
        <f t="shared" si="71"/>
        <v>2020-06-15</v>
      </c>
      <c r="J664" s="23" t="str">
        <f t="shared" si="72"/>
        <v>15</v>
      </c>
      <c r="K664" t="str">
        <f t="shared" si="73"/>
        <v>no</v>
      </c>
      <c r="L664">
        <v>15</v>
      </c>
      <c r="M664" t="str">
        <f t="shared" si="74"/>
        <v>2020-06-15</v>
      </c>
      <c r="N664" s="20" t="str">
        <f t="shared" si="75"/>
        <v>2020-06-15</v>
      </c>
      <c r="O664" t="str">
        <f t="shared" si="76"/>
        <v>2020-06-15</v>
      </c>
    </row>
    <row r="665" spans="1:15" x14ac:dyDescent="0.2">
      <c r="A665" s="21" t="str">
        <f t="shared" si="70"/>
        <v>y</v>
      </c>
      <c r="B665" s="24" t="s">
        <v>1705</v>
      </c>
      <c r="C665" t="s">
        <v>235</v>
      </c>
      <c r="D665" t="s">
        <v>13</v>
      </c>
      <c r="E665" t="s">
        <v>42</v>
      </c>
      <c r="F665" t="s">
        <v>2</v>
      </c>
      <c r="H665" t="s">
        <v>1976</v>
      </c>
      <c r="I665" s="22" t="str">
        <f t="shared" si="71"/>
        <v>2020-06-15</v>
      </c>
      <c r="J665" s="23" t="str">
        <f t="shared" si="72"/>
        <v>15</v>
      </c>
      <c r="K665" t="str">
        <f t="shared" si="73"/>
        <v>no</v>
      </c>
      <c r="L665">
        <v>15</v>
      </c>
      <c r="M665" t="str">
        <f t="shared" si="74"/>
        <v>2020-06-15</v>
      </c>
      <c r="N665" s="20">
        <f t="shared" si="75"/>
        <v>43998</v>
      </c>
      <c r="O665" t="str">
        <f t="shared" si="76"/>
        <v>2020-06-16</v>
      </c>
    </row>
    <row r="666" spans="1:15" x14ac:dyDescent="0.2">
      <c r="A666" s="21" t="str">
        <f t="shared" si="70"/>
        <v>y</v>
      </c>
      <c r="B666" s="24" t="s">
        <v>1706</v>
      </c>
      <c r="C666" t="s">
        <v>616</v>
      </c>
      <c r="D666" t="s">
        <v>13</v>
      </c>
      <c r="E666" t="s">
        <v>34</v>
      </c>
      <c r="F666" t="s">
        <v>2</v>
      </c>
      <c r="G666" t="s">
        <v>1182</v>
      </c>
      <c r="H666" t="s">
        <v>1996</v>
      </c>
      <c r="I666" s="22" t="str">
        <f t="shared" si="71"/>
        <v>2020-06-14</v>
      </c>
      <c r="J666" s="23" t="str">
        <f t="shared" si="72"/>
        <v>14</v>
      </c>
      <c r="K666" t="str">
        <f t="shared" si="73"/>
        <v>no</v>
      </c>
      <c r="L666">
        <v>14</v>
      </c>
      <c r="M666" t="str">
        <f t="shared" si="74"/>
        <v>2020-06-14</v>
      </c>
      <c r="N666" s="20">
        <f t="shared" si="75"/>
        <v>43997</v>
      </c>
      <c r="O666" t="str">
        <f t="shared" si="76"/>
        <v>2020-06-15</v>
      </c>
    </row>
    <row r="667" spans="1:15" x14ac:dyDescent="0.2">
      <c r="A667" s="21" t="str">
        <f t="shared" si="70"/>
        <v>y</v>
      </c>
      <c r="B667" s="24" t="s">
        <v>1706</v>
      </c>
      <c r="C667" t="s">
        <v>12</v>
      </c>
      <c r="D667" t="s">
        <v>13</v>
      </c>
      <c r="E667" t="s">
        <v>49</v>
      </c>
      <c r="F667" t="s">
        <v>2</v>
      </c>
      <c r="G667" t="s">
        <v>1185</v>
      </c>
      <c r="H667" t="s">
        <v>1958</v>
      </c>
      <c r="I667" s="22" t="str">
        <f t="shared" si="71"/>
        <v>2020-06-14</v>
      </c>
      <c r="J667" s="23" t="str">
        <f t="shared" si="72"/>
        <v>14</v>
      </c>
      <c r="K667" t="str">
        <f t="shared" si="73"/>
        <v>no</v>
      </c>
      <c r="L667">
        <v>14</v>
      </c>
      <c r="M667" t="str">
        <f t="shared" si="74"/>
        <v>2020-06-14</v>
      </c>
      <c r="N667" s="20">
        <f t="shared" si="75"/>
        <v>43997</v>
      </c>
      <c r="O667" t="str">
        <f t="shared" si="76"/>
        <v>2020-06-15</v>
      </c>
    </row>
    <row r="668" spans="1:15" x14ac:dyDescent="0.2">
      <c r="A668" s="21" t="str">
        <f t="shared" si="70"/>
        <v>y</v>
      </c>
      <c r="B668" s="24" t="s">
        <v>1706</v>
      </c>
      <c r="C668" t="s">
        <v>235</v>
      </c>
      <c r="D668" t="s">
        <v>13</v>
      </c>
      <c r="E668" t="s">
        <v>27</v>
      </c>
      <c r="F668" t="s">
        <v>29</v>
      </c>
      <c r="G668" t="s">
        <v>1181</v>
      </c>
      <c r="H668" t="s">
        <v>1993</v>
      </c>
      <c r="I668" s="22" t="str">
        <f t="shared" si="71"/>
        <v>2020-06-14</v>
      </c>
      <c r="J668" s="23" t="str">
        <f t="shared" si="72"/>
        <v>14</v>
      </c>
      <c r="K668" t="str">
        <f t="shared" si="73"/>
        <v>no</v>
      </c>
      <c r="L668">
        <v>14</v>
      </c>
      <c r="M668" t="str">
        <f t="shared" si="74"/>
        <v>2020-06-14</v>
      </c>
      <c r="N668" s="20" t="str">
        <f t="shared" si="75"/>
        <v>2020-06-14</v>
      </c>
      <c r="O668" t="str">
        <f t="shared" si="76"/>
        <v>2020-06-14</v>
      </c>
    </row>
    <row r="669" spans="1:15" x14ac:dyDescent="0.2">
      <c r="A669" s="21" t="str">
        <f t="shared" si="70"/>
        <v>y</v>
      </c>
      <c r="B669" s="24" t="s">
        <v>1706</v>
      </c>
      <c r="C669" t="s">
        <v>701</v>
      </c>
      <c r="D669" t="s">
        <v>13</v>
      </c>
      <c r="E669" t="s">
        <v>8</v>
      </c>
      <c r="F669" t="s">
        <v>29</v>
      </c>
      <c r="G669" t="s">
        <v>1183</v>
      </c>
      <c r="H669" t="s">
        <v>1978</v>
      </c>
      <c r="I669" s="22" t="str">
        <f t="shared" si="71"/>
        <v>2020-06-14</v>
      </c>
      <c r="J669" s="23" t="str">
        <f t="shared" si="72"/>
        <v>14</v>
      </c>
      <c r="K669" t="str">
        <f t="shared" si="73"/>
        <v>no</v>
      </c>
      <c r="L669">
        <v>14</v>
      </c>
      <c r="M669" t="str">
        <f t="shared" si="74"/>
        <v>2020-06-14</v>
      </c>
      <c r="N669" s="20" t="str">
        <f t="shared" si="75"/>
        <v>2020-06-14</v>
      </c>
      <c r="O669" t="str">
        <f t="shared" si="76"/>
        <v>2020-06-14</v>
      </c>
    </row>
    <row r="670" spans="1:15" x14ac:dyDescent="0.2">
      <c r="A670" s="21" t="str">
        <f t="shared" si="70"/>
        <v>y</v>
      </c>
      <c r="B670" s="24" t="s">
        <v>1706</v>
      </c>
      <c r="C670" t="s">
        <v>975</v>
      </c>
      <c r="D670" t="s">
        <v>13</v>
      </c>
      <c r="E670" t="s">
        <v>27</v>
      </c>
      <c r="F670" t="s">
        <v>29</v>
      </c>
      <c r="G670" t="s">
        <v>1184</v>
      </c>
      <c r="H670" t="s">
        <v>1976</v>
      </c>
      <c r="I670" s="22" t="str">
        <f t="shared" si="71"/>
        <v>2020-06-14</v>
      </c>
      <c r="J670" s="23" t="str">
        <f t="shared" si="72"/>
        <v>14</v>
      </c>
      <c r="K670" t="str">
        <f t="shared" si="73"/>
        <v>no</v>
      </c>
      <c r="L670">
        <v>14</v>
      </c>
      <c r="M670" t="str">
        <f t="shared" si="74"/>
        <v>2020-06-14</v>
      </c>
      <c r="N670" s="20" t="str">
        <f t="shared" si="75"/>
        <v>2020-06-14</v>
      </c>
      <c r="O670" t="str">
        <f t="shared" si="76"/>
        <v>2020-06-14</v>
      </c>
    </row>
    <row r="671" spans="1:15" x14ac:dyDescent="0.2">
      <c r="A671" s="21" t="str">
        <f t="shared" si="70"/>
        <v>y</v>
      </c>
      <c r="B671" s="24">
        <v>44141</v>
      </c>
      <c r="C671" t="s">
        <v>616</v>
      </c>
      <c r="D671" t="s">
        <v>13</v>
      </c>
      <c r="E671" t="s">
        <v>34</v>
      </c>
      <c r="F671" t="s">
        <v>2</v>
      </c>
      <c r="H671" t="s">
        <v>1996</v>
      </c>
      <c r="I671" s="22" t="str">
        <f t="shared" si="71"/>
        <v>2020-06-11</v>
      </c>
      <c r="J671" s="23" t="str">
        <f t="shared" si="72"/>
        <v>44</v>
      </c>
      <c r="K671" t="str">
        <f t="shared" si="73"/>
        <v>yes</v>
      </c>
      <c r="L671">
        <v>44</v>
      </c>
      <c r="M671" t="str">
        <f t="shared" si="74"/>
        <v>2020-06-11</v>
      </c>
      <c r="N671" s="20">
        <f t="shared" si="75"/>
        <v>43994</v>
      </c>
      <c r="O671" t="str">
        <f t="shared" si="76"/>
        <v>2020-06-12</v>
      </c>
    </row>
    <row r="672" spans="1:15" x14ac:dyDescent="0.2">
      <c r="A672" s="21" t="str">
        <f t="shared" si="70"/>
        <v>y</v>
      </c>
      <c r="B672" s="24">
        <v>44141</v>
      </c>
      <c r="C672" t="s">
        <v>12</v>
      </c>
      <c r="D672" t="s">
        <v>13</v>
      </c>
      <c r="E672" t="s">
        <v>49</v>
      </c>
      <c r="F672" t="s">
        <v>2</v>
      </c>
      <c r="H672" t="s">
        <v>1958</v>
      </c>
      <c r="I672" s="22" t="str">
        <f t="shared" si="71"/>
        <v>2020-06-11</v>
      </c>
      <c r="J672" s="23" t="str">
        <f t="shared" si="72"/>
        <v>44</v>
      </c>
      <c r="K672" t="str">
        <f t="shared" si="73"/>
        <v>yes</v>
      </c>
      <c r="L672">
        <v>44</v>
      </c>
      <c r="M672" t="str">
        <f t="shared" si="74"/>
        <v>2020-06-11</v>
      </c>
      <c r="N672" s="20">
        <f t="shared" si="75"/>
        <v>43994</v>
      </c>
      <c r="O672" t="str">
        <f t="shared" si="76"/>
        <v>2020-06-12</v>
      </c>
    </row>
    <row r="673" spans="1:15" x14ac:dyDescent="0.2">
      <c r="A673" s="21" t="str">
        <f t="shared" si="70"/>
        <v>y</v>
      </c>
      <c r="B673" s="24">
        <v>44141</v>
      </c>
      <c r="C673" t="s">
        <v>235</v>
      </c>
      <c r="D673" t="s">
        <v>13</v>
      </c>
      <c r="E673" t="s">
        <v>27</v>
      </c>
      <c r="F673" t="s">
        <v>29</v>
      </c>
      <c r="G673" t="s">
        <v>1179</v>
      </c>
      <c r="H673" t="s">
        <v>1997</v>
      </c>
      <c r="I673" s="22" t="str">
        <f t="shared" si="71"/>
        <v>2020-06-11</v>
      </c>
      <c r="J673" s="23" t="str">
        <f t="shared" si="72"/>
        <v>44</v>
      </c>
      <c r="K673" t="str">
        <f t="shared" si="73"/>
        <v>yes</v>
      </c>
      <c r="L673">
        <v>44</v>
      </c>
      <c r="M673" t="str">
        <f t="shared" si="74"/>
        <v>2020-06-11</v>
      </c>
      <c r="N673" s="20" t="str">
        <f t="shared" si="75"/>
        <v>2020-06-11</v>
      </c>
      <c r="O673" t="str">
        <f t="shared" si="76"/>
        <v>2020-06-11</v>
      </c>
    </row>
    <row r="674" spans="1:15" x14ac:dyDescent="0.2">
      <c r="A674" s="21" t="str">
        <f t="shared" si="70"/>
        <v>y</v>
      </c>
      <c r="B674" s="24">
        <v>44141</v>
      </c>
      <c r="C674" t="s">
        <v>1034</v>
      </c>
      <c r="D674" t="s">
        <v>13</v>
      </c>
      <c r="E674" t="s">
        <v>27</v>
      </c>
      <c r="F674" t="s">
        <v>29</v>
      </c>
      <c r="G674" t="s">
        <v>1180</v>
      </c>
      <c r="H674" t="s">
        <v>1998</v>
      </c>
      <c r="I674" s="22" t="str">
        <f t="shared" si="71"/>
        <v>2020-06-11</v>
      </c>
      <c r="J674" s="23" t="str">
        <f t="shared" si="72"/>
        <v>44</v>
      </c>
      <c r="K674" t="str">
        <f t="shared" si="73"/>
        <v>yes</v>
      </c>
      <c r="L674">
        <v>44</v>
      </c>
      <c r="M674" t="str">
        <f t="shared" si="74"/>
        <v>2020-06-11</v>
      </c>
      <c r="N674" s="20" t="str">
        <f t="shared" si="75"/>
        <v>2020-06-11</v>
      </c>
      <c r="O674" t="str">
        <f t="shared" si="76"/>
        <v>2020-06-11</v>
      </c>
    </row>
    <row r="675" spans="1:15" x14ac:dyDescent="0.2">
      <c r="A675" s="21" t="str">
        <f t="shared" si="70"/>
        <v>y</v>
      </c>
      <c r="B675" s="24">
        <v>44141</v>
      </c>
      <c r="C675" t="s">
        <v>235</v>
      </c>
      <c r="D675" t="s">
        <v>13</v>
      </c>
      <c r="E675" t="s">
        <v>34</v>
      </c>
      <c r="F675" t="s">
        <v>29</v>
      </c>
      <c r="G675" t="s">
        <v>1177</v>
      </c>
      <c r="H675" t="s">
        <v>1977</v>
      </c>
      <c r="I675" s="22" t="str">
        <f t="shared" si="71"/>
        <v>2020-06-11</v>
      </c>
      <c r="J675" s="23" t="str">
        <f t="shared" si="72"/>
        <v>44</v>
      </c>
      <c r="K675" t="str">
        <f t="shared" si="73"/>
        <v>yes</v>
      </c>
      <c r="L675">
        <v>44</v>
      </c>
      <c r="M675" t="str">
        <f t="shared" si="74"/>
        <v>2020-06-11</v>
      </c>
      <c r="N675" s="20" t="str">
        <f t="shared" si="75"/>
        <v>2020-06-11</v>
      </c>
      <c r="O675" t="str">
        <f t="shared" si="76"/>
        <v>2020-06-11</v>
      </c>
    </row>
    <row r="676" spans="1:15" x14ac:dyDescent="0.2">
      <c r="A676" s="21" t="str">
        <f t="shared" si="70"/>
        <v>y</v>
      </c>
      <c r="B676" s="24">
        <v>44141</v>
      </c>
      <c r="C676" t="s">
        <v>756</v>
      </c>
      <c r="D676" t="s">
        <v>13</v>
      </c>
      <c r="E676" t="s">
        <v>49</v>
      </c>
      <c r="F676" t="s">
        <v>29</v>
      </c>
      <c r="G676" t="s">
        <v>1178</v>
      </c>
      <c r="H676" t="s">
        <v>1976</v>
      </c>
      <c r="I676" s="22" t="str">
        <f t="shared" si="71"/>
        <v>2020-06-11</v>
      </c>
      <c r="J676" s="23" t="str">
        <f t="shared" si="72"/>
        <v>44</v>
      </c>
      <c r="K676" t="str">
        <f t="shared" si="73"/>
        <v>yes</v>
      </c>
      <c r="L676">
        <v>44</v>
      </c>
      <c r="M676" t="str">
        <f t="shared" si="74"/>
        <v>2020-06-11</v>
      </c>
      <c r="N676" s="20" t="str">
        <f t="shared" si="75"/>
        <v>2020-06-11</v>
      </c>
      <c r="O676" t="str">
        <f t="shared" si="76"/>
        <v>2020-06-11</v>
      </c>
    </row>
    <row r="677" spans="1:15" x14ac:dyDescent="0.2">
      <c r="A677" s="21" t="str">
        <f t="shared" si="70"/>
        <v>y</v>
      </c>
      <c r="B677" s="24">
        <v>44110</v>
      </c>
      <c r="C677" t="s">
        <v>616</v>
      </c>
      <c r="D677" t="s">
        <v>13</v>
      </c>
      <c r="E677" t="s">
        <v>34</v>
      </c>
      <c r="F677" t="s">
        <v>2</v>
      </c>
      <c r="G677" t="s">
        <v>1170</v>
      </c>
      <c r="H677" t="s">
        <v>1996</v>
      </c>
      <c r="I677" s="22" t="str">
        <f t="shared" si="71"/>
        <v>2020-06-10</v>
      </c>
      <c r="J677" s="23" t="str">
        <f t="shared" si="72"/>
        <v>44</v>
      </c>
      <c r="K677" t="str">
        <f t="shared" si="73"/>
        <v>yes</v>
      </c>
      <c r="L677">
        <v>44</v>
      </c>
      <c r="M677" t="str">
        <f t="shared" si="74"/>
        <v>2020-06-10</v>
      </c>
      <c r="N677" s="20">
        <f t="shared" si="75"/>
        <v>43993</v>
      </c>
      <c r="O677" t="str">
        <f t="shared" si="76"/>
        <v>2020-06-11</v>
      </c>
    </row>
    <row r="678" spans="1:15" x14ac:dyDescent="0.2">
      <c r="A678" s="21" t="str">
        <f t="shared" si="70"/>
        <v>y</v>
      </c>
      <c r="B678" s="24">
        <v>44110</v>
      </c>
      <c r="C678" t="s">
        <v>12</v>
      </c>
      <c r="D678" t="s">
        <v>13</v>
      </c>
      <c r="E678" t="s">
        <v>49</v>
      </c>
      <c r="F678" t="s">
        <v>2</v>
      </c>
      <c r="G678" t="s">
        <v>1175</v>
      </c>
      <c r="H678" t="s">
        <v>1991</v>
      </c>
      <c r="I678" s="22" t="str">
        <f t="shared" si="71"/>
        <v>2020-06-10</v>
      </c>
      <c r="J678" s="23" t="str">
        <f t="shared" si="72"/>
        <v>44</v>
      </c>
      <c r="K678" t="str">
        <f t="shared" si="73"/>
        <v>yes</v>
      </c>
      <c r="L678">
        <v>44</v>
      </c>
      <c r="M678" t="str">
        <f t="shared" si="74"/>
        <v>2020-06-10</v>
      </c>
      <c r="N678" s="20">
        <f t="shared" si="75"/>
        <v>43993</v>
      </c>
      <c r="O678" t="str">
        <f t="shared" si="76"/>
        <v>2020-06-11</v>
      </c>
    </row>
    <row r="679" spans="1:15" x14ac:dyDescent="0.2">
      <c r="A679" s="21" t="str">
        <f t="shared" si="70"/>
        <v>y</v>
      </c>
      <c r="B679" s="24">
        <v>44110</v>
      </c>
      <c r="C679" t="s">
        <v>1160</v>
      </c>
      <c r="D679" t="s">
        <v>13</v>
      </c>
      <c r="E679" t="s">
        <v>34</v>
      </c>
      <c r="F679" t="s">
        <v>29</v>
      </c>
      <c r="G679" t="s">
        <v>1174</v>
      </c>
      <c r="H679" t="s">
        <v>1958</v>
      </c>
      <c r="I679" s="22" t="str">
        <f t="shared" si="71"/>
        <v>2020-06-10</v>
      </c>
      <c r="J679" s="23" t="str">
        <f t="shared" si="72"/>
        <v>44</v>
      </c>
      <c r="K679" t="str">
        <f t="shared" si="73"/>
        <v>yes</v>
      </c>
      <c r="L679">
        <v>44</v>
      </c>
      <c r="M679" t="str">
        <f t="shared" si="74"/>
        <v>2020-06-10</v>
      </c>
      <c r="N679" s="20" t="str">
        <f t="shared" si="75"/>
        <v>2020-06-10</v>
      </c>
      <c r="O679" t="str">
        <f t="shared" si="76"/>
        <v>2020-06-10</v>
      </c>
    </row>
    <row r="680" spans="1:15" x14ac:dyDescent="0.2">
      <c r="A680" s="21" t="str">
        <f t="shared" si="70"/>
        <v>y</v>
      </c>
      <c r="B680" s="24">
        <v>44110</v>
      </c>
      <c r="C680" t="s">
        <v>235</v>
      </c>
      <c r="D680" t="s">
        <v>13</v>
      </c>
      <c r="E680" t="s">
        <v>43</v>
      </c>
      <c r="F680" t="s">
        <v>29</v>
      </c>
      <c r="G680" t="s">
        <v>1173</v>
      </c>
      <c r="H680" t="s">
        <v>1976</v>
      </c>
      <c r="I680" s="22" t="str">
        <f t="shared" si="71"/>
        <v>2020-06-10</v>
      </c>
      <c r="J680" s="23" t="str">
        <f t="shared" si="72"/>
        <v>44</v>
      </c>
      <c r="K680" t="str">
        <f t="shared" si="73"/>
        <v>yes</v>
      </c>
      <c r="L680">
        <v>44</v>
      </c>
      <c r="M680" t="str">
        <f t="shared" si="74"/>
        <v>2020-06-10</v>
      </c>
      <c r="N680" s="20" t="str">
        <f t="shared" si="75"/>
        <v>2020-06-10</v>
      </c>
      <c r="O680" t="str">
        <f t="shared" si="76"/>
        <v>2020-06-10</v>
      </c>
    </row>
    <row r="681" spans="1:15" x14ac:dyDescent="0.2">
      <c r="A681" s="21" t="str">
        <f t="shared" si="70"/>
        <v>y</v>
      </c>
      <c r="B681" s="24">
        <v>44080</v>
      </c>
      <c r="C681" t="s">
        <v>616</v>
      </c>
      <c r="D681" t="s">
        <v>13</v>
      </c>
      <c r="E681" t="s">
        <v>34</v>
      </c>
      <c r="F681" t="s">
        <v>2</v>
      </c>
      <c r="G681" t="s">
        <v>1170</v>
      </c>
      <c r="H681" t="s">
        <v>1990</v>
      </c>
      <c r="I681" s="22" t="str">
        <f t="shared" si="71"/>
        <v>2020-06-09</v>
      </c>
      <c r="J681" s="23" t="str">
        <f t="shared" si="72"/>
        <v>44</v>
      </c>
      <c r="K681" t="str">
        <f t="shared" si="73"/>
        <v>yes</v>
      </c>
      <c r="L681">
        <v>44</v>
      </c>
      <c r="M681" t="str">
        <f t="shared" si="74"/>
        <v>2020-06-09</v>
      </c>
      <c r="N681" s="20">
        <f t="shared" si="75"/>
        <v>43992</v>
      </c>
      <c r="O681" t="str">
        <f t="shared" si="76"/>
        <v>2020-06-10</v>
      </c>
    </row>
    <row r="682" spans="1:15" x14ac:dyDescent="0.2">
      <c r="A682" s="21" t="str">
        <f t="shared" si="70"/>
        <v>y</v>
      </c>
      <c r="B682" s="24">
        <v>44080</v>
      </c>
      <c r="C682" t="s">
        <v>832</v>
      </c>
      <c r="D682" t="s">
        <v>13</v>
      </c>
      <c r="E682" t="s">
        <v>34</v>
      </c>
      <c r="F682" t="s">
        <v>2</v>
      </c>
      <c r="H682" t="s">
        <v>1969</v>
      </c>
      <c r="I682" s="22" t="str">
        <f t="shared" si="71"/>
        <v>2020-06-09</v>
      </c>
      <c r="J682" s="23" t="str">
        <f t="shared" si="72"/>
        <v>44</v>
      </c>
      <c r="K682" t="str">
        <f t="shared" si="73"/>
        <v>yes</v>
      </c>
      <c r="L682">
        <v>44</v>
      </c>
      <c r="M682" t="str">
        <f t="shared" si="74"/>
        <v>2020-06-09</v>
      </c>
      <c r="N682" s="20">
        <f t="shared" si="75"/>
        <v>43992</v>
      </c>
      <c r="O682" t="str">
        <f t="shared" si="76"/>
        <v>2020-06-10</v>
      </c>
    </row>
    <row r="683" spans="1:15" x14ac:dyDescent="0.2">
      <c r="A683" s="21" t="str">
        <f t="shared" si="70"/>
        <v>y</v>
      </c>
      <c r="B683" s="24">
        <v>44080</v>
      </c>
      <c r="C683" t="s">
        <v>65</v>
      </c>
      <c r="D683" t="s">
        <v>13</v>
      </c>
      <c r="E683" t="s">
        <v>115</v>
      </c>
      <c r="F683" t="s">
        <v>29</v>
      </c>
      <c r="G683" t="s">
        <v>1176</v>
      </c>
      <c r="H683" t="s">
        <v>1976</v>
      </c>
      <c r="I683" s="22" t="str">
        <f t="shared" si="71"/>
        <v>2020-06-09</v>
      </c>
      <c r="J683" s="23" t="str">
        <f t="shared" si="72"/>
        <v>44</v>
      </c>
      <c r="K683" t="str">
        <f t="shared" si="73"/>
        <v>yes</v>
      </c>
      <c r="L683">
        <v>44</v>
      </c>
      <c r="M683" t="str">
        <f t="shared" si="74"/>
        <v>2020-06-09</v>
      </c>
      <c r="N683" s="20" t="str">
        <f t="shared" si="75"/>
        <v>2020-06-09</v>
      </c>
      <c r="O683" t="str">
        <f t="shared" si="76"/>
        <v>2020-06-09</v>
      </c>
    </row>
    <row r="684" spans="1:15" x14ac:dyDescent="0.2">
      <c r="A684" s="21" t="str">
        <f t="shared" si="70"/>
        <v>y</v>
      </c>
      <c r="B684" s="24">
        <v>44049</v>
      </c>
      <c r="C684" t="s">
        <v>616</v>
      </c>
      <c r="D684" t="s">
        <v>13</v>
      </c>
      <c r="E684" t="s">
        <v>34</v>
      </c>
      <c r="F684" t="s">
        <v>2</v>
      </c>
      <c r="G684" t="s">
        <v>1170</v>
      </c>
      <c r="H684" t="s">
        <v>1958</v>
      </c>
      <c r="I684" s="22" t="str">
        <f t="shared" si="71"/>
        <v>2020-06-08</v>
      </c>
      <c r="J684" s="23" t="str">
        <f t="shared" si="72"/>
        <v>44</v>
      </c>
      <c r="K684" t="str">
        <f t="shared" si="73"/>
        <v>yes</v>
      </c>
      <c r="L684">
        <v>44</v>
      </c>
      <c r="M684" t="str">
        <f t="shared" si="74"/>
        <v>2020-06-08</v>
      </c>
      <c r="N684" s="20">
        <f t="shared" si="75"/>
        <v>43991</v>
      </c>
      <c r="O684" t="str">
        <f t="shared" si="76"/>
        <v>2020-06-09</v>
      </c>
    </row>
    <row r="685" spans="1:15" x14ac:dyDescent="0.2">
      <c r="A685" s="21" t="str">
        <f t="shared" si="70"/>
        <v>y</v>
      </c>
      <c r="B685" s="24">
        <v>44049</v>
      </c>
      <c r="C685" t="s">
        <v>235</v>
      </c>
      <c r="D685" t="s">
        <v>13</v>
      </c>
      <c r="E685" t="s">
        <v>42</v>
      </c>
      <c r="F685" t="s">
        <v>29</v>
      </c>
      <c r="G685" t="s">
        <v>1169</v>
      </c>
      <c r="H685" t="s">
        <v>1993</v>
      </c>
      <c r="I685" s="22" t="str">
        <f t="shared" si="71"/>
        <v>2020-06-08</v>
      </c>
      <c r="J685" s="23" t="str">
        <f t="shared" si="72"/>
        <v>44</v>
      </c>
      <c r="K685" t="str">
        <f t="shared" si="73"/>
        <v>yes</v>
      </c>
      <c r="L685">
        <v>44</v>
      </c>
      <c r="M685" t="str">
        <f t="shared" si="74"/>
        <v>2020-06-08</v>
      </c>
      <c r="N685" s="20" t="str">
        <f t="shared" si="75"/>
        <v>2020-06-08</v>
      </c>
      <c r="O685" t="str">
        <f t="shared" si="76"/>
        <v>2020-06-08</v>
      </c>
    </row>
    <row r="686" spans="1:15" x14ac:dyDescent="0.2">
      <c r="A686" s="21" t="str">
        <f t="shared" si="70"/>
        <v>y</v>
      </c>
      <c r="B686" s="24">
        <v>44049</v>
      </c>
      <c r="C686" t="s">
        <v>832</v>
      </c>
      <c r="D686" t="s">
        <v>13</v>
      </c>
      <c r="E686" t="s">
        <v>34</v>
      </c>
      <c r="F686" t="s">
        <v>2</v>
      </c>
      <c r="H686" t="s">
        <v>1990</v>
      </c>
      <c r="I686" s="22" t="str">
        <f t="shared" si="71"/>
        <v>2020-06-08</v>
      </c>
      <c r="J686" s="23" t="str">
        <f t="shared" si="72"/>
        <v>44</v>
      </c>
      <c r="K686" t="str">
        <f t="shared" si="73"/>
        <v>yes</v>
      </c>
      <c r="L686">
        <v>44</v>
      </c>
      <c r="M686" t="str">
        <f t="shared" si="74"/>
        <v>2020-06-08</v>
      </c>
      <c r="N686" s="20">
        <f t="shared" si="75"/>
        <v>43991</v>
      </c>
      <c r="O686" t="str">
        <f t="shared" si="76"/>
        <v>2020-06-09</v>
      </c>
    </row>
    <row r="687" spans="1:15" x14ac:dyDescent="0.2">
      <c r="A687" s="21" t="str">
        <f t="shared" si="70"/>
        <v>y</v>
      </c>
      <c r="B687" s="24">
        <v>44049</v>
      </c>
      <c r="C687" t="s">
        <v>1160</v>
      </c>
      <c r="D687" t="s">
        <v>13</v>
      </c>
      <c r="E687" t="s">
        <v>34</v>
      </c>
      <c r="F687" t="s">
        <v>29</v>
      </c>
      <c r="G687" t="s">
        <v>1171</v>
      </c>
      <c r="H687" t="s">
        <v>1999</v>
      </c>
      <c r="I687" s="22" t="str">
        <f t="shared" si="71"/>
        <v>2020-06-08</v>
      </c>
      <c r="J687" s="23" t="str">
        <f t="shared" si="72"/>
        <v>44</v>
      </c>
      <c r="K687" t="str">
        <f t="shared" si="73"/>
        <v>yes</v>
      </c>
      <c r="L687">
        <v>44</v>
      </c>
      <c r="M687" t="str">
        <f t="shared" si="74"/>
        <v>2020-06-08</v>
      </c>
      <c r="N687" s="20" t="str">
        <f t="shared" si="75"/>
        <v>2020-06-08</v>
      </c>
      <c r="O687" t="str">
        <f t="shared" si="76"/>
        <v>2020-06-08</v>
      </c>
    </row>
    <row r="688" spans="1:15" x14ac:dyDescent="0.2">
      <c r="A688" s="21" t="str">
        <f t="shared" si="70"/>
        <v>y</v>
      </c>
      <c r="B688" s="24">
        <v>44049</v>
      </c>
      <c r="C688" t="s">
        <v>701</v>
      </c>
      <c r="D688" t="s">
        <v>13</v>
      </c>
      <c r="E688" t="s">
        <v>8</v>
      </c>
      <c r="F688" t="s">
        <v>29</v>
      </c>
      <c r="G688" t="s">
        <v>1172</v>
      </c>
      <c r="H688" t="s">
        <v>1976</v>
      </c>
      <c r="I688" s="22" t="str">
        <f t="shared" si="71"/>
        <v>2020-06-08</v>
      </c>
      <c r="J688" s="23" t="str">
        <f t="shared" si="72"/>
        <v>44</v>
      </c>
      <c r="K688" t="str">
        <f t="shared" si="73"/>
        <v>yes</v>
      </c>
      <c r="L688">
        <v>44</v>
      </c>
      <c r="M688" t="str">
        <f t="shared" si="74"/>
        <v>2020-06-08</v>
      </c>
      <c r="N688" s="20" t="str">
        <f t="shared" si="75"/>
        <v>2020-06-08</v>
      </c>
      <c r="O688" t="str">
        <f t="shared" si="76"/>
        <v>2020-06-08</v>
      </c>
    </row>
    <row r="689" spans="1:15" x14ac:dyDescent="0.2">
      <c r="A689" s="21" t="str">
        <f t="shared" si="70"/>
        <v>y</v>
      </c>
      <c r="B689" s="24">
        <v>44018</v>
      </c>
      <c r="C689" t="s">
        <v>616</v>
      </c>
      <c r="D689" t="s">
        <v>13</v>
      </c>
      <c r="E689" t="s">
        <v>34</v>
      </c>
      <c r="F689" t="s">
        <v>2</v>
      </c>
      <c r="G689" t="s">
        <v>1164</v>
      </c>
      <c r="H689" t="s">
        <v>1958</v>
      </c>
      <c r="I689" s="22" t="str">
        <f t="shared" si="71"/>
        <v>2020-06-07</v>
      </c>
      <c r="J689" s="23" t="str">
        <f t="shared" si="72"/>
        <v>44</v>
      </c>
      <c r="K689" t="str">
        <f t="shared" si="73"/>
        <v>yes</v>
      </c>
      <c r="L689">
        <v>44</v>
      </c>
      <c r="M689" t="str">
        <f t="shared" si="74"/>
        <v>2020-06-07</v>
      </c>
      <c r="N689" s="20">
        <f t="shared" si="75"/>
        <v>43990</v>
      </c>
      <c r="O689" t="str">
        <f t="shared" si="76"/>
        <v>2020-06-08</v>
      </c>
    </row>
    <row r="690" spans="1:15" x14ac:dyDescent="0.2">
      <c r="A690" s="21" t="str">
        <f t="shared" si="70"/>
        <v>y</v>
      </c>
      <c r="B690" s="24">
        <v>44018</v>
      </c>
      <c r="C690" t="s">
        <v>235</v>
      </c>
      <c r="D690" t="s">
        <v>13</v>
      </c>
      <c r="E690" t="s">
        <v>42</v>
      </c>
      <c r="F690" t="s">
        <v>29</v>
      </c>
      <c r="G690" t="s">
        <v>1166</v>
      </c>
      <c r="H690" t="s">
        <v>1993</v>
      </c>
      <c r="I690" s="22" t="str">
        <f t="shared" si="71"/>
        <v>2020-06-07</v>
      </c>
      <c r="J690" s="23" t="str">
        <f t="shared" si="72"/>
        <v>44</v>
      </c>
      <c r="K690" t="str">
        <f t="shared" si="73"/>
        <v>yes</v>
      </c>
      <c r="L690">
        <v>44</v>
      </c>
      <c r="M690" t="str">
        <f t="shared" si="74"/>
        <v>2020-06-07</v>
      </c>
      <c r="N690" s="20" t="str">
        <f t="shared" si="75"/>
        <v>2020-06-07</v>
      </c>
      <c r="O690" t="str">
        <f t="shared" si="76"/>
        <v>2020-06-07</v>
      </c>
    </row>
    <row r="691" spans="1:15" x14ac:dyDescent="0.2">
      <c r="A691" s="21" t="str">
        <f t="shared" si="70"/>
        <v>y</v>
      </c>
      <c r="B691" s="24">
        <v>44018</v>
      </c>
      <c r="C691" t="s">
        <v>832</v>
      </c>
      <c r="D691" t="s">
        <v>13</v>
      </c>
      <c r="E691" t="s">
        <v>34</v>
      </c>
      <c r="F691" t="s">
        <v>2</v>
      </c>
      <c r="H691" t="s">
        <v>1977</v>
      </c>
      <c r="I691" s="22" t="str">
        <f t="shared" si="71"/>
        <v>2020-06-07</v>
      </c>
      <c r="J691" s="23" t="str">
        <f t="shared" si="72"/>
        <v>44</v>
      </c>
      <c r="K691" t="str">
        <f t="shared" si="73"/>
        <v>yes</v>
      </c>
      <c r="L691">
        <v>44</v>
      </c>
      <c r="M691" t="str">
        <f t="shared" si="74"/>
        <v>2020-06-07</v>
      </c>
      <c r="N691" s="20">
        <f t="shared" si="75"/>
        <v>43990</v>
      </c>
      <c r="O691" t="str">
        <f t="shared" si="76"/>
        <v>2020-06-08</v>
      </c>
    </row>
    <row r="692" spans="1:15" x14ac:dyDescent="0.2">
      <c r="A692" s="21" t="str">
        <f t="shared" si="70"/>
        <v>y</v>
      </c>
      <c r="B692" s="24">
        <v>44018</v>
      </c>
      <c r="C692" t="s">
        <v>1160</v>
      </c>
      <c r="D692" t="s">
        <v>13</v>
      </c>
      <c r="E692" t="s">
        <v>34</v>
      </c>
      <c r="F692" t="s">
        <v>2</v>
      </c>
      <c r="G692" t="s">
        <v>1165</v>
      </c>
      <c r="H692" t="s">
        <v>1990</v>
      </c>
      <c r="I692" s="22" t="str">
        <f t="shared" si="71"/>
        <v>2020-06-07</v>
      </c>
      <c r="J692" s="23" t="str">
        <f t="shared" si="72"/>
        <v>44</v>
      </c>
      <c r="K692" t="str">
        <f t="shared" si="73"/>
        <v>yes</v>
      </c>
      <c r="L692">
        <v>44</v>
      </c>
      <c r="M692" t="str">
        <f t="shared" si="74"/>
        <v>2020-06-07</v>
      </c>
      <c r="N692" s="20">
        <f t="shared" si="75"/>
        <v>43990</v>
      </c>
      <c r="O692" t="str">
        <f t="shared" si="76"/>
        <v>2020-06-08</v>
      </c>
    </row>
    <row r="693" spans="1:15" x14ac:dyDescent="0.2">
      <c r="A693" s="21" t="str">
        <f t="shared" si="70"/>
        <v>y</v>
      </c>
      <c r="B693" s="24">
        <v>44018</v>
      </c>
      <c r="C693" t="s">
        <v>701</v>
      </c>
      <c r="D693" t="s">
        <v>13</v>
      </c>
      <c r="E693" t="s">
        <v>8</v>
      </c>
      <c r="F693" t="s">
        <v>2</v>
      </c>
      <c r="H693" t="s">
        <v>1999</v>
      </c>
      <c r="I693" s="22" t="str">
        <f t="shared" si="71"/>
        <v>2020-06-07</v>
      </c>
      <c r="J693" s="23" t="str">
        <f t="shared" si="72"/>
        <v>44</v>
      </c>
      <c r="K693" t="str">
        <f t="shared" si="73"/>
        <v>yes</v>
      </c>
      <c r="L693">
        <v>44</v>
      </c>
      <c r="M693" t="str">
        <f t="shared" si="74"/>
        <v>2020-06-07</v>
      </c>
      <c r="N693" s="20">
        <f t="shared" si="75"/>
        <v>43990</v>
      </c>
      <c r="O693" t="str">
        <f t="shared" si="76"/>
        <v>2020-06-08</v>
      </c>
    </row>
    <row r="694" spans="1:15" x14ac:dyDescent="0.2">
      <c r="A694" s="21" t="str">
        <f t="shared" si="70"/>
        <v>y</v>
      </c>
      <c r="B694" s="24">
        <v>44018</v>
      </c>
      <c r="C694" t="s">
        <v>756</v>
      </c>
      <c r="D694" t="s">
        <v>13</v>
      </c>
      <c r="E694" t="s">
        <v>49</v>
      </c>
      <c r="F694" t="s">
        <v>29</v>
      </c>
      <c r="G694" t="s">
        <v>1167</v>
      </c>
      <c r="H694" t="s">
        <v>1969</v>
      </c>
      <c r="I694" s="22" t="str">
        <f t="shared" si="71"/>
        <v>2020-06-07</v>
      </c>
      <c r="J694" s="23" t="str">
        <f t="shared" si="72"/>
        <v>44</v>
      </c>
      <c r="K694" t="str">
        <f t="shared" si="73"/>
        <v>yes</v>
      </c>
      <c r="L694">
        <v>44</v>
      </c>
      <c r="M694" t="str">
        <f t="shared" si="74"/>
        <v>2020-06-07</v>
      </c>
      <c r="N694" s="20" t="str">
        <f t="shared" si="75"/>
        <v>2020-06-07</v>
      </c>
      <c r="O694" t="str">
        <f t="shared" si="76"/>
        <v>2020-06-07</v>
      </c>
    </row>
    <row r="695" spans="1:15" x14ac:dyDescent="0.2">
      <c r="A695" s="21" t="str">
        <f t="shared" si="70"/>
        <v>y</v>
      </c>
      <c r="B695" s="24">
        <v>44018</v>
      </c>
      <c r="C695" t="s">
        <v>65</v>
      </c>
      <c r="D695" t="s">
        <v>13</v>
      </c>
      <c r="E695" t="s">
        <v>115</v>
      </c>
      <c r="F695" t="s">
        <v>29</v>
      </c>
      <c r="G695" t="s">
        <v>1168</v>
      </c>
      <c r="H695" t="s">
        <v>1976</v>
      </c>
      <c r="I695" s="22" t="str">
        <f t="shared" si="71"/>
        <v>2020-06-07</v>
      </c>
      <c r="J695" s="23" t="str">
        <f t="shared" si="72"/>
        <v>44</v>
      </c>
      <c r="K695" t="str">
        <f t="shared" si="73"/>
        <v>yes</v>
      </c>
      <c r="L695">
        <v>44</v>
      </c>
      <c r="M695" t="str">
        <f t="shared" si="74"/>
        <v>2020-06-07</v>
      </c>
      <c r="N695" s="20" t="str">
        <f t="shared" si="75"/>
        <v>2020-06-07</v>
      </c>
      <c r="O695" t="str">
        <f t="shared" si="76"/>
        <v>2020-06-07</v>
      </c>
    </row>
    <row r="696" spans="1:15" x14ac:dyDescent="0.2">
      <c r="A696" s="21" t="str">
        <f t="shared" si="70"/>
        <v>y</v>
      </c>
      <c r="B696" s="24">
        <v>43927</v>
      </c>
      <c r="C696" t="s">
        <v>616</v>
      </c>
      <c r="D696" t="s">
        <v>13</v>
      </c>
      <c r="E696" t="s">
        <v>34</v>
      </c>
      <c r="F696" t="s">
        <v>2</v>
      </c>
      <c r="H696" t="s">
        <v>1958</v>
      </c>
      <c r="I696" s="22" t="str">
        <f t="shared" si="71"/>
        <v>2020-06-04</v>
      </c>
      <c r="J696" s="23" t="str">
        <f t="shared" si="72"/>
        <v>43</v>
      </c>
      <c r="K696" t="str">
        <f t="shared" si="73"/>
        <v>yes</v>
      </c>
      <c r="L696">
        <v>43</v>
      </c>
      <c r="M696" t="str">
        <f t="shared" si="74"/>
        <v>2020-06-04</v>
      </c>
      <c r="N696" s="20">
        <f t="shared" si="75"/>
        <v>43987</v>
      </c>
      <c r="O696" t="str">
        <f t="shared" si="76"/>
        <v>2020-06-05</v>
      </c>
    </row>
    <row r="697" spans="1:15" x14ac:dyDescent="0.2">
      <c r="A697" s="21" t="str">
        <f t="shared" si="70"/>
        <v>y</v>
      </c>
      <c r="B697" s="24">
        <v>43927</v>
      </c>
      <c r="C697" t="s">
        <v>235</v>
      </c>
      <c r="D697" t="s">
        <v>13</v>
      </c>
      <c r="E697" t="s">
        <v>42</v>
      </c>
      <c r="F697" t="s">
        <v>2</v>
      </c>
      <c r="H697" t="s">
        <v>2000</v>
      </c>
      <c r="I697" s="22" t="str">
        <f t="shared" si="71"/>
        <v>2020-06-04</v>
      </c>
      <c r="J697" s="23" t="str">
        <f t="shared" si="72"/>
        <v>43</v>
      </c>
      <c r="K697" t="str">
        <f t="shared" si="73"/>
        <v>yes</v>
      </c>
      <c r="L697">
        <v>43</v>
      </c>
      <c r="M697" t="str">
        <f t="shared" si="74"/>
        <v>2020-06-04</v>
      </c>
      <c r="N697" s="20">
        <f t="shared" si="75"/>
        <v>43987</v>
      </c>
      <c r="O697" t="str">
        <f t="shared" si="76"/>
        <v>2020-06-05</v>
      </c>
    </row>
    <row r="698" spans="1:15" x14ac:dyDescent="0.2">
      <c r="A698" s="21" t="str">
        <f t="shared" si="70"/>
        <v>y</v>
      </c>
      <c r="B698" s="24">
        <v>43927</v>
      </c>
      <c r="C698" t="s">
        <v>1153</v>
      </c>
      <c r="D698" t="s">
        <v>13</v>
      </c>
      <c r="E698" t="s">
        <v>27</v>
      </c>
      <c r="F698" t="s">
        <v>2</v>
      </c>
      <c r="G698" t="s">
        <v>1163</v>
      </c>
      <c r="H698" t="s">
        <v>1999</v>
      </c>
      <c r="I698" s="22" t="str">
        <f t="shared" si="71"/>
        <v>2020-06-04</v>
      </c>
      <c r="J698" s="23" t="str">
        <f t="shared" si="72"/>
        <v>43</v>
      </c>
      <c r="K698" t="str">
        <f t="shared" si="73"/>
        <v>yes</v>
      </c>
      <c r="L698">
        <v>43</v>
      </c>
      <c r="M698" t="str">
        <f t="shared" si="74"/>
        <v>2020-06-04</v>
      </c>
      <c r="N698" s="20">
        <f t="shared" si="75"/>
        <v>43987</v>
      </c>
      <c r="O698" t="str">
        <f t="shared" si="76"/>
        <v>2020-06-05</v>
      </c>
    </row>
    <row r="699" spans="1:15" x14ac:dyDescent="0.2">
      <c r="A699" s="21" t="str">
        <f t="shared" si="70"/>
        <v>y</v>
      </c>
      <c r="B699" s="24">
        <v>43927</v>
      </c>
      <c r="C699" t="s">
        <v>1160</v>
      </c>
      <c r="D699" t="s">
        <v>13</v>
      </c>
      <c r="E699" t="s">
        <v>27</v>
      </c>
      <c r="F699" t="s">
        <v>29</v>
      </c>
      <c r="G699" t="s">
        <v>1162</v>
      </c>
      <c r="H699" t="s">
        <v>1993</v>
      </c>
      <c r="I699" s="22" t="str">
        <f t="shared" si="71"/>
        <v>2020-06-04</v>
      </c>
      <c r="J699" s="23" t="str">
        <f t="shared" si="72"/>
        <v>43</v>
      </c>
      <c r="K699" t="str">
        <f t="shared" si="73"/>
        <v>yes</v>
      </c>
      <c r="L699">
        <v>43</v>
      </c>
      <c r="M699" t="str">
        <f t="shared" si="74"/>
        <v>2020-06-04</v>
      </c>
      <c r="N699" s="20" t="str">
        <f t="shared" si="75"/>
        <v>2020-06-04</v>
      </c>
      <c r="O699" t="str">
        <f t="shared" si="76"/>
        <v>2020-06-04</v>
      </c>
    </row>
    <row r="700" spans="1:15" x14ac:dyDescent="0.2">
      <c r="A700" s="21" t="str">
        <f t="shared" si="70"/>
        <v>y</v>
      </c>
      <c r="B700" s="24">
        <v>43927</v>
      </c>
      <c r="C700" t="s">
        <v>701</v>
      </c>
      <c r="D700" t="s">
        <v>13</v>
      </c>
      <c r="E700" t="s">
        <v>8</v>
      </c>
      <c r="F700" t="s">
        <v>2</v>
      </c>
      <c r="H700" t="s">
        <v>1976</v>
      </c>
      <c r="I700" s="22" t="str">
        <f t="shared" si="71"/>
        <v>2020-06-04</v>
      </c>
      <c r="J700" s="23" t="str">
        <f t="shared" si="72"/>
        <v>43</v>
      </c>
      <c r="K700" t="str">
        <f t="shared" si="73"/>
        <v>yes</v>
      </c>
      <c r="L700">
        <v>43</v>
      </c>
      <c r="M700" t="str">
        <f t="shared" si="74"/>
        <v>2020-06-04</v>
      </c>
      <c r="N700" s="20">
        <f t="shared" si="75"/>
        <v>43987</v>
      </c>
      <c r="O700" t="str">
        <f t="shared" si="76"/>
        <v>2020-06-05</v>
      </c>
    </row>
    <row r="701" spans="1:15" x14ac:dyDescent="0.2">
      <c r="A701" s="21" t="str">
        <f t="shared" si="70"/>
        <v>y</v>
      </c>
      <c r="B701" s="24">
        <v>43896</v>
      </c>
      <c r="C701" t="s">
        <v>616</v>
      </c>
      <c r="D701" t="s">
        <v>13</v>
      </c>
      <c r="E701" t="s">
        <v>34</v>
      </c>
      <c r="F701" t="s">
        <v>2</v>
      </c>
      <c r="H701" t="s">
        <v>1958</v>
      </c>
      <c r="I701" s="22" t="str">
        <f t="shared" si="71"/>
        <v>2020-06-03</v>
      </c>
      <c r="J701" s="23" t="str">
        <f t="shared" si="72"/>
        <v>43</v>
      </c>
      <c r="K701" t="str">
        <f t="shared" si="73"/>
        <v>yes</v>
      </c>
      <c r="L701">
        <v>43</v>
      </c>
      <c r="M701" t="str">
        <f t="shared" si="74"/>
        <v>2020-06-03</v>
      </c>
      <c r="N701" s="20">
        <f t="shared" si="75"/>
        <v>43986</v>
      </c>
      <c r="O701" t="str">
        <f t="shared" si="76"/>
        <v>2020-06-04</v>
      </c>
    </row>
    <row r="702" spans="1:15" x14ac:dyDescent="0.2">
      <c r="A702" s="21" t="str">
        <f t="shared" si="70"/>
        <v>y</v>
      </c>
      <c r="B702" s="24">
        <v>43896</v>
      </c>
      <c r="C702" t="s">
        <v>235</v>
      </c>
      <c r="D702" t="s">
        <v>13</v>
      </c>
      <c r="E702" t="s">
        <v>42</v>
      </c>
      <c r="F702" t="s">
        <v>2</v>
      </c>
      <c r="G702" t="s">
        <v>1159</v>
      </c>
      <c r="H702" t="s">
        <v>2000</v>
      </c>
      <c r="I702" s="22" t="str">
        <f t="shared" si="71"/>
        <v>2020-06-03</v>
      </c>
      <c r="J702" s="23" t="str">
        <f t="shared" si="72"/>
        <v>43</v>
      </c>
      <c r="K702" t="str">
        <f t="shared" si="73"/>
        <v>yes</v>
      </c>
      <c r="L702">
        <v>43</v>
      </c>
      <c r="M702" t="str">
        <f t="shared" si="74"/>
        <v>2020-06-03</v>
      </c>
      <c r="N702" s="20">
        <f t="shared" si="75"/>
        <v>43986</v>
      </c>
      <c r="O702" t="str">
        <f t="shared" si="76"/>
        <v>2020-06-04</v>
      </c>
    </row>
    <row r="703" spans="1:15" x14ac:dyDescent="0.2">
      <c r="A703" s="21" t="str">
        <f t="shared" si="70"/>
        <v>y</v>
      </c>
      <c r="B703" s="24">
        <v>43896</v>
      </c>
      <c r="C703" t="s">
        <v>1153</v>
      </c>
      <c r="D703" t="s">
        <v>13</v>
      </c>
      <c r="E703" t="s">
        <v>27</v>
      </c>
      <c r="F703" t="s">
        <v>2</v>
      </c>
      <c r="G703" t="s">
        <v>1158</v>
      </c>
      <c r="H703" t="s">
        <v>1977</v>
      </c>
      <c r="I703" s="22" t="str">
        <f t="shared" si="71"/>
        <v>2020-06-03</v>
      </c>
      <c r="J703" s="23" t="str">
        <f t="shared" si="72"/>
        <v>43</v>
      </c>
      <c r="K703" t="str">
        <f t="shared" si="73"/>
        <v>yes</v>
      </c>
      <c r="L703">
        <v>43</v>
      </c>
      <c r="M703" t="str">
        <f t="shared" si="74"/>
        <v>2020-06-03</v>
      </c>
      <c r="N703" s="20">
        <f t="shared" si="75"/>
        <v>43986</v>
      </c>
      <c r="O703" t="str">
        <f t="shared" si="76"/>
        <v>2020-06-04</v>
      </c>
    </row>
    <row r="704" spans="1:15" x14ac:dyDescent="0.2">
      <c r="A704" s="21" t="str">
        <f t="shared" si="70"/>
        <v>y</v>
      </c>
      <c r="B704" s="24">
        <v>43896</v>
      </c>
      <c r="C704" t="s">
        <v>756</v>
      </c>
      <c r="D704" t="s">
        <v>13</v>
      </c>
      <c r="E704" t="s">
        <v>34</v>
      </c>
      <c r="F704" t="s">
        <v>29</v>
      </c>
      <c r="G704" t="s">
        <v>1157</v>
      </c>
      <c r="H704" t="s">
        <v>2001</v>
      </c>
      <c r="I704" s="22" t="str">
        <f t="shared" si="71"/>
        <v>2020-06-03</v>
      </c>
      <c r="J704" s="23" t="str">
        <f t="shared" si="72"/>
        <v>43</v>
      </c>
      <c r="K704" t="str">
        <f t="shared" si="73"/>
        <v>yes</v>
      </c>
      <c r="L704">
        <v>43</v>
      </c>
      <c r="M704" t="str">
        <f t="shared" si="74"/>
        <v>2020-06-03</v>
      </c>
      <c r="N704" s="20" t="str">
        <f t="shared" si="75"/>
        <v>2020-06-03</v>
      </c>
      <c r="O704" t="str">
        <f t="shared" si="76"/>
        <v>2020-06-03</v>
      </c>
    </row>
    <row r="705" spans="1:15" x14ac:dyDescent="0.2">
      <c r="A705" s="21" t="str">
        <f t="shared" si="70"/>
        <v>y</v>
      </c>
      <c r="B705" s="24">
        <v>43896</v>
      </c>
      <c r="C705" t="s">
        <v>832</v>
      </c>
      <c r="D705" t="s">
        <v>13</v>
      </c>
      <c r="E705" t="s">
        <v>34</v>
      </c>
      <c r="F705" t="s">
        <v>2</v>
      </c>
      <c r="G705" t="s">
        <v>1161</v>
      </c>
      <c r="H705" t="s">
        <v>1976</v>
      </c>
      <c r="I705" s="22" t="str">
        <f t="shared" si="71"/>
        <v>2020-06-03</v>
      </c>
      <c r="J705" s="23" t="str">
        <f t="shared" si="72"/>
        <v>43</v>
      </c>
      <c r="K705" t="str">
        <f t="shared" si="73"/>
        <v>yes</v>
      </c>
      <c r="L705">
        <v>43</v>
      </c>
      <c r="M705" t="str">
        <f t="shared" si="74"/>
        <v>2020-06-03</v>
      </c>
      <c r="N705" s="20">
        <f t="shared" si="75"/>
        <v>43986</v>
      </c>
      <c r="O705" t="str">
        <f t="shared" si="76"/>
        <v>2020-06-04</v>
      </c>
    </row>
    <row r="706" spans="1:15" x14ac:dyDescent="0.2">
      <c r="A706" s="21" t="str">
        <f t="shared" si="70"/>
        <v>y</v>
      </c>
      <c r="B706" s="24">
        <v>43867</v>
      </c>
      <c r="C706" t="s">
        <v>616</v>
      </c>
      <c r="D706" t="s">
        <v>13</v>
      </c>
      <c r="E706" t="s">
        <v>34</v>
      </c>
      <c r="F706" t="s">
        <v>2</v>
      </c>
      <c r="H706" t="s">
        <v>1958</v>
      </c>
      <c r="I706" s="22" t="str">
        <f t="shared" si="71"/>
        <v>2020-06-02</v>
      </c>
      <c r="J706" s="23" t="str">
        <f t="shared" si="72"/>
        <v>43</v>
      </c>
      <c r="K706" t="str">
        <f t="shared" si="73"/>
        <v>yes</v>
      </c>
      <c r="L706">
        <v>43</v>
      </c>
      <c r="M706" t="str">
        <f t="shared" si="74"/>
        <v>2020-06-02</v>
      </c>
      <c r="N706" s="20">
        <f t="shared" si="75"/>
        <v>43985</v>
      </c>
      <c r="O706" t="str">
        <f t="shared" si="76"/>
        <v>2020-06-03</v>
      </c>
    </row>
    <row r="707" spans="1:15" x14ac:dyDescent="0.2">
      <c r="A707" s="21" t="str">
        <f t="shared" si="70"/>
        <v>y</v>
      </c>
      <c r="B707" s="24">
        <v>43867</v>
      </c>
      <c r="C707" t="s">
        <v>235</v>
      </c>
      <c r="D707" t="s">
        <v>13</v>
      </c>
      <c r="E707" t="s">
        <v>42</v>
      </c>
      <c r="F707" t="s">
        <v>2</v>
      </c>
      <c r="H707" t="s">
        <v>2000</v>
      </c>
      <c r="I707" s="22" t="str">
        <f t="shared" si="71"/>
        <v>2020-06-02</v>
      </c>
      <c r="J707" s="23" t="str">
        <f t="shared" si="72"/>
        <v>43</v>
      </c>
      <c r="K707" t="str">
        <f t="shared" si="73"/>
        <v>yes</v>
      </c>
      <c r="L707">
        <v>43</v>
      </c>
      <c r="M707" t="str">
        <f t="shared" si="74"/>
        <v>2020-06-02</v>
      </c>
      <c r="N707" s="20">
        <f t="shared" si="75"/>
        <v>43985</v>
      </c>
      <c r="O707" t="str">
        <f t="shared" si="76"/>
        <v>2020-06-03</v>
      </c>
    </row>
    <row r="708" spans="1:15" x14ac:dyDescent="0.2">
      <c r="A708" s="21" t="str">
        <f t="shared" ref="A708:A771" si="77">IF(LEFT(B708,2)&gt;12,"y","-")</f>
        <v>y</v>
      </c>
      <c r="B708" s="24">
        <v>43867</v>
      </c>
      <c r="C708" t="s">
        <v>1153</v>
      </c>
      <c r="D708" t="s">
        <v>13</v>
      </c>
      <c r="E708" t="s">
        <v>27</v>
      </c>
      <c r="F708" t="s">
        <v>2</v>
      </c>
      <c r="G708" t="s">
        <v>1154</v>
      </c>
      <c r="H708" t="s">
        <v>1977</v>
      </c>
      <c r="I708" s="22" t="str">
        <f t="shared" ref="I708:I771" si="78">IF(K708="yes",TEXT(B708,"YYYY-DD-MM"),TEXT(B708,"YYYY-MM-DD"))</f>
        <v>2020-06-02</v>
      </c>
      <c r="J708" s="23" t="str">
        <f t="shared" ref="J708:J771" si="79">LEFT(B708,2)</f>
        <v>43</v>
      </c>
      <c r="K708" t="str">
        <f t="shared" ref="K708:K771" si="80">IF(L708&gt;31,"yes","no")</f>
        <v>yes</v>
      </c>
      <c r="L708">
        <v>43</v>
      </c>
      <c r="M708" t="str">
        <f t="shared" ref="M708:M771" si="81">I708</f>
        <v>2020-06-02</v>
      </c>
      <c r="N708" s="20">
        <f t="shared" ref="N708:N771" si="82">IF(F708="DONE",M708,M708+1)</f>
        <v>43985</v>
      </c>
      <c r="O708" t="str">
        <f t="shared" ref="O708:O771" si="83">TEXT(N708,"YYYY-MM-DD")</f>
        <v>2020-06-03</v>
      </c>
    </row>
    <row r="709" spans="1:15" x14ac:dyDescent="0.2">
      <c r="A709" s="21" t="str">
        <f t="shared" si="77"/>
        <v>y</v>
      </c>
      <c r="B709" s="24">
        <v>43867</v>
      </c>
      <c r="C709" t="s">
        <v>756</v>
      </c>
      <c r="D709" t="s">
        <v>13</v>
      </c>
      <c r="E709" t="s">
        <v>34</v>
      </c>
      <c r="F709" t="s">
        <v>2</v>
      </c>
      <c r="G709" t="s">
        <v>1156</v>
      </c>
      <c r="H709" t="s">
        <v>2001</v>
      </c>
      <c r="I709" s="22" t="str">
        <f t="shared" si="78"/>
        <v>2020-06-02</v>
      </c>
      <c r="J709" s="23" t="str">
        <f t="shared" si="79"/>
        <v>43</v>
      </c>
      <c r="K709" t="str">
        <f t="shared" si="80"/>
        <v>yes</v>
      </c>
      <c r="L709">
        <v>43</v>
      </c>
      <c r="M709" t="str">
        <f t="shared" si="81"/>
        <v>2020-06-02</v>
      </c>
      <c r="N709" s="20">
        <f t="shared" si="82"/>
        <v>43985</v>
      </c>
      <c r="O709" t="str">
        <f t="shared" si="83"/>
        <v>2020-06-03</v>
      </c>
    </row>
    <row r="710" spans="1:15" x14ac:dyDescent="0.2">
      <c r="A710" s="21" t="str">
        <f t="shared" si="77"/>
        <v>y</v>
      </c>
      <c r="B710" s="24">
        <v>43867</v>
      </c>
      <c r="C710" t="s">
        <v>832</v>
      </c>
      <c r="D710" t="s">
        <v>13</v>
      </c>
      <c r="E710" t="s">
        <v>34</v>
      </c>
      <c r="F710" t="s">
        <v>2</v>
      </c>
      <c r="G710" t="s">
        <v>1155</v>
      </c>
      <c r="H710" t="s">
        <v>1976</v>
      </c>
      <c r="I710" s="22" t="str">
        <f t="shared" si="78"/>
        <v>2020-06-02</v>
      </c>
      <c r="J710" s="23" t="str">
        <f t="shared" si="79"/>
        <v>43</v>
      </c>
      <c r="K710" t="str">
        <f t="shared" si="80"/>
        <v>yes</v>
      </c>
      <c r="L710">
        <v>43</v>
      </c>
      <c r="M710" t="str">
        <f t="shared" si="81"/>
        <v>2020-06-02</v>
      </c>
      <c r="N710" s="20">
        <f t="shared" si="82"/>
        <v>43985</v>
      </c>
      <c r="O710" t="str">
        <f t="shared" si="83"/>
        <v>2020-06-03</v>
      </c>
    </row>
    <row r="711" spans="1:15" x14ac:dyDescent="0.2">
      <c r="A711" s="21" t="str">
        <f t="shared" si="77"/>
        <v>y</v>
      </c>
      <c r="B711" s="24">
        <v>43836</v>
      </c>
      <c r="C711" t="s">
        <v>616</v>
      </c>
      <c r="D711" t="s">
        <v>13</v>
      </c>
      <c r="E711" t="s">
        <v>34</v>
      </c>
      <c r="F711" t="s">
        <v>2</v>
      </c>
      <c r="H711" t="s">
        <v>1958</v>
      </c>
      <c r="I711" s="22" t="str">
        <f t="shared" si="78"/>
        <v>2020-06-01</v>
      </c>
      <c r="J711" s="23" t="str">
        <f t="shared" si="79"/>
        <v>43</v>
      </c>
      <c r="K711" t="str">
        <f t="shared" si="80"/>
        <v>yes</v>
      </c>
      <c r="L711">
        <v>43</v>
      </c>
      <c r="M711" t="str">
        <f t="shared" si="81"/>
        <v>2020-06-01</v>
      </c>
      <c r="N711" s="20">
        <f t="shared" si="82"/>
        <v>43984</v>
      </c>
      <c r="O711" t="str">
        <f t="shared" si="83"/>
        <v>2020-06-02</v>
      </c>
    </row>
    <row r="712" spans="1:15" x14ac:dyDescent="0.2">
      <c r="A712" s="21" t="str">
        <f t="shared" si="77"/>
        <v>y</v>
      </c>
      <c r="B712" s="24">
        <v>43836</v>
      </c>
      <c r="C712" t="s">
        <v>235</v>
      </c>
      <c r="D712" t="s">
        <v>13</v>
      </c>
      <c r="E712" t="s">
        <v>42</v>
      </c>
      <c r="F712" t="s">
        <v>2</v>
      </c>
      <c r="H712" t="s">
        <v>1976</v>
      </c>
      <c r="I712" s="22" t="str">
        <f t="shared" si="78"/>
        <v>2020-06-01</v>
      </c>
      <c r="J712" s="23" t="str">
        <f t="shared" si="79"/>
        <v>43</v>
      </c>
      <c r="K712" t="str">
        <f t="shared" si="80"/>
        <v>yes</v>
      </c>
      <c r="L712">
        <v>43</v>
      </c>
      <c r="M712" t="str">
        <f t="shared" si="81"/>
        <v>2020-06-01</v>
      </c>
      <c r="N712" s="20">
        <f t="shared" si="82"/>
        <v>43984</v>
      </c>
      <c r="O712" t="str">
        <f t="shared" si="83"/>
        <v>2020-06-02</v>
      </c>
    </row>
    <row r="713" spans="1:15" x14ac:dyDescent="0.2">
      <c r="A713" s="21" t="str">
        <f t="shared" si="77"/>
        <v>y</v>
      </c>
      <c r="B713" s="24">
        <v>43836</v>
      </c>
      <c r="C713" t="s">
        <v>616</v>
      </c>
      <c r="D713" t="s">
        <v>13</v>
      </c>
      <c r="E713" t="s">
        <v>8</v>
      </c>
      <c r="F713" t="s">
        <v>29</v>
      </c>
      <c r="G713" t="s">
        <v>1152</v>
      </c>
      <c r="H713" t="s">
        <v>1997</v>
      </c>
      <c r="I713" s="22" t="str">
        <f t="shared" si="78"/>
        <v>2020-06-01</v>
      </c>
      <c r="J713" s="23" t="str">
        <f t="shared" si="79"/>
        <v>43</v>
      </c>
      <c r="K713" t="str">
        <f t="shared" si="80"/>
        <v>yes</v>
      </c>
      <c r="L713">
        <v>43</v>
      </c>
      <c r="M713" t="str">
        <f t="shared" si="81"/>
        <v>2020-06-01</v>
      </c>
      <c r="N713" s="20" t="str">
        <f t="shared" si="82"/>
        <v>2020-06-01</v>
      </c>
      <c r="O713" t="str">
        <f t="shared" si="83"/>
        <v>2020-06-01</v>
      </c>
    </row>
    <row r="714" spans="1:15" x14ac:dyDescent="0.2">
      <c r="A714" s="21" t="str">
        <f t="shared" si="77"/>
        <v>y</v>
      </c>
      <c r="B714" s="24" t="s">
        <v>1707</v>
      </c>
      <c r="C714" t="s">
        <v>1034</v>
      </c>
      <c r="D714" t="s">
        <v>13</v>
      </c>
      <c r="E714" t="s">
        <v>27</v>
      </c>
      <c r="F714" t="s">
        <v>2</v>
      </c>
      <c r="H714" t="s">
        <v>1976</v>
      </c>
      <c r="I714" s="22" t="str">
        <f t="shared" si="78"/>
        <v>2020-05-31</v>
      </c>
      <c r="J714" s="23" t="str">
        <f t="shared" si="79"/>
        <v>31</v>
      </c>
      <c r="K714" t="str">
        <f t="shared" si="80"/>
        <v>no</v>
      </c>
      <c r="L714">
        <v>31</v>
      </c>
      <c r="M714" t="str">
        <f t="shared" si="81"/>
        <v>2020-05-31</v>
      </c>
      <c r="N714" s="20">
        <f t="shared" si="82"/>
        <v>43983</v>
      </c>
      <c r="O714" t="str">
        <f t="shared" si="83"/>
        <v>2020-06-01</v>
      </c>
    </row>
    <row r="715" spans="1:15" x14ac:dyDescent="0.2">
      <c r="A715" s="21" t="str">
        <f t="shared" si="77"/>
        <v>y</v>
      </c>
      <c r="B715" s="24" t="s">
        <v>1707</v>
      </c>
      <c r="C715" t="s">
        <v>616</v>
      </c>
      <c r="D715" t="s">
        <v>13</v>
      </c>
      <c r="E715" t="s">
        <v>34</v>
      </c>
      <c r="F715" t="s">
        <v>2</v>
      </c>
      <c r="H715" t="s">
        <v>1958</v>
      </c>
      <c r="I715" s="22" t="str">
        <f t="shared" si="78"/>
        <v>2020-05-31</v>
      </c>
      <c r="J715" s="23" t="str">
        <f t="shared" si="79"/>
        <v>31</v>
      </c>
      <c r="K715" t="str">
        <f t="shared" si="80"/>
        <v>no</v>
      </c>
      <c r="L715">
        <v>31</v>
      </c>
      <c r="M715" t="str">
        <f t="shared" si="81"/>
        <v>2020-05-31</v>
      </c>
      <c r="N715" s="20">
        <f t="shared" si="82"/>
        <v>43983</v>
      </c>
      <c r="O715" t="str">
        <f t="shared" si="83"/>
        <v>2020-06-01</v>
      </c>
    </row>
    <row r="716" spans="1:15" x14ac:dyDescent="0.2">
      <c r="A716" s="21" t="str">
        <f t="shared" si="77"/>
        <v>y</v>
      </c>
      <c r="B716" s="24" t="s">
        <v>1707</v>
      </c>
      <c r="C716" t="s">
        <v>235</v>
      </c>
      <c r="D716" t="s">
        <v>13</v>
      </c>
      <c r="E716" t="s">
        <v>42</v>
      </c>
      <c r="F716" t="s">
        <v>29</v>
      </c>
      <c r="G716" t="s">
        <v>1151</v>
      </c>
      <c r="H716" t="s">
        <v>1997</v>
      </c>
      <c r="I716" s="22" t="str">
        <f t="shared" si="78"/>
        <v>2020-05-31</v>
      </c>
      <c r="J716" s="23" t="str">
        <f t="shared" si="79"/>
        <v>31</v>
      </c>
      <c r="K716" t="str">
        <f t="shared" si="80"/>
        <v>no</v>
      </c>
      <c r="L716">
        <v>31</v>
      </c>
      <c r="M716" t="str">
        <f t="shared" si="81"/>
        <v>2020-05-31</v>
      </c>
      <c r="N716" s="20" t="str">
        <f t="shared" si="82"/>
        <v>2020-05-31</v>
      </c>
      <c r="O716" t="str">
        <f t="shared" si="83"/>
        <v>2020-05-31</v>
      </c>
    </row>
    <row r="717" spans="1:15" x14ac:dyDescent="0.2">
      <c r="A717" s="21" t="str">
        <f t="shared" si="77"/>
        <v>y</v>
      </c>
      <c r="B717" s="24" t="s">
        <v>1708</v>
      </c>
      <c r="C717" t="s">
        <v>1034</v>
      </c>
      <c r="D717" t="s">
        <v>13</v>
      </c>
      <c r="E717" t="s">
        <v>27</v>
      </c>
      <c r="F717" t="s">
        <v>2</v>
      </c>
      <c r="H717" t="s">
        <v>1976</v>
      </c>
      <c r="I717" s="22" t="str">
        <f t="shared" si="78"/>
        <v>2020-05-28</v>
      </c>
      <c r="J717" s="23" t="str">
        <f t="shared" si="79"/>
        <v>28</v>
      </c>
      <c r="K717" t="str">
        <f t="shared" si="80"/>
        <v>no</v>
      </c>
      <c r="L717">
        <v>28</v>
      </c>
      <c r="M717" t="str">
        <f t="shared" si="81"/>
        <v>2020-05-28</v>
      </c>
      <c r="N717" s="20">
        <f t="shared" si="82"/>
        <v>43980</v>
      </c>
      <c r="O717" t="str">
        <f t="shared" si="83"/>
        <v>2020-05-29</v>
      </c>
    </row>
    <row r="718" spans="1:15" x14ac:dyDescent="0.2">
      <c r="A718" s="21" t="str">
        <f t="shared" si="77"/>
        <v>y</v>
      </c>
      <c r="B718" s="24" t="s">
        <v>1708</v>
      </c>
      <c r="C718" t="s">
        <v>616</v>
      </c>
      <c r="D718" t="s">
        <v>13</v>
      </c>
      <c r="E718" t="s">
        <v>34</v>
      </c>
      <c r="F718" t="s">
        <v>2</v>
      </c>
      <c r="G718" t="s">
        <v>1149</v>
      </c>
      <c r="H718" t="s">
        <v>1958</v>
      </c>
      <c r="I718" s="22" t="str">
        <f t="shared" si="78"/>
        <v>2020-05-28</v>
      </c>
      <c r="J718" s="23" t="str">
        <f t="shared" si="79"/>
        <v>28</v>
      </c>
      <c r="K718" t="str">
        <f t="shared" si="80"/>
        <v>no</v>
      </c>
      <c r="L718">
        <v>28</v>
      </c>
      <c r="M718" t="str">
        <f t="shared" si="81"/>
        <v>2020-05-28</v>
      </c>
      <c r="N718" s="20">
        <f t="shared" si="82"/>
        <v>43980</v>
      </c>
      <c r="O718" t="str">
        <f t="shared" si="83"/>
        <v>2020-05-29</v>
      </c>
    </row>
    <row r="719" spans="1:15" x14ac:dyDescent="0.2">
      <c r="A719" s="21" t="str">
        <f t="shared" si="77"/>
        <v>y</v>
      </c>
      <c r="B719" s="24" t="s">
        <v>1708</v>
      </c>
      <c r="C719" t="s">
        <v>235</v>
      </c>
      <c r="D719" t="s">
        <v>13</v>
      </c>
      <c r="E719" t="s">
        <v>34</v>
      </c>
      <c r="F719" t="s">
        <v>29</v>
      </c>
      <c r="G719" t="s">
        <v>1147</v>
      </c>
      <c r="H719" t="s">
        <v>1958</v>
      </c>
      <c r="I719" s="22" t="str">
        <f t="shared" si="78"/>
        <v>2020-05-28</v>
      </c>
      <c r="J719" s="23" t="str">
        <f t="shared" si="79"/>
        <v>28</v>
      </c>
      <c r="K719" t="str">
        <f t="shared" si="80"/>
        <v>no</v>
      </c>
      <c r="L719">
        <v>28</v>
      </c>
      <c r="M719" t="str">
        <f t="shared" si="81"/>
        <v>2020-05-28</v>
      </c>
      <c r="N719" s="20" t="str">
        <f t="shared" si="82"/>
        <v>2020-05-28</v>
      </c>
      <c r="O719" t="str">
        <f t="shared" si="83"/>
        <v>2020-05-28</v>
      </c>
    </row>
    <row r="720" spans="1:15" x14ac:dyDescent="0.2">
      <c r="A720" s="21" t="str">
        <f t="shared" si="77"/>
        <v>y</v>
      </c>
      <c r="B720" s="24" t="s">
        <v>1708</v>
      </c>
      <c r="C720" t="s">
        <v>235</v>
      </c>
      <c r="D720" t="s">
        <v>13</v>
      </c>
      <c r="E720" t="s">
        <v>115</v>
      </c>
      <c r="F720" t="s">
        <v>29</v>
      </c>
      <c r="G720" t="s">
        <v>1148</v>
      </c>
      <c r="H720" t="s">
        <v>1958</v>
      </c>
      <c r="I720" s="22" t="str">
        <f t="shared" si="78"/>
        <v>2020-05-28</v>
      </c>
      <c r="J720" s="23" t="str">
        <f t="shared" si="79"/>
        <v>28</v>
      </c>
      <c r="K720" t="str">
        <f t="shared" si="80"/>
        <v>no</v>
      </c>
      <c r="L720">
        <v>28</v>
      </c>
      <c r="M720" t="str">
        <f t="shared" si="81"/>
        <v>2020-05-28</v>
      </c>
      <c r="N720" s="20" t="str">
        <f t="shared" si="82"/>
        <v>2020-05-28</v>
      </c>
      <c r="O720" t="str">
        <f t="shared" si="83"/>
        <v>2020-05-28</v>
      </c>
    </row>
    <row r="721" spans="1:15" x14ac:dyDescent="0.2">
      <c r="A721" s="21" t="str">
        <f t="shared" si="77"/>
        <v>y</v>
      </c>
      <c r="B721" s="24" t="s">
        <v>1708</v>
      </c>
      <c r="C721" t="s">
        <v>235</v>
      </c>
      <c r="D721" t="s">
        <v>13</v>
      </c>
      <c r="E721" t="s">
        <v>27</v>
      </c>
      <c r="F721" t="s">
        <v>29</v>
      </c>
      <c r="G721" t="s">
        <v>1150</v>
      </c>
      <c r="H721" t="s">
        <v>1997</v>
      </c>
      <c r="I721" s="22" t="str">
        <f t="shared" si="78"/>
        <v>2020-05-28</v>
      </c>
      <c r="J721" s="23" t="str">
        <f t="shared" si="79"/>
        <v>28</v>
      </c>
      <c r="K721" t="str">
        <f t="shared" si="80"/>
        <v>no</v>
      </c>
      <c r="L721">
        <v>28</v>
      </c>
      <c r="M721" t="str">
        <f t="shared" si="81"/>
        <v>2020-05-28</v>
      </c>
      <c r="N721" s="20" t="str">
        <f t="shared" si="82"/>
        <v>2020-05-28</v>
      </c>
      <c r="O721" t="str">
        <f t="shared" si="83"/>
        <v>2020-05-28</v>
      </c>
    </row>
    <row r="722" spans="1:15" x14ac:dyDescent="0.2">
      <c r="A722" s="21" t="str">
        <f t="shared" si="77"/>
        <v>y</v>
      </c>
      <c r="B722" s="24" t="s">
        <v>1709</v>
      </c>
      <c r="C722" t="s">
        <v>1034</v>
      </c>
      <c r="D722" t="s">
        <v>13</v>
      </c>
      <c r="E722" t="s">
        <v>27</v>
      </c>
      <c r="F722" t="s">
        <v>2</v>
      </c>
      <c r="H722" t="s">
        <v>1976</v>
      </c>
      <c r="I722" s="22" t="str">
        <f t="shared" si="78"/>
        <v>2020-05-27</v>
      </c>
      <c r="J722" s="23" t="str">
        <f t="shared" si="79"/>
        <v>27</v>
      </c>
      <c r="K722" t="str">
        <f t="shared" si="80"/>
        <v>no</v>
      </c>
      <c r="L722">
        <v>27</v>
      </c>
      <c r="M722" t="str">
        <f t="shared" si="81"/>
        <v>2020-05-27</v>
      </c>
      <c r="N722" s="20">
        <f t="shared" si="82"/>
        <v>43979</v>
      </c>
      <c r="O722" t="str">
        <f t="shared" si="83"/>
        <v>2020-05-28</v>
      </c>
    </row>
    <row r="723" spans="1:15" x14ac:dyDescent="0.2">
      <c r="A723" s="21" t="str">
        <f t="shared" si="77"/>
        <v>y</v>
      </c>
      <c r="B723" s="24" t="s">
        <v>1709</v>
      </c>
      <c r="C723" t="s">
        <v>616</v>
      </c>
      <c r="D723" t="s">
        <v>13</v>
      </c>
      <c r="E723" t="s">
        <v>34</v>
      </c>
      <c r="F723" t="s">
        <v>2</v>
      </c>
      <c r="H723" t="s">
        <v>1997</v>
      </c>
      <c r="I723" s="22" t="str">
        <f t="shared" si="78"/>
        <v>2020-05-27</v>
      </c>
      <c r="J723" s="23" t="str">
        <f t="shared" si="79"/>
        <v>27</v>
      </c>
      <c r="K723" t="str">
        <f t="shared" si="80"/>
        <v>no</v>
      </c>
      <c r="L723">
        <v>27</v>
      </c>
      <c r="M723" t="str">
        <f t="shared" si="81"/>
        <v>2020-05-27</v>
      </c>
      <c r="N723" s="20">
        <f t="shared" si="82"/>
        <v>43979</v>
      </c>
      <c r="O723" t="str">
        <f t="shared" si="83"/>
        <v>2020-05-28</v>
      </c>
    </row>
    <row r="724" spans="1:15" x14ac:dyDescent="0.2">
      <c r="A724" s="21" t="str">
        <f t="shared" si="77"/>
        <v>y</v>
      </c>
      <c r="B724" s="24" t="s">
        <v>1710</v>
      </c>
      <c r="C724" t="s">
        <v>1034</v>
      </c>
      <c r="D724" t="s">
        <v>13</v>
      </c>
      <c r="E724" t="s">
        <v>27</v>
      </c>
      <c r="F724" t="s">
        <v>2</v>
      </c>
      <c r="H724" t="s">
        <v>1958</v>
      </c>
      <c r="I724" s="22" t="str">
        <f t="shared" si="78"/>
        <v>2020-05-26</v>
      </c>
      <c r="J724" s="23" t="str">
        <f t="shared" si="79"/>
        <v>26</v>
      </c>
      <c r="K724" t="str">
        <f t="shared" si="80"/>
        <v>no</v>
      </c>
      <c r="L724">
        <v>26</v>
      </c>
      <c r="M724" t="str">
        <f t="shared" si="81"/>
        <v>2020-05-26</v>
      </c>
      <c r="N724" s="20">
        <f t="shared" si="82"/>
        <v>43978</v>
      </c>
      <c r="O724" t="str">
        <f t="shared" si="83"/>
        <v>2020-05-27</v>
      </c>
    </row>
    <row r="725" spans="1:15" x14ac:dyDescent="0.2">
      <c r="A725" s="21" t="str">
        <f t="shared" si="77"/>
        <v>y</v>
      </c>
      <c r="B725" s="24" t="s">
        <v>1710</v>
      </c>
      <c r="C725" t="s">
        <v>235</v>
      </c>
      <c r="D725" t="s">
        <v>13</v>
      </c>
      <c r="E725" t="s">
        <v>115</v>
      </c>
      <c r="F725" t="s">
        <v>29</v>
      </c>
      <c r="G725" t="s">
        <v>1146</v>
      </c>
      <c r="H725" t="s">
        <v>1976</v>
      </c>
      <c r="I725" s="22" t="str">
        <f t="shared" si="78"/>
        <v>2020-05-26</v>
      </c>
      <c r="J725" s="23" t="str">
        <f t="shared" si="79"/>
        <v>26</v>
      </c>
      <c r="K725" t="str">
        <f t="shared" si="80"/>
        <v>no</v>
      </c>
      <c r="L725">
        <v>26</v>
      </c>
      <c r="M725" t="str">
        <f t="shared" si="81"/>
        <v>2020-05-26</v>
      </c>
      <c r="N725" s="20" t="str">
        <f t="shared" si="82"/>
        <v>2020-05-26</v>
      </c>
      <c r="O725" t="str">
        <f t="shared" si="83"/>
        <v>2020-05-26</v>
      </c>
    </row>
    <row r="726" spans="1:15" x14ac:dyDescent="0.2">
      <c r="A726" s="21" t="str">
        <f t="shared" si="77"/>
        <v>y</v>
      </c>
      <c r="B726" s="24" t="s">
        <v>1710</v>
      </c>
      <c r="C726" t="s">
        <v>616</v>
      </c>
      <c r="D726" t="s">
        <v>13</v>
      </c>
      <c r="E726" t="s">
        <v>8</v>
      </c>
      <c r="F726" t="s">
        <v>2</v>
      </c>
      <c r="G726" t="s">
        <v>1145</v>
      </c>
      <c r="H726" t="s">
        <v>1978</v>
      </c>
      <c r="I726" s="22" t="str">
        <f t="shared" si="78"/>
        <v>2020-05-26</v>
      </c>
      <c r="J726" s="23" t="str">
        <f t="shared" si="79"/>
        <v>26</v>
      </c>
      <c r="K726" t="str">
        <f t="shared" si="80"/>
        <v>no</v>
      </c>
      <c r="L726">
        <v>26</v>
      </c>
      <c r="M726" t="str">
        <f t="shared" si="81"/>
        <v>2020-05-26</v>
      </c>
      <c r="N726" s="20">
        <f t="shared" si="82"/>
        <v>43978</v>
      </c>
      <c r="O726" t="str">
        <f t="shared" si="83"/>
        <v>2020-05-27</v>
      </c>
    </row>
    <row r="727" spans="1:15" x14ac:dyDescent="0.2">
      <c r="A727" s="21" t="str">
        <f t="shared" si="77"/>
        <v>y</v>
      </c>
      <c r="B727" s="24" t="s">
        <v>1711</v>
      </c>
      <c r="C727" t="s">
        <v>975</v>
      </c>
      <c r="D727" t="s">
        <v>13</v>
      </c>
      <c r="E727" t="s">
        <v>27</v>
      </c>
      <c r="F727" t="s">
        <v>29</v>
      </c>
      <c r="G727" t="s">
        <v>1144</v>
      </c>
      <c r="H727" t="s">
        <v>2002</v>
      </c>
      <c r="I727" s="22" t="str">
        <f t="shared" si="78"/>
        <v>2020-05-21</v>
      </c>
      <c r="J727" s="23" t="str">
        <f t="shared" si="79"/>
        <v>21</v>
      </c>
      <c r="K727" t="str">
        <f t="shared" si="80"/>
        <v>no</v>
      </c>
      <c r="L727">
        <v>21</v>
      </c>
      <c r="M727" t="str">
        <f t="shared" si="81"/>
        <v>2020-05-21</v>
      </c>
      <c r="N727" s="20" t="str">
        <f t="shared" si="82"/>
        <v>2020-05-21</v>
      </c>
      <c r="O727" t="str">
        <f t="shared" si="83"/>
        <v>2020-05-21</v>
      </c>
    </row>
    <row r="728" spans="1:15" x14ac:dyDescent="0.2">
      <c r="A728" s="21" t="str">
        <f t="shared" si="77"/>
        <v>y</v>
      </c>
      <c r="B728" s="24" t="s">
        <v>1711</v>
      </c>
      <c r="C728" t="s">
        <v>1078</v>
      </c>
      <c r="D728" t="s">
        <v>13</v>
      </c>
      <c r="E728" t="s">
        <v>8</v>
      </c>
      <c r="F728" t="s">
        <v>2</v>
      </c>
      <c r="H728" t="s">
        <v>1997</v>
      </c>
      <c r="I728" s="22" t="str">
        <f t="shared" si="78"/>
        <v>2020-05-21</v>
      </c>
      <c r="J728" s="23" t="str">
        <f t="shared" si="79"/>
        <v>21</v>
      </c>
      <c r="K728" t="str">
        <f t="shared" si="80"/>
        <v>no</v>
      </c>
      <c r="L728">
        <v>21</v>
      </c>
      <c r="M728" t="str">
        <f t="shared" si="81"/>
        <v>2020-05-21</v>
      </c>
      <c r="N728" s="20">
        <f t="shared" si="82"/>
        <v>43973</v>
      </c>
      <c r="O728" t="str">
        <f t="shared" si="83"/>
        <v>2020-05-22</v>
      </c>
    </row>
    <row r="729" spans="1:15" x14ac:dyDescent="0.2">
      <c r="A729" s="21" t="str">
        <f t="shared" si="77"/>
        <v>y</v>
      </c>
      <c r="B729" s="24" t="s">
        <v>1711</v>
      </c>
      <c r="C729" t="s">
        <v>1034</v>
      </c>
      <c r="D729" t="s">
        <v>13</v>
      </c>
      <c r="E729" t="s">
        <v>27</v>
      </c>
      <c r="F729" t="s">
        <v>2</v>
      </c>
      <c r="G729" t="s">
        <v>1143</v>
      </c>
      <c r="H729" t="s">
        <v>1978</v>
      </c>
      <c r="I729" s="22" t="str">
        <f t="shared" si="78"/>
        <v>2020-05-21</v>
      </c>
      <c r="J729" s="23" t="str">
        <f t="shared" si="79"/>
        <v>21</v>
      </c>
      <c r="K729" t="str">
        <f t="shared" si="80"/>
        <v>no</v>
      </c>
      <c r="L729">
        <v>21</v>
      </c>
      <c r="M729" t="str">
        <f t="shared" si="81"/>
        <v>2020-05-21</v>
      </c>
      <c r="N729" s="20">
        <f t="shared" si="82"/>
        <v>43973</v>
      </c>
      <c r="O729" t="str">
        <f t="shared" si="83"/>
        <v>2020-05-22</v>
      </c>
    </row>
    <row r="730" spans="1:15" x14ac:dyDescent="0.2">
      <c r="A730" s="21" t="str">
        <f t="shared" si="77"/>
        <v>y</v>
      </c>
      <c r="B730" s="24" t="s">
        <v>1712</v>
      </c>
      <c r="C730" t="s">
        <v>975</v>
      </c>
      <c r="D730" t="s">
        <v>13</v>
      </c>
      <c r="E730" t="s">
        <v>43</v>
      </c>
      <c r="F730" t="s">
        <v>2</v>
      </c>
      <c r="G730" t="s">
        <v>1142</v>
      </c>
      <c r="H730" t="s">
        <v>2002</v>
      </c>
      <c r="I730" s="22" t="str">
        <f t="shared" si="78"/>
        <v>2020-05-20</v>
      </c>
      <c r="J730" s="23" t="str">
        <f t="shared" si="79"/>
        <v>20</v>
      </c>
      <c r="K730" t="str">
        <f t="shared" si="80"/>
        <v>no</v>
      </c>
      <c r="L730">
        <v>20</v>
      </c>
      <c r="M730" t="str">
        <f t="shared" si="81"/>
        <v>2020-05-20</v>
      </c>
      <c r="N730" s="20">
        <f t="shared" si="82"/>
        <v>43972</v>
      </c>
      <c r="O730" t="str">
        <f t="shared" si="83"/>
        <v>2020-05-21</v>
      </c>
    </row>
    <row r="731" spans="1:15" x14ac:dyDescent="0.2">
      <c r="A731" s="21" t="str">
        <f t="shared" si="77"/>
        <v>y</v>
      </c>
      <c r="B731" s="24" t="s">
        <v>1712</v>
      </c>
      <c r="C731" t="s">
        <v>1078</v>
      </c>
      <c r="D731" t="s">
        <v>13</v>
      </c>
      <c r="E731" t="s">
        <v>8</v>
      </c>
      <c r="F731" t="s">
        <v>2</v>
      </c>
      <c r="H731" t="s">
        <v>1997</v>
      </c>
      <c r="I731" s="22" t="str">
        <f t="shared" si="78"/>
        <v>2020-05-20</v>
      </c>
      <c r="J731" s="23" t="str">
        <f t="shared" si="79"/>
        <v>20</v>
      </c>
      <c r="K731" t="str">
        <f t="shared" si="80"/>
        <v>no</v>
      </c>
      <c r="L731">
        <v>20</v>
      </c>
      <c r="M731" t="str">
        <f t="shared" si="81"/>
        <v>2020-05-20</v>
      </c>
      <c r="N731" s="20">
        <f t="shared" si="82"/>
        <v>43972</v>
      </c>
      <c r="O731" t="str">
        <f t="shared" si="83"/>
        <v>2020-05-21</v>
      </c>
    </row>
    <row r="732" spans="1:15" x14ac:dyDescent="0.2">
      <c r="A732" s="21" t="str">
        <f t="shared" si="77"/>
        <v>y</v>
      </c>
      <c r="B732" s="24" t="s">
        <v>1712</v>
      </c>
      <c r="C732" t="s">
        <v>1034</v>
      </c>
      <c r="D732" t="s">
        <v>13</v>
      </c>
      <c r="E732" t="s">
        <v>27</v>
      </c>
      <c r="F732" t="s">
        <v>2</v>
      </c>
      <c r="H732" t="s">
        <v>1978</v>
      </c>
      <c r="I732" s="22" t="str">
        <f t="shared" si="78"/>
        <v>2020-05-20</v>
      </c>
      <c r="J732" s="23" t="str">
        <f t="shared" si="79"/>
        <v>20</v>
      </c>
      <c r="K732" t="str">
        <f t="shared" si="80"/>
        <v>no</v>
      </c>
      <c r="L732">
        <v>20</v>
      </c>
      <c r="M732" t="str">
        <f t="shared" si="81"/>
        <v>2020-05-20</v>
      </c>
      <c r="N732" s="20">
        <f t="shared" si="82"/>
        <v>43972</v>
      </c>
      <c r="O732" t="str">
        <f t="shared" si="83"/>
        <v>2020-05-21</v>
      </c>
    </row>
    <row r="733" spans="1:15" x14ac:dyDescent="0.2">
      <c r="A733" s="21" t="str">
        <f t="shared" si="77"/>
        <v>y</v>
      </c>
      <c r="B733" s="24" t="s">
        <v>1713</v>
      </c>
      <c r="C733" t="s">
        <v>975</v>
      </c>
      <c r="D733" t="s">
        <v>13</v>
      </c>
      <c r="E733" t="s">
        <v>43</v>
      </c>
      <c r="F733" t="s">
        <v>2</v>
      </c>
      <c r="H733" t="s">
        <v>2002</v>
      </c>
      <c r="I733" s="22" t="str">
        <f t="shared" si="78"/>
        <v>2020-05-19</v>
      </c>
      <c r="J733" s="23" t="str">
        <f t="shared" si="79"/>
        <v>19</v>
      </c>
      <c r="K733" t="str">
        <f t="shared" si="80"/>
        <v>no</v>
      </c>
      <c r="L733">
        <v>19</v>
      </c>
      <c r="M733" t="str">
        <f t="shared" si="81"/>
        <v>2020-05-19</v>
      </c>
      <c r="N733" s="20">
        <f t="shared" si="82"/>
        <v>43971</v>
      </c>
      <c r="O733" t="str">
        <f t="shared" si="83"/>
        <v>2020-05-20</v>
      </c>
    </row>
    <row r="734" spans="1:15" x14ac:dyDescent="0.2">
      <c r="A734" s="21" t="str">
        <f t="shared" si="77"/>
        <v>y</v>
      </c>
      <c r="B734" s="24" t="s">
        <v>1713</v>
      </c>
      <c r="C734" t="s">
        <v>1078</v>
      </c>
      <c r="D734" t="s">
        <v>13</v>
      </c>
      <c r="E734" t="s">
        <v>8</v>
      </c>
      <c r="F734" t="s">
        <v>2</v>
      </c>
      <c r="H734" t="s">
        <v>1997</v>
      </c>
      <c r="I734" s="22" t="str">
        <f t="shared" si="78"/>
        <v>2020-05-19</v>
      </c>
      <c r="J734" s="23" t="str">
        <f t="shared" si="79"/>
        <v>19</v>
      </c>
      <c r="K734" t="str">
        <f t="shared" si="80"/>
        <v>no</v>
      </c>
      <c r="L734">
        <v>19</v>
      </c>
      <c r="M734" t="str">
        <f t="shared" si="81"/>
        <v>2020-05-19</v>
      </c>
      <c r="N734" s="20">
        <f t="shared" si="82"/>
        <v>43971</v>
      </c>
      <c r="O734" t="str">
        <f t="shared" si="83"/>
        <v>2020-05-20</v>
      </c>
    </row>
    <row r="735" spans="1:15" x14ac:dyDescent="0.2">
      <c r="A735" s="21" t="str">
        <f t="shared" si="77"/>
        <v>y</v>
      </c>
      <c r="B735" s="24" t="s">
        <v>1713</v>
      </c>
      <c r="C735" t="s">
        <v>1034</v>
      </c>
      <c r="D735" t="s">
        <v>13</v>
      </c>
      <c r="E735" t="s">
        <v>27</v>
      </c>
      <c r="F735" t="s">
        <v>2</v>
      </c>
      <c r="H735" t="s">
        <v>1978</v>
      </c>
      <c r="I735" s="22" t="str">
        <f t="shared" si="78"/>
        <v>2020-05-19</v>
      </c>
      <c r="J735" s="23" t="str">
        <f t="shared" si="79"/>
        <v>19</v>
      </c>
      <c r="K735" t="str">
        <f t="shared" si="80"/>
        <v>no</v>
      </c>
      <c r="L735">
        <v>19</v>
      </c>
      <c r="M735" t="str">
        <f t="shared" si="81"/>
        <v>2020-05-19</v>
      </c>
      <c r="N735" s="20">
        <f t="shared" si="82"/>
        <v>43971</v>
      </c>
      <c r="O735" t="str">
        <f t="shared" si="83"/>
        <v>2020-05-20</v>
      </c>
    </row>
    <row r="736" spans="1:15" x14ac:dyDescent="0.2">
      <c r="A736" s="21" t="str">
        <f t="shared" si="77"/>
        <v>y</v>
      </c>
      <c r="B736" s="24" t="s">
        <v>1714</v>
      </c>
      <c r="C736" t="s">
        <v>975</v>
      </c>
      <c r="D736" t="s">
        <v>13</v>
      </c>
      <c r="E736" t="s">
        <v>43</v>
      </c>
      <c r="F736" t="s">
        <v>2</v>
      </c>
      <c r="H736" t="s">
        <v>2002</v>
      </c>
      <c r="I736" s="22" t="str">
        <f t="shared" si="78"/>
        <v>2020-05-18</v>
      </c>
      <c r="J736" s="23" t="str">
        <f t="shared" si="79"/>
        <v>18</v>
      </c>
      <c r="K736" t="str">
        <f t="shared" si="80"/>
        <v>no</v>
      </c>
      <c r="L736">
        <v>18</v>
      </c>
      <c r="M736" t="str">
        <f t="shared" si="81"/>
        <v>2020-05-18</v>
      </c>
      <c r="N736" s="20">
        <f t="shared" si="82"/>
        <v>43970</v>
      </c>
      <c r="O736" t="str">
        <f t="shared" si="83"/>
        <v>2020-05-19</v>
      </c>
    </row>
    <row r="737" spans="1:15" x14ac:dyDescent="0.2">
      <c r="A737" s="21" t="str">
        <f t="shared" si="77"/>
        <v>y</v>
      </c>
      <c r="B737" s="24" t="s">
        <v>1714</v>
      </c>
      <c r="C737" t="s">
        <v>1078</v>
      </c>
      <c r="D737" t="s">
        <v>13</v>
      </c>
      <c r="E737" t="s">
        <v>8</v>
      </c>
      <c r="F737" t="s">
        <v>2</v>
      </c>
      <c r="H737" t="s">
        <v>1956</v>
      </c>
      <c r="I737" s="22" t="str">
        <f t="shared" si="78"/>
        <v>2020-05-18</v>
      </c>
      <c r="J737" s="23" t="str">
        <f t="shared" si="79"/>
        <v>18</v>
      </c>
      <c r="K737" t="str">
        <f t="shared" si="80"/>
        <v>no</v>
      </c>
      <c r="L737">
        <v>18</v>
      </c>
      <c r="M737" t="str">
        <f t="shared" si="81"/>
        <v>2020-05-18</v>
      </c>
      <c r="N737" s="20">
        <f t="shared" si="82"/>
        <v>43970</v>
      </c>
      <c r="O737" t="str">
        <f t="shared" si="83"/>
        <v>2020-05-19</v>
      </c>
    </row>
    <row r="738" spans="1:15" x14ac:dyDescent="0.2">
      <c r="A738" s="21" t="str">
        <f t="shared" si="77"/>
        <v>y</v>
      </c>
      <c r="B738" s="24" t="s">
        <v>1714</v>
      </c>
      <c r="C738" t="s">
        <v>1064</v>
      </c>
      <c r="D738" t="s">
        <v>13</v>
      </c>
      <c r="E738" t="s">
        <v>28</v>
      </c>
      <c r="F738" t="s">
        <v>29</v>
      </c>
      <c r="G738" t="s">
        <v>1141</v>
      </c>
      <c r="H738" t="s">
        <v>1997</v>
      </c>
      <c r="I738" s="22" t="str">
        <f t="shared" si="78"/>
        <v>2020-05-18</v>
      </c>
      <c r="J738" s="23" t="str">
        <f t="shared" si="79"/>
        <v>18</v>
      </c>
      <c r="K738" t="str">
        <f t="shared" si="80"/>
        <v>no</v>
      </c>
      <c r="L738">
        <v>18</v>
      </c>
      <c r="M738" t="str">
        <f t="shared" si="81"/>
        <v>2020-05-18</v>
      </c>
      <c r="N738" s="20" t="str">
        <f t="shared" si="82"/>
        <v>2020-05-18</v>
      </c>
      <c r="O738" t="str">
        <f t="shared" si="83"/>
        <v>2020-05-18</v>
      </c>
    </row>
    <row r="739" spans="1:15" x14ac:dyDescent="0.2">
      <c r="A739" s="21" t="str">
        <f t="shared" si="77"/>
        <v>y</v>
      </c>
      <c r="B739" s="24" t="s">
        <v>1714</v>
      </c>
      <c r="C739" t="s">
        <v>1034</v>
      </c>
      <c r="D739" t="s">
        <v>13</v>
      </c>
      <c r="E739" t="s">
        <v>27</v>
      </c>
      <c r="F739" t="s">
        <v>2</v>
      </c>
      <c r="H739" t="s">
        <v>1958</v>
      </c>
      <c r="I739" s="22" t="str">
        <f t="shared" si="78"/>
        <v>2020-05-18</v>
      </c>
      <c r="J739" s="23" t="str">
        <f t="shared" si="79"/>
        <v>18</v>
      </c>
      <c r="K739" t="str">
        <f t="shared" si="80"/>
        <v>no</v>
      </c>
      <c r="L739">
        <v>18</v>
      </c>
      <c r="M739" t="str">
        <f t="shared" si="81"/>
        <v>2020-05-18</v>
      </c>
      <c r="N739" s="20">
        <f t="shared" si="82"/>
        <v>43970</v>
      </c>
      <c r="O739" t="str">
        <f t="shared" si="83"/>
        <v>2020-05-19</v>
      </c>
    </row>
    <row r="740" spans="1:15" x14ac:dyDescent="0.2">
      <c r="A740" s="21" t="str">
        <f t="shared" si="77"/>
        <v>y</v>
      </c>
      <c r="B740" s="24" t="s">
        <v>1715</v>
      </c>
      <c r="C740" t="s">
        <v>235</v>
      </c>
      <c r="D740" t="s">
        <v>13</v>
      </c>
      <c r="E740" t="s">
        <v>8</v>
      </c>
      <c r="F740" t="s">
        <v>29</v>
      </c>
      <c r="G740" t="s">
        <v>1138</v>
      </c>
      <c r="H740" t="s">
        <v>1978</v>
      </c>
      <c r="I740" s="22" t="str">
        <f t="shared" si="78"/>
        <v>2020-05-17</v>
      </c>
      <c r="J740" s="23" t="str">
        <f t="shared" si="79"/>
        <v>17</v>
      </c>
      <c r="K740" t="str">
        <f t="shared" si="80"/>
        <v>no</v>
      </c>
      <c r="L740">
        <v>17</v>
      </c>
      <c r="M740" t="str">
        <f t="shared" si="81"/>
        <v>2020-05-17</v>
      </c>
      <c r="N740" s="20" t="str">
        <f t="shared" si="82"/>
        <v>2020-05-17</v>
      </c>
      <c r="O740" t="str">
        <f t="shared" si="83"/>
        <v>2020-05-17</v>
      </c>
    </row>
    <row r="741" spans="1:15" x14ac:dyDescent="0.2">
      <c r="A741" s="21" t="str">
        <f t="shared" si="77"/>
        <v>y</v>
      </c>
      <c r="B741" s="24" t="s">
        <v>1715</v>
      </c>
      <c r="C741" t="s">
        <v>975</v>
      </c>
      <c r="D741" t="s">
        <v>13</v>
      </c>
      <c r="E741" t="s">
        <v>43</v>
      </c>
      <c r="F741" t="s">
        <v>2</v>
      </c>
      <c r="H741" t="s">
        <v>2002</v>
      </c>
      <c r="I741" s="22" t="str">
        <f t="shared" si="78"/>
        <v>2020-05-17</v>
      </c>
      <c r="J741" s="23" t="str">
        <f t="shared" si="79"/>
        <v>17</v>
      </c>
      <c r="K741" t="str">
        <f t="shared" si="80"/>
        <v>no</v>
      </c>
      <c r="L741">
        <v>17</v>
      </c>
      <c r="M741" t="str">
        <f t="shared" si="81"/>
        <v>2020-05-17</v>
      </c>
      <c r="N741" s="20">
        <f t="shared" si="82"/>
        <v>43969</v>
      </c>
      <c r="O741" t="str">
        <f t="shared" si="83"/>
        <v>2020-05-18</v>
      </c>
    </row>
    <row r="742" spans="1:15" x14ac:dyDescent="0.2">
      <c r="A742" s="21" t="str">
        <f t="shared" si="77"/>
        <v>y</v>
      </c>
      <c r="B742" s="24" t="s">
        <v>1715</v>
      </c>
      <c r="C742" t="s">
        <v>1078</v>
      </c>
      <c r="D742" t="s">
        <v>13</v>
      </c>
      <c r="E742" t="s">
        <v>8</v>
      </c>
      <c r="F742" t="s">
        <v>2</v>
      </c>
      <c r="G742" t="s">
        <v>1140</v>
      </c>
      <c r="H742" t="s">
        <v>2003</v>
      </c>
      <c r="I742" s="22" t="str">
        <f t="shared" si="78"/>
        <v>2020-05-17</v>
      </c>
      <c r="J742" s="23" t="str">
        <f t="shared" si="79"/>
        <v>17</v>
      </c>
      <c r="K742" t="str">
        <f t="shared" si="80"/>
        <v>no</v>
      </c>
      <c r="L742">
        <v>17</v>
      </c>
      <c r="M742" t="str">
        <f t="shared" si="81"/>
        <v>2020-05-17</v>
      </c>
      <c r="N742" s="20">
        <f t="shared" si="82"/>
        <v>43969</v>
      </c>
      <c r="O742" t="str">
        <f t="shared" si="83"/>
        <v>2020-05-18</v>
      </c>
    </row>
    <row r="743" spans="1:15" x14ac:dyDescent="0.2">
      <c r="A743" s="21" t="str">
        <f t="shared" si="77"/>
        <v>y</v>
      </c>
      <c r="B743" s="24" t="s">
        <v>1715</v>
      </c>
      <c r="C743" t="s">
        <v>1064</v>
      </c>
      <c r="D743" t="s">
        <v>13</v>
      </c>
      <c r="E743" t="s">
        <v>9</v>
      </c>
      <c r="F743" t="s">
        <v>29</v>
      </c>
      <c r="G743" t="s">
        <v>1139</v>
      </c>
      <c r="H743" t="s">
        <v>1958</v>
      </c>
      <c r="I743" s="22" t="str">
        <f t="shared" si="78"/>
        <v>2020-05-17</v>
      </c>
      <c r="J743" s="23" t="str">
        <f t="shared" si="79"/>
        <v>17</v>
      </c>
      <c r="K743" t="str">
        <f t="shared" si="80"/>
        <v>no</v>
      </c>
      <c r="L743">
        <v>17</v>
      </c>
      <c r="M743" t="str">
        <f t="shared" si="81"/>
        <v>2020-05-17</v>
      </c>
      <c r="N743" s="20" t="str">
        <f t="shared" si="82"/>
        <v>2020-05-17</v>
      </c>
      <c r="O743" t="str">
        <f t="shared" si="83"/>
        <v>2020-05-17</v>
      </c>
    </row>
    <row r="744" spans="1:15" x14ac:dyDescent="0.2">
      <c r="A744" s="21" t="str">
        <f t="shared" si="77"/>
        <v>y</v>
      </c>
      <c r="B744" s="24" t="s">
        <v>1716</v>
      </c>
      <c r="C744" t="s">
        <v>235</v>
      </c>
      <c r="D744" t="s">
        <v>13</v>
      </c>
      <c r="E744" t="s">
        <v>34</v>
      </c>
      <c r="F744" t="s">
        <v>29</v>
      </c>
      <c r="G744" t="s">
        <v>1136</v>
      </c>
      <c r="H744" t="s">
        <v>1978</v>
      </c>
      <c r="I744" s="22" t="str">
        <f t="shared" si="78"/>
        <v>2020-05-14</v>
      </c>
      <c r="J744" s="23" t="str">
        <f t="shared" si="79"/>
        <v>14</v>
      </c>
      <c r="K744" t="str">
        <f t="shared" si="80"/>
        <v>no</v>
      </c>
      <c r="L744">
        <v>14</v>
      </c>
      <c r="M744" t="str">
        <f t="shared" si="81"/>
        <v>2020-05-14</v>
      </c>
      <c r="N744" s="20" t="str">
        <f t="shared" si="82"/>
        <v>2020-05-14</v>
      </c>
      <c r="O744" t="str">
        <f t="shared" si="83"/>
        <v>2020-05-14</v>
      </c>
    </row>
    <row r="745" spans="1:15" x14ac:dyDescent="0.2">
      <c r="A745" s="21" t="str">
        <f t="shared" si="77"/>
        <v>y</v>
      </c>
      <c r="B745" s="24" t="s">
        <v>1716</v>
      </c>
      <c r="C745" t="s">
        <v>975</v>
      </c>
      <c r="D745" t="s">
        <v>13</v>
      </c>
      <c r="E745" t="s">
        <v>43</v>
      </c>
      <c r="F745" t="s">
        <v>2</v>
      </c>
      <c r="G745" t="s">
        <v>1137</v>
      </c>
      <c r="H745" t="s">
        <v>1969</v>
      </c>
      <c r="I745" s="22" t="str">
        <f t="shared" si="78"/>
        <v>2020-05-14</v>
      </c>
      <c r="J745" s="23" t="str">
        <f t="shared" si="79"/>
        <v>14</v>
      </c>
      <c r="K745" t="str">
        <f t="shared" si="80"/>
        <v>no</v>
      </c>
      <c r="L745">
        <v>14</v>
      </c>
      <c r="M745" t="str">
        <f t="shared" si="81"/>
        <v>2020-05-14</v>
      </c>
      <c r="N745" s="20">
        <f t="shared" si="82"/>
        <v>43966</v>
      </c>
      <c r="O745" t="str">
        <f t="shared" si="83"/>
        <v>2020-05-15</v>
      </c>
    </row>
    <row r="746" spans="1:15" x14ac:dyDescent="0.2">
      <c r="A746" s="21" t="str">
        <f t="shared" si="77"/>
        <v>y</v>
      </c>
      <c r="B746" s="24" t="s">
        <v>1716</v>
      </c>
      <c r="C746" t="s">
        <v>65</v>
      </c>
      <c r="D746" t="s">
        <v>13</v>
      </c>
      <c r="E746" t="s">
        <v>64</v>
      </c>
      <c r="F746" t="s">
        <v>2</v>
      </c>
      <c r="H746" t="s">
        <v>1958</v>
      </c>
      <c r="I746" s="22" t="str">
        <f t="shared" si="78"/>
        <v>2020-05-14</v>
      </c>
      <c r="J746" s="23" t="str">
        <f t="shared" si="79"/>
        <v>14</v>
      </c>
      <c r="K746" t="str">
        <f t="shared" si="80"/>
        <v>no</v>
      </c>
      <c r="L746">
        <v>14</v>
      </c>
      <c r="M746" t="str">
        <f t="shared" si="81"/>
        <v>2020-05-14</v>
      </c>
      <c r="N746" s="20">
        <f t="shared" si="82"/>
        <v>43966</v>
      </c>
      <c r="O746" t="str">
        <f t="shared" si="83"/>
        <v>2020-05-15</v>
      </c>
    </row>
    <row r="747" spans="1:15" x14ac:dyDescent="0.2">
      <c r="A747" s="21" t="str">
        <f t="shared" si="77"/>
        <v>y</v>
      </c>
      <c r="B747" s="24" t="s">
        <v>1717</v>
      </c>
      <c r="C747" t="s">
        <v>235</v>
      </c>
      <c r="D747" t="s">
        <v>13</v>
      </c>
      <c r="E747" t="s">
        <v>34</v>
      </c>
      <c r="F747" t="s">
        <v>2</v>
      </c>
      <c r="G747" t="s">
        <v>1134</v>
      </c>
      <c r="H747" t="s">
        <v>2003</v>
      </c>
      <c r="I747" s="22" t="str">
        <f t="shared" si="78"/>
        <v>2020-05-13</v>
      </c>
      <c r="J747" s="23" t="str">
        <f t="shared" si="79"/>
        <v>13</v>
      </c>
      <c r="K747" t="str">
        <f t="shared" si="80"/>
        <v>no</v>
      </c>
      <c r="L747">
        <v>13</v>
      </c>
      <c r="M747" t="str">
        <f t="shared" si="81"/>
        <v>2020-05-13</v>
      </c>
      <c r="N747" s="20">
        <f t="shared" si="82"/>
        <v>43965</v>
      </c>
      <c r="O747" t="str">
        <f t="shared" si="83"/>
        <v>2020-05-14</v>
      </c>
    </row>
    <row r="748" spans="1:15" x14ac:dyDescent="0.2">
      <c r="A748" s="21" t="str">
        <f t="shared" si="77"/>
        <v>y</v>
      </c>
      <c r="B748" s="24" t="s">
        <v>1717</v>
      </c>
      <c r="C748" t="s">
        <v>1064</v>
      </c>
      <c r="D748" t="s">
        <v>13</v>
      </c>
      <c r="E748" t="s">
        <v>9</v>
      </c>
      <c r="F748" t="s">
        <v>29</v>
      </c>
      <c r="G748" t="s">
        <v>1132</v>
      </c>
      <c r="H748" t="s">
        <v>1978</v>
      </c>
      <c r="I748" s="22" t="str">
        <f t="shared" si="78"/>
        <v>2020-05-13</v>
      </c>
      <c r="J748" s="23" t="str">
        <f t="shared" si="79"/>
        <v>13</v>
      </c>
      <c r="K748" t="str">
        <f t="shared" si="80"/>
        <v>no</v>
      </c>
      <c r="L748">
        <v>13</v>
      </c>
      <c r="M748" t="str">
        <f t="shared" si="81"/>
        <v>2020-05-13</v>
      </c>
      <c r="N748" s="20" t="str">
        <f t="shared" si="82"/>
        <v>2020-05-13</v>
      </c>
      <c r="O748" t="str">
        <f t="shared" si="83"/>
        <v>2020-05-13</v>
      </c>
    </row>
    <row r="749" spans="1:15" x14ac:dyDescent="0.2">
      <c r="A749" s="21" t="str">
        <f t="shared" si="77"/>
        <v>y</v>
      </c>
      <c r="B749" s="24" t="s">
        <v>1717</v>
      </c>
      <c r="C749" t="s">
        <v>975</v>
      </c>
      <c r="D749" t="s">
        <v>13</v>
      </c>
      <c r="E749" t="s">
        <v>43</v>
      </c>
      <c r="F749" t="s">
        <v>2</v>
      </c>
      <c r="H749" t="s">
        <v>1974</v>
      </c>
      <c r="I749" s="22" t="str">
        <f t="shared" si="78"/>
        <v>2020-05-13</v>
      </c>
      <c r="J749" s="23" t="str">
        <f t="shared" si="79"/>
        <v>13</v>
      </c>
      <c r="K749" t="str">
        <f t="shared" si="80"/>
        <v>no</v>
      </c>
      <c r="L749">
        <v>13</v>
      </c>
      <c r="M749" t="str">
        <f t="shared" si="81"/>
        <v>2020-05-13</v>
      </c>
      <c r="N749" s="20">
        <f t="shared" si="82"/>
        <v>43965</v>
      </c>
      <c r="O749" t="str">
        <f t="shared" si="83"/>
        <v>2020-05-14</v>
      </c>
    </row>
    <row r="750" spans="1:15" x14ac:dyDescent="0.2">
      <c r="A750" s="21" t="str">
        <f t="shared" si="77"/>
        <v>y</v>
      </c>
      <c r="B750" s="24" t="s">
        <v>1717</v>
      </c>
      <c r="C750" t="s">
        <v>1113</v>
      </c>
      <c r="D750" t="s">
        <v>13</v>
      </c>
      <c r="E750" t="s">
        <v>27</v>
      </c>
      <c r="F750" t="s">
        <v>29</v>
      </c>
      <c r="G750" t="s">
        <v>1135</v>
      </c>
      <c r="H750" t="s">
        <v>1969</v>
      </c>
      <c r="I750" s="22" t="str">
        <f t="shared" si="78"/>
        <v>2020-05-13</v>
      </c>
      <c r="J750" s="23" t="str">
        <f t="shared" si="79"/>
        <v>13</v>
      </c>
      <c r="K750" t="str">
        <f t="shared" si="80"/>
        <v>no</v>
      </c>
      <c r="L750">
        <v>13</v>
      </c>
      <c r="M750" t="str">
        <f t="shared" si="81"/>
        <v>2020-05-13</v>
      </c>
      <c r="N750" s="20" t="str">
        <f t="shared" si="82"/>
        <v>2020-05-13</v>
      </c>
      <c r="O750" t="str">
        <f t="shared" si="83"/>
        <v>2020-05-13</v>
      </c>
    </row>
    <row r="751" spans="1:15" x14ac:dyDescent="0.2">
      <c r="A751" s="21" t="str">
        <f t="shared" si="77"/>
        <v>y</v>
      </c>
      <c r="B751" s="24" t="s">
        <v>1717</v>
      </c>
      <c r="C751" t="s">
        <v>65</v>
      </c>
      <c r="D751" t="s">
        <v>13</v>
      </c>
      <c r="E751" t="s">
        <v>64</v>
      </c>
      <c r="F751" t="s">
        <v>29</v>
      </c>
      <c r="G751" t="s">
        <v>1133</v>
      </c>
      <c r="H751" t="s">
        <v>1958</v>
      </c>
      <c r="I751" s="22" t="str">
        <f t="shared" si="78"/>
        <v>2020-05-13</v>
      </c>
      <c r="J751" s="23" t="str">
        <f t="shared" si="79"/>
        <v>13</v>
      </c>
      <c r="K751" t="str">
        <f t="shared" si="80"/>
        <v>no</v>
      </c>
      <c r="L751">
        <v>13</v>
      </c>
      <c r="M751" t="str">
        <f t="shared" si="81"/>
        <v>2020-05-13</v>
      </c>
      <c r="N751" s="20" t="str">
        <f t="shared" si="82"/>
        <v>2020-05-13</v>
      </c>
      <c r="O751" t="str">
        <f t="shared" si="83"/>
        <v>2020-05-13</v>
      </c>
    </row>
    <row r="752" spans="1:15" x14ac:dyDescent="0.2">
      <c r="A752" s="21" t="str">
        <f t="shared" si="77"/>
        <v>y</v>
      </c>
      <c r="B752" s="24">
        <v>44170</v>
      </c>
      <c r="C752" t="s">
        <v>235</v>
      </c>
      <c r="D752" t="s">
        <v>13</v>
      </c>
      <c r="E752" t="s">
        <v>34</v>
      </c>
      <c r="F752" t="s">
        <v>2</v>
      </c>
      <c r="G752" t="s">
        <v>1130</v>
      </c>
      <c r="H752" t="s">
        <v>2003</v>
      </c>
      <c r="I752" s="22" t="str">
        <f t="shared" si="78"/>
        <v>2020-05-12</v>
      </c>
      <c r="J752" s="23" t="str">
        <f t="shared" si="79"/>
        <v>44</v>
      </c>
      <c r="K752" t="str">
        <f t="shared" si="80"/>
        <v>yes</v>
      </c>
      <c r="L752">
        <v>44</v>
      </c>
      <c r="M752" t="str">
        <f t="shared" si="81"/>
        <v>2020-05-12</v>
      </c>
      <c r="N752" s="20">
        <f t="shared" si="82"/>
        <v>43964</v>
      </c>
      <c r="O752" t="str">
        <f t="shared" si="83"/>
        <v>2020-05-13</v>
      </c>
    </row>
    <row r="753" spans="1:15" x14ac:dyDescent="0.2">
      <c r="A753" s="21" t="str">
        <f t="shared" si="77"/>
        <v>y</v>
      </c>
      <c r="B753" s="24">
        <v>44170</v>
      </c>
      <c r="C753" t="s">
        <v>1064</v>
      </c>
      <c r="D753" t="s">
        <v>13</v>
      </c>
      <c r="E753" t="s">
        <v>9</v>
      </c>
      <c r="F753" t="s">
        <v>2</v>
      </c>
      <c r="G753" t="s">
        <v>1126</v>
      </c>
      <c r="H753" t="s">
        <v>1978</v>
      </c>
      <c r="I753" s="22" t="str">
        <f t="shared" si="78"/>
        <v>2020-05-12</v>
      </c>
      <c r="J753" s="23" t="str">
        <f t="shared" si="79"/>
        <v>44</v>
      </c>
      <c r="K753" t="str">
        <f t="shared" si="80"/>
        <v>yes</v>
      </c>
      <c r="L753">
        <v>44</v>
      </c>
      <c r="M753" t="str">
        <f t="shared" si="81"/>
        <v>2020-05-12</v>
      </c>
      <c r="N753" s="20">
        <f t="shared" si="82"/>
        <v>43964</v>
      </c>
      <c r="O753" t="str">
        <f t="shared" si="83"/>
        <v>2020-05-13</v>
      </c>
    </row>
    <row r="754" spans="1:15" x14ac:dyDescent="0.2">
      <c r="A754" s="21" t="str">
        <f t="shared" si="77"/>
        <v>y</v>
      </c>
      <c r="B754" s="24">
        <v>44170</v>
      </c>
      <c r="C754" t="s">
        <v>975</v>
      </c>
      <c r="D754" t="s">
        <v>13</v>
      </c>
      <c r="E754" t="s">
        <v>43</v>
      </c>
      <c r="F754" t="s">
        <v>2</v>
      </c>
      <c r="G754" t="s">
        <v>1128</v>
      </c>
      <c r="H754" t="s">
        <v>1974</v>
      </c>
      <c r="I754" s="22" t="str">
        <f t="shared" si="78"/>
        <v>2020-05-12</v>
      </c>
      <c r="J754" s="23" t="str">
        <f t="shared" si="79"/>
        <v>44</v>
      </c>
      <c r="K754" t="str">
        <f t="shared" si="80"/>
        <v>yes</v>
      </c>
      <c r="L754">
        <v>44</v>
      </c>
      <c r="M754" t="str">
        <f t="shared" si="81"/>
        <v>2020-05-12</v>
      </c>
      <c r="N754" s="20">
        <f t="shared" si="82"/>
        <v>43964</v>
      </c>
      <c r="O754" t="str">
        <f t="shared" si="83"/>
        <v>2020-05-13</v>
      </c>
    </row>
    <row r="755" spans="1:15" x14ac:dyDescent="0.2">
      <c r="A755" s="21" t="str">
        <f t="shared" si="77"/>
        <v>y</v>
      </c>
      <c r="B755" s="24">
        <v>44170</v>
      </c>
      <c r="C755" t="s">
        <v>1113</v>
      </c>
      <c r="D755" t="s">
        <v>13</v>
      </c>
      <c r="E755" t="s">
        <v>27</v>
      </c>
      <c r="F755" t="s">
        <v>2</v>
      </c>
      <c r="G755" t="s">
        <v>1127</v>
      </c>
      <c r="H755" t="s">
        <v>1969</v>
      </c>
      <c r="I755" s="22" t="str">
        <f t="shared" si="78"/>
        <v>2020-05-12</v>
      </c>
      <c r="J755" s="23" t="str">
        <f t="shared" si="79"/>
        <v>44</v>
      </c>
      <c r="K755" t="str">
        <f t="shared" si="80"/>
        <v>yes</v>
      </c>
      <c r="L755">
        <v>44</v>
      </c>
      <c r="M755" t="str">
        <f t="shared" si="81"/>
        <v>2020-05-12</v>
      </c>
      <c r="N755" s="20">
        <f t="shared" si="82"/>
        <v>43964</v>
      </c>
      <c r="O755" t="str">
        <f t="shared" si="83"/>
        <v>2020-05-13</v>
      </c>
    </row>
    <row r="756" spans="1:15" x14ac:dyDescent="0.2">
      <c r="A756" s="21" t="str">
        <f t="shared" si="77"/>
        <v>y</v>
      </c>
      <c r="B756" s="24">
        <v>44170</v>
      </c>
      <c r="C756" t="s">
        <v>65</v>
      </c>
      <c r="D756" t="s">
        <v>13</v>
      </c>
      <c r="E756" t="s">
        <v>64</v>
      </c>
      <c r="F756" t="s">
        <v>2</v>
      </c>
      <c r="G756" t="s">
        <v>1131</v>
      </c>
      <c r="H756" t="s">
        <v>1958</v>
      </c>
      <c r="I756" s="22" t="str">
        <f t="shared" si="78"/>
        <v>2020-05-12</v>
      </c>
      <c r="J756" s="23" t="str">
        <f t="shared" si="79"/>
        <v>44</v>
      </c>
      <c r="K756" t="str">
        <f t="shared" si="80"/>
        <v>yes</v>
      </c>
      <c r="L756">
        <v>44</v>
      </c>
      <c r="M756" t="str">
        <f t="shared" si="81"/>
        <v>2020-05-12</v>
      </c>
      <c r="N756" s="20">
        <f t="shared" si="82"/>
        <v>43964</v>
      </c>
      <c r="O756" t="str">
        <f t="shared" si="83"/>
        <v>2020-05-13</v>
      </c>
    </row>
    <row r="757" spans="1:15" x14ac:dyDescent="0.2">
      <c r="A757" s="21" t="str">
        <f t="shared" si="77"/>
        <v>y</v>
      </c>
      <c r="B757" s="24">
        <v>44140</v>
      </c>
      <c r="C757" t="s">
        <v>235</v>
      </c>
      <c r="D757" t="s">
        <v>13</v>
      </c>
      <c r="E757" t="s">
        <v>34</v>
      </c>
      <c r="F757" t="s">
        <v>2</v>
      </c>
      <c r="H757" t="s">
        <v>1969</v>
      </c>
      <c r="I757" s="22" t="str">
        <f t="shared" si="78"/>
        <v>2020-05-11</v>
      </c>
      <c r="J757" s="23" t="str">
        <f t="shared" si="79"/>
        <v>44</v>
      </c>
      <c r="K757" t="str">
        <f t="shared" si="80"/>
        <v>yes</v>
      </c>
      <c r="L757">
        <v>44</v>
      </c>
      <c r="M757" t="str">
        <f t="shared" si="81"/>
        <v>2020-05-11</v>
      </c>
      <c r="N757" s="20">
        <f t="shared" si="82"/>
        <v>43963</v>
      </c>
      <c r="O757" t="str">
        <f t="shared" si="83"/>
        <v>2020-05-12</v>
      </c>
    </row>
    <row r="758" spans="1:15" x14ac:dyDescent="0.2">
      <c r="A758" s="21" t="str">
        <f t="shared" si="77"/>
        <v>y</v>
      </c>
      <c r="B758" s="24">
        <v>44140</v>
      </c>
      <c r="C758" t="s">
        <v>65</v>
      </c>
      <c r="D758" t="s">
        <v>13</v>
      </c>
      <c r="E758" t="s">
        <v>64</v>
      </c>
      <c r="F758" t="s">
        <v>29</v>
      </c>
      <c r="G758" t="s">
        <v>1123</v>
      </c>
      <c r="H758" t="s">
        <v>2003</v>
      </c>
      <c r="I758" s="22" t="str">
        <f t="shared" si="78"/>
        <v>2020-05-11</v>
      </c>
      <c r="J758" s="23" t="str">
        <f t="shared" si="79"/>
        <v>44</v>
      </c>
      <c r="K758" t="str">
        <f t="shared" si="80"/>
        <v>yes</v>
      </c>
      <c r="L758">
        <v>44</v>
      </c>
      <c r="M758" t="str">
        <f t="shared" si="81"/>
        <v>2020-05-11</v>
      </c>
      <c r="N758" s="20" t="str">
        <f t="shared" si="82"/>
        <v>2020-05-11</v>
      </c>
      <c r="O758" t="str">
        <f t="shared" si="83"/>
        <v>2020-05-11</v>
      </c>
    </row>
    <row r="759" spans="1:15" x14ac:dyDescent="0.2">
      <c r="A759" s="21" t="str">
        <f t="shared" si="77"/>
        <v>y</v>
      </c>
      <c r="B759" s="24">
        <v>44140</v>
      </c>
      <c r="C759" t="s">
        <v>1064</v>
      </c>
      <c r="D759" t="s">
        <v>13</v>
      </c>
      <c r="E759" t="s">
        <v>43</v>
      </c>
      <c r="F759" t="s">
        <v>29</v>
      </c>
      <c r="H759" t="s">
        <v>2004</v>
      </c>
      <c r="I759" s="22" t="str">
        <f t="shared" si="78"/>
        <v>2020-05-11</v>
      </c>
      <c r="J759" s="23" t="str">
        <f t="shared" si="79"/>
        <v>44</v>
      </c>
      <c r="K759" t="str">
        <f t="shared" si="80"/>
        <v>yes</v>
      </c>
      <c r="L759">
        <v>44</v>
      </c>
      <c r="M759" t="str">
        <f t="shared" si="81"/>
        <v>2020-05-11</v>
      </c>
      <c r="N759" s="20" t="str">
        <f t="shared" si="82"/>
        <v>2020-05-11</v>
      </c>
      <c r="O759" t="str">
        <f t="shared" si="83"/>
        <v>2020-05-11</v>
      </c>
    </row>
    <row r="760" spans="1:15" x14ac:dyDescent="0.2">
      <c r="A760" s="21" t="str">
        <f t="shared" si="77"/>
        <v>y</v>
      </c>
      <c r="B760" s="24">
        <v>44140</v>
      </c>
      <c r="C760" t="s">
        <v>1125</v>
      </c>
      <c r="D760" t="s">
        <v>13</v>
      </c>
      <c r="E760" t="s">
        <v>27</v>
      </c>
      <c r="F760" t="s">
        <v>29</v>
      </c>
      <c r="G760" t="s">
        <v>1129</v>
      </c>
      <c r="H760" t="s">
        <v>1978</v>
      </c>
      <c r="I760" s="22" t="str">
        <f t="shared" si="78"/>
        <v>2020-05-11</v>
      </c>
      <c r="J760" s="23" t="str">
        <f t="shared" si="79"/>
        <v>44</v>
      </c>
      <c r="K760" t="str">
        <f t="shared" si="80"/>
        <v>yes</v>
      </c>
      <c r="L760">
        <v>44</v>
      </c>
      <c r="M760" t="str">
        <f t="shared" si="81"/>
        <v>2020-05-11</v>
      </c>
      <c r="N760" s="20" t="str">
        <f t="shared" si="82"/>
        <v>2020-05-11</v>
      </c>
      <c r="O760" t="str">
        <f t="shared" si="83"/>
        <v>2020-05-11</v>
      </c>
    </row>
    <row r="761" spans="1:15" x14ac:dyDescent="0.2">
      <c r="A761" s="21" t="str">
        <f t="shared" si="77"/>
        <v>y</v>
      </c>
      <c r="B761" s="24">
        <v>44140</v>
      </c>
      <c r="C761" t="s">
        <v>975</v>
      </c>
      <c r="D761" t="s">
        <v>13</v>
      </c>
      <c r="E761" t="s">
        <v>43</v>
      </c>
      <c r="F761" t="s">
        <v>2</v>
      </c>
      <c r="H761" t="s">
        <v>1958</v>
      </c>
      <c r="I761" s="22" t="str">
        <f t="shared" si="78"/>
        <v>2020-05-11</v>
      </c>
      <c r="J761" s="23" t="str">
        <f t="shared" si="79"/>
        <v>44</v>
      </c>
      <c r="K761" t="str">
        <f t="shared" si="80"/>
        <v>yes</v>
      </c>
      <c r="L761">
        <v>44</v>
      </c>
      <c r="M761" t="str">
        <f t="shared" si="81"/>
        <v>2020-05-11</v>
      </c>
      <c r="N761" s="20">
        <f t="shared" si="82"/>
        <v>43963</v>
      </c>
      <c r="O761" t="str">
        <f t="shared" si="83"/>
        <v>2020-05-12</v>
      </c>
    </row>
    <row r="762" spans="1:15" x14ac:dyDescent="0.2">
      <c r="A762" s="21" t="str">
        <f t="shared" si="77"/>
        <v>y</v>
      </c>
      <c r="B762" s="24">
        <v>44109</v>
      </c>
      <c r="C762" t="s">
        <v>235</v>
      </c>
      <c r="D762" t="s">
        <v>13</v>
      </c>
      <c r="E762" t="s">
        <v>43</v>
      </c>
      <c r="F762" t="s">
        <v>29</v>
      </c>
      <c r="G762" t="s">
        <v>1124</v>
      </c>
      <c r="H762" t="s">
        <v>1969</v>
      </c>
      <c r="I762" s="22" t="str">
        <f t="shared" si="78"/>
        <v>2020-05-10</v>
      </c>
      <c r="J762" s="23" t="str">
        <f t="shared" si="79"/>
        <v>44</v>
      </c>
      <c r="K762" t="str">
        <f t="shared" si="80"/>
        <v>yes</v>
      </c>
      <c r="L762">
        <v>44</v>
      </c>
      <c r="M762" t="str">
        <f t="shared" si="81"/>
        <v>2020-05-10</v>
      </c>
      <c r="N762" s="20" t="str">
        <f t="shared" si="82"/>
        <v>2020-05-10</v>
      </c>
      <c r="O762" t="str">
        <f t="shared" si="83"/>
        <v>2020-05-10</v>
      </c>
    </row>
    <row r="763" spans="1:15" x14ac:dyDescent="0.2">
      <c r="A763" s="21" t="str">
        <f t="shared" si="77"/>
        <v>y</v>
      </c>
      <c r="B763" s="24">
        <v>44109</v>
      </c>
      <c r="C763" t="s">
        <v>235</v>
      </c>
      <c r="D763" t="s">
        <v>13</v>
      </c>
      <c r="E763" t="s">
        <v>31</v>
      </c>
      <c r="F763" t="s">
        <v>29</v>
      </c>
      <c r="G763" t="s">
        <v>1120</v>
      </c>
      <c r="H763" t="s">
        <v>1958</v>
      </c>
      <c r="I763" s="22" t="str">
        <f t="shared" si="78"/>
        <v>2020-05-10</v>
      </c>
      <c r="J763" s="23" t="str">
        <f t="shared" si="79"/>
        <v>44</v>
      </c>
      <c r="K763" t="str">
        <f t="shared" si="80"/>
        <v>yes</v>
      </c>
      <c r="L763">
        <v>44</v>
      </c>
      <c r="M763" t="str">
        <f t="shared" si="81"/>
        <v>2020-05-10</v>
      </c>
      <c r="N763" s="20" t="str">
        <f t="shared" si="82"/>
        <v>2020-05-10</v>
      </c>
      <c r="O763" t="str">
        <f t="shared" si="83"/>
        <v>2020-05-10</v>
      </c>
    </row>
    <row r="764" spans="1:15" x14ac:dyDescent="0.2">
      <c r="A764" s="21" t="str">
        <f t="shared" si="77"/>
        <v>y</v>
      </c>
      <c r="B764" s="24">
        <v>44109</v>
      </c>
      <c r="C764" t="s">
        <v>65</v>
      </c>
      <c r="D764" t="s">
        <v>13</v>
      </c>
      <c r="E764" t="s">
        <v>64</v>
      </c>
      <c r="F764" t="s">
        <v>2</v>
      </c>
      <c r="H764" t="s">
        <v>2003</v>
      </c>
      <c r="I764" s="22" t="str">
        <f t="shared" si="78"/>
        <v>2020-05-10</v>
      </c>
      <c r="J764" s="23" t="str">
        <f t="shared" si="79"/>
        <v>44</v>
      </c>
      <c r="K764" t="str">
        <f t="shared" si="80"/>
        <v>yes</v>
      </c>
      <c r="L764">
        <v>44</v>
      </c>
      <c r="M764" t="str">
        <f t="shared" si="81"/>
        <v>2020-05-10</v>
      </c>
      <c r="N764" s="20">
        <f t="shared" si="82"/>
        <v>43962</v>
      </c>
      <c r="O764" t="str">
        <f t="shared" si="83"/>
        <v>2020-05-11</v>
      </c>
    </row>
    <row r="765" spans="1:15" x14ac:dyDescent="0.2">
      <c r="A765" s="21" t="str">
        <f t="shared" si="77"/>
        <v>y</v>
      </c>
      <c r="B765" s="24">
        <v>44109</v>
      </c>
      <c r="C765" t="s">
        <v>1064</v>
      </c>
      <c r="D765" t="s">
        <v>13</v>
      </c>
      <c r="E765" t="s">
        <v>43</v>
      </c>
      <c r="F765" t="s">
        <v>29</v>
      </c>
      <c r="G765" t="s">
        <v>1122</v>
      </c>
      <c r="H765" t="s">
        <v>1958</v>
      </c>
      <c r="I765" s="22" t="str">
        <f t="shared" si="78"/>
        <v>2020-05-10</v>
      </c>
      <c r="J765" s="23" t="str">
        <f t="shared" si="79"/>
        <v>44</v>
      </c>
      <c r="K765" t="str">
        <f t="shared" si="80"/>
        <v>yes</v>
      </c>
      <c r="L765">
        <v>44</v>
      </c>
      <c r="M765" t="str">
        <f t="shared" si="81"/>
        <v>2020-05-10</v>
      </c>
      <c r="N765" s="20" t="str">
        <f t="shared" si="82"/>
        <v>2020-05-10</v>
      </c>
      <c r="O765" t="str">
        <f t="shared" si="83"/>
        <v>2020-05-10</v>
      </c>
    </row>
    <row r="766" spans="1:15" x14ac:dyDescent="0.2">
      <c r="A766" s="21" t="str">
        <f t="shared" si="77"/>
        <v>y</v>
      </c>
      <c r="B766" s="24">
        <v>44017</v>
      </c>
      <c r="C766" t="s">
        <v>235</v>
      </c>
      <c r="D766" t="s">
        <v>13</v>
      </c>
      <c r="E766" t="s">
        <v>43</v>
      </c>
      <c r="F766" t="s">
        <v>2</v>
      </c>
      <c r="H766" t="s">
        <v>1969</v>
      </c>
      <c r="I766" s="22" t="str">
        <f t="shared" si="78"/>
        <v>2020-05-07</v>
      </c>
      <c r="J766" s="23" t="str">
        <f t="shared" si="79"/>
        <v>44</v>
      </c>
      <c r="K766" t="str">
        <f t="shared" si="80"/>
        <v>yes</v>
      </c>
      <c r="L766">
        <v>44</v>
      </c>
      <c r="M766" t="str">
        <f t="shared" si="81"/>
        <v>2020-05-07</v>
      </c>
      <c r="N766" s="20">
        <f t="shared" si="82"/>
        <v>43959</v>
      </c>
      <c r="O766" t="str">
        <f t="shared" si="83"/>
        <v>2020-05-08</v>
      </c>
    </row>
    <row r="767" spans="1:15" x14ac:dyDescent="0.2">
      <c r="A767" s="21" t="str">
        <f t="shared" si="77"/>
        <v>y</v>
      </c>
      <c r="B767" s="24">
        <v>44017</v>
      </c>
      <c r="C767" t="s">
        <v>65</v>
      </c>
      <c r="D767" t="s">
        <v>13</v>
      </c>
      <c r="E767" t="s">
        <v>64</v>
      </c>
      <c r="F767" t="s">
        <v>29</v>
      </c>
      <c r="G767" t="s">
        <v>1121</v>
      </c>
      <c r="H767" t="s">
        <v>2003</v>
      </c>
      <c r="I767" s="22" t="str">
        <f t="shared" si="78"/>
        <v>2020-05-07</v>
      </c>
      <c r="J767" s="23" t="str">
        <f t="shared" si="79"/>
        <v>44</v>
      </c>
      <c r="K767" t="str">
        <f t="shared" si="80"/>
        <v>yes</v>
      </c>
      <c r="L767">
        <v>44</v>
      </c>
      <c r="M767" t="str">
        <f t="shared" si="81"/>
        <v>2020-05-07</v>
      </c>
      <c r="N767" s="20" t="str">
        <f t="shared" si="82"/>
        <v>2020-05-07</v>
      </c>
      <c r="O767" t="str">
        <f t="shared" si="83"/>
        <v>2020-05-07</v>
      </c>
    </row>
    <row r="768" spans="1:15" x14ac:dyDescent="0.2">
      <c r="A768" s="21" t="str">
        <f t="shared" si="77"/>
        <v>y</v>
      </c>
      <c r="B768" s="24">
        <v>44017</v>
      </c>
      <c r="C768" t="s">
        <v>1064</v>
      </c>
      <c r="D768" t="s">
        <v>13</v>
      </c>
      <c r="E768" t="s">
        <v>64</v>
      </c>
      <c r="F768" t="s">
        <v>29</v>
      </c>
      <c r="G768" t="s">
        <v>1117</v>
      </c>
      <c r="H768" t="s">
        <v>1977</v>
      </c>
      <c r="I768" s="22" t="str">
        <f t="shared" si="78"/>
        <v>2020-05-07</v>
      </c>
      <c r="J768" s="23" t="str">
        <f t="shared" si="79"/>
        <v>44</v>
      </c>
      <c r="K768" t="str">
        <f t="shared" si="80"/>
        <v>yes</v>
      </c>
      <c r="L768">
        <v>44</v>
      </c>
      <c r="M768" t="str">
        <f t="shared" si="81"/>
        <v>2020-05-07</v>
      </c>
      <c r="N768" s="20" t="str">
        <f t="shared" si="82"/>
        <v>2020-05-07</v>
      </c>
      <c r="O768" t="str">
        <f t="shared" si="83"/>
        <v>2020-05-07</v>
      </c>
    </row>
    <row r="769" spans="1:15" x14ac:dyDescent="0.2">
      <c r="A769" s="21" t="str">
        <f t="shared" si="77"/>
        <v>y</v>
      </c>
      <c r="B769" s="24">
        <v>44017</v>
      </c>
      <c r="C769" t="s">
        <v>756</v>
      </c>
      <c r="D769" t="s">
        <v>13</v>
      </c>
      <c r="E769" t="s">
        <v>28</v>
      </c>
      <c r="F769" t="s">
        <v>29</v>
      </c>
      <c r="G769" t="s">
        <v>1119</v>
      </c>
      <c r="H769" t="s">
        <v>1958</v>
      </c>
      <c r="I769" s="22" t="str">
        <f t="shared" si="78"/>
        <v>2020-05-07</v>
      </c>
      <c r="J769" s="23" t="str">
        <f t="shared" si="79"/>
        <v>44</v>
      </c>
      <c r="K769" t="str">
        <f t="shared" si="80"/>
        <v>yes</v>
      </c>
      <c r="L769">
        <v>44</v>
      </c>
      <c r="M769" t="str">
        <f t="shared" si="81"/>
        <v>2020-05-07</v>
      </c>
      <c r="N769" s="20" t="str">
        <f t="shared" si="82"/>
        <v>2020-05-07</v>
      </c>
      <c r="O769" t="str">
        <f t="shared" si="83"/>
        <v>2020-05-07</v>
      </c>
    </row>
    <row r="770" spans="1:15" x14ac:dyDescent="0.2">
      <c r="A770" s="21" t="str">
        <f t="shared" si="77"/>
        <v>y</v>
      </c>
      <c r="B770" s="24">
        <v>43987</v>
      </c>
      <c r="C770" t="s">
        <v>235</v>
      </c>
      <c r="D770" t="s">
        <v>13</v>
      </c>
      <c r="E770" t="s">
        <v>43</v>
      </c>
      <c r="F770" t="s">
        <v>2</v>
      </c>
      <c r="H770" t="s">
        <v>1969</v>
      </c>
      <c r="I770" s="22" t="str">
        <f t="shared" si="78"/>
        <v>2020-05-06</v>
      </c>
      <c r="J770" s="23" t="str">
        <f t="shared" si="79"/>
        <v>43</v>
      </c>
      <c r="K770" t="str">
        <f t="shared" si="80"/>
        <v>yes</v>
      </c>
      <c r="L770">
        <v>43</v>
      </c>
      <c r="M770" t="str">
        <f t="shared" si="81"/>
        <v>2020-05-06</v>
      </c>
      <c r="N770" s="20">
        <f t="shared" si="82"/>
        <v>43958</v>
      </c>
      <c r="O770" t="str">
        <f t="shared" si="83"/>
        <v>2020-05-07</v>
      </c>
    </row>
    <row r="771" spans="1:15" x14ac:dyDescent="0.2">
      <c r="A771" s="21" t="str">
        <f t="shared" si="77"/>
        <v>y</v>
      </c>
      <c r="B771" s="24">
        <v>43987</v>
      </c>
      <c r="C771" t="s">
        <v>65</v>
      </c>
      <c r="D771" t="s">
        <v>13</v>
      </c>
      <c r="E771" t="s">
        <v>64</v>
      </c>
      <c r="F771" t="s">
        <v>2</v>
      </c>
      <c r="H771" t="s">
        <v>1974</v>
      </c>
      <c r="I771" s="22" t="str">
        <f t="shared" si="78"/>
        <v>2020-05-06</v>
      </c>
      <c r="J771" s="23" t="str">
        <f t="shared" si="79"/>
        <v>43</v>
      </c>
      <c r="K771" t="str">
        <f t="shared" si="80"/>
        <v>yes</v>
      </c>
      <c r="L771">
        <v>43</v>
      </c>
      <c r="M771" t="str">
        <f t="shared" si="81"/>
        <v>2020-05-06</v>
      </c>
      <c r="N771" s="20">
        <f t="shared" si="82"/>
        <v>43958</v>
      </c>
      <c r="O771" t="str">
        <f t="shared" si="83"/>
        <v>2020-05-07</v>
      </c>
    </row>
    <row r="772" spans="1:15" x14ac:dyDescent="0.2">
      <c r="A772" s="21" t="str">
        <f t="shared" ref="A772:A835" si="84">IF(LEFT(B772,2)&gt;12,"y","-")</f>
        <v>y</v>
      </c>
      <c r="B772" s="24">
        <v>43987</v>
      </c>
      <c r="C772" t="s">
        <v>1113</v>
      </c>
      <c r="D772" t="s">
        <v>13</v>
      </c>
      <c r="E772" t="s">
        <v>27</v>
      </c>
      <c r="F772" t="s">
        <v>29</v>
      </c>
      <c r="G772" t="s">
        <v>1118</v>
      </c>
      <c r="H772" t="s">
        <v>2003</v>
      </c>
      <c r="I772" s="22" t="str">
        <f t="shared" ref="I772:I835" si="85">IF(K772="yes",TEXT(B772,"YYYY-DD-MM"),TEXT(B772,"YYYY-MM-DD"))</f>
        <v>2020-05-06</v>
      </c>
      <c r="J772" s="23" t="str">
        <f t="shared" ref="J772:J835" si="86">LEFT(B772,2)</f>
        <v>43</v>
      </c>
      <c r="K772" t="str">
        <f t="shared" ref="K772:K835" si="87">IF(L772&gt;31,"yes","no")</f>
        <v>yes</v>
      </c>
      <c r="L772">
        <v>43</v>
      </c>
      <c r="M772" t="str">
        <f t="shared" ref="M772:M835" si="88">I772</f>
        <v>2020-05-06</v>
      </c>
      <c r="N772" s="20" t="str">
        <f t="shared" ref="N772:N835" si="89">IF(F772="DONE",M772,M772+1)</f>
        <v>2020-05-06</v>
      </c>
      <c r="O772" t="str">
        <f t="shared" ref="O772:O835" si="90">TEXT(N772,"YYYY-MM-DD")</f>
        <v>2020-05-06</v>
      </c>
    </row>
    <row r="773" spans="1:15" x14ac:dyDescent="0.2">
      <c r="A773" s="21" t="str">
        <f t="shared" si="84"/>
        <v>y</v>
      </c>
      <c r="B773" s="24">
        <v>43987</v>
      </c>
      <c r="C773" t="s">
        <v>1064</v>
      </c>
      <c r="D773" t="s">
        <v>13</v>
      </c>
      <c r="E773" t="s">
        <v>4</v>
      </c>
      <c r="F773" t="s">
        <v>29</v>
      </c>
      <c r="G773" t="s">
        <v>1116</v>
      </c>
      <c r="H773" t="s">
        <v>1958</v>
      </c>
      <c r="I773" s="22" t="str">
        <f t="shared" si="85"/>
        <v>2020-05-06</v>
      </c>
      <c r="J773" s="23" t="str">
        <f t="shared" si="86"/>
        <v>43</v>
      </c>
      <c r="K773" t="str">
        <f t="shared" si="87"/>
        <v>yes</v>
      </c>
      <c r="L773">
        <v>43</v>
      </c>
      <c r="M773" t="str">
        <f t="shared" si="88"/>
        <v>2020-05-06</v>
      </c>
      <c r="N773" s="20" t="str">
        <f t="shared" si="89"/>
        <v>2020-05-06</v>
      </c>
      <c r="O773" t="str">
        <f t="shared" si="90"/>
        <v>2020-05-06</v>
      </c>
    </row>
    <row r="774" spans="1:15" x14ac:dyDescent="0.2">
      <c r="A774" s="21" t="str">
        <f t="shared" si="84"/>
        <v>y</v>
      </c>
      <c r="B774" s="24">
        <v>43956</v>
      </c>
      <c r="C774" t="s">
        <v>235</v>
      </c>
      <c r="D774" t="s">
        <v>13</v>
      </c>
      <c r="E774" t="s">
        <v>43</v>
      </c>
      <c r="F774" t="s">
        <v>2</v>
      </c>
      <c r="H774" t="s">
        <v>1969</v>
      </c>
      <c r="I774" s="22" t="str">
        <f t="shared" si="85"/>
        <v>2020-05-05</v>
      </c>
      <c r="J774" s="23" t="str">
        <f t="shared" si="86"/>
        <v>43</v>
      </c>
      <c r="K774" t="str">
        <f t="shared" si="87"/>
        <v>yes</v>
      </c>
      <c r="L774">
        <v>43</v>
      </c>
      <c r="M774" t="str">
        <f t="shared" si="88"/>
        <v>2020-05-05</v>
      </c>
      <c r="N774" s="20">
        <f t="shared" si="89"/>
        <v>43957</v>
      </c>
      <c r="O774" t="str">
        <f t="shared" si="90"/>
        <v>2020-05-06</v>
      </c>
    </row>
    <row r="775" spans="1:15" x14ac:dyDescent="0.2">
      <c r="A775" s="21" t="str">
        <f t="shared" si="84"/>
        <v>y</v>
      </c>
      <c r="B775" s="24">
        <v>43956</v>
      </c>
      <c r="C775" t="s">
        <v>65</v>
      </c>
      <c r="D775" t="s">
        <v>13</v>
      </c>
      <c r="E775" t="s">
        <v>64</v>
      </c>
      <c r="F775" t="s">
        <v>2</v>
      </c>
      <c r="H775" t="s">
        <v>1974</v>
      </c>
      <c r="I775" s="22" t="str">
        <f t="shared" si="85"/>
        <v>2020-05-05</v>
      </c>
      <c r="J775" s="23" t="str">
        <f t="shared" si="86"/>
        <v>43</v>
      </c>
      <c r="K775" t="str">
        <f t="shared" si="87"/>
        <v>yes</v>
      </c>
      <c r="L775">
        <v>43</v>
      </c>
      <c r="M775" t="str">
        <f t="shared" si="88"/>
        <v>2020-05-05</v>
      </c>
      <c r="N775" s="20">
        <f t="shared" si="89"/>
        <v>43957</v>
      </c>
      <c r="O775" t="str">
        <f t="shared" si="90"/>
        <v>2020-05-06</v>
      </c>
    </row>
    <row r="776" spans="1:15" x14ac:dyDescent="0.2">
      <c r="A776" s="21" t="str">
        <f t="shared" si="84"/>
        <v>y</v>
      </c>
      <c r="B776" s="24">
        <v>43956</v>
      </c>
      <c r="C776" t="s">
        <v>1113</v>
      </c>
      <c r="D776" t="s">
        <v>13</v>
      </c>
      <c r="E776" t="s">
        <v>28</v>
      </c>
      <c r="F776" t="s">
        <v>29</v>
      </c>
      <c r="G776" t="s">
        <v>1114</v>
      </c>
      <c r="H776" t="s">
        <v>2005</v>
      </c>
      <c r="I776" s="22" t="str">
        <f t="shared" si="85"/>
        <v>2020-05-05</v>
      </c>
      <c r="J776" s="23" t="str">
        <f t="shared" si="86"/>
        <v>43</v>
      </c>
      <c r="K776" t="str">
        <f t="shared" si="87"/>
        <v>yes</v>
      </c>
      <c r="L776">
        <v>43</v>
      </c>
      <c r="M776" t="str">
        <f t="shared" si="88"/>
        <v>2020-05-05</v>
      </c>
      <c r="N776" s="20" t="str">
        <f t="shared" si="89"/>
        <v>2020-05-05</v>
      </c>
      <c r="O776" t="str">
        <f t="shared" si="90"/>
        <v>2020-05-05</v>
      </c>
    </row>
    <row r="777" spans="1:15" x14ac:dyDescent="0.2">
      <c r="A777" s="21" t="str">
        <f t="shared" si="84"/>
        <v>y</v>
      </c>
      <c r="B777" s="24">
        <v>43956</v>
      </c>
      <c r="C777" t="s">
        <v>1113</v>
      </c>
      <c r="D777" t="s">
        <v>13</v>
      </c>
      <c r="E777" t="s">
        <v>27</v>
      </c>
      <c r="F777" t="s">
        <v>2</v>
      </c>
      <c r="H777" t="s">
        <v>1974</v>
      </c>
      <c r="I777" s="22" t="str">
        <f t="shared" si="85"/>
        <v>2020-05-05</v>
      </c>
      <c r="J777" s="23" t="str">
        <f t="shared" si="86"/>
        <v>43</v>
      </c>
      <c r="K777" t="str">
        <f t="shared" si="87"/>
        <v>yes</v>
      </c>
      <c r="L777">
        <v>43</v>
      </c>
      <c r="M777" t="str">
        <f t="shared" si="88"/>
        <v>2020-05-05</v>
      </c>
      <c r="N777" s="20">
        <f t="shared" si="89"/>
        <v>43957</v>
      </c>
      <c r="O777" t="str">
        <f t="shared" si="90"/>
        <v>2020-05-06</v>
      </c>
    </row>
    <row r="778" spans="1:15" x14ac:dyDescent="0.2">
      <c r="A778" s="21" t="str">
        <f t="shared" si="84"/>
        <v>y</v>
      </c>
      <c r="B778" s="24">
        <v>43956</v>
      </c>
      <c r="C778" t="s">
        <v>1064</v>
      </c>
      <c r="D778" t="s">
        <v>13</v>
      </c>
      <c r="E778" t="s">
        <v>34</v>
      </c>
      <c r="F778" t="s">
        <v>29</v>
      </c>
      <c r="G778" t="s">
        <v>1115</v>
      </c>
      <c r="H778" t="s">
        <v>2006</v>
      </c>
      <c r="I778" s="22" t="str">
        <f t="shared" si="85"/>
        <v>2020-05-05</v>
      </c>
      <c r="J778" s="23" t="str">
        <f t="shared" si="86"/>
        <v>43</v>
      </c>
      <c r="K778" t="str">
        <f t="shared" si="87"/>
        <v>yes</v>
      </c>
      <c r="L778">
        <v>43</v>
      </c>
      <c r="M778" t="str">
        <f t="shared" si="88"/>
        <v>2020-05-05</v>
      </c>
      <c r="N778" s="20" t="str">
        <f t="shared" si="89"/>
        <v>2020-05-05</v>
      </c>
      <c r="O778" t="str">
        <f t="shared" si="90"/>
        <v>2020-05-05</v>
      </c>
    </row>
    <row r="779" spans="1:15" x14ac:dyDescent="0.2">
      <c r="A779" s="21" t="str">
        <f t="shared" si="84"/>
        <v>y</v>
      </c>
      <c r="B779" s="24">
        <v>43926</v>
      </c>
      <c r="C779" t="s">
        <v>756</v>
      </c>
      <c r="D779" t="s">
        <v>13</v>
      </c>
      <c r="E779" t="s">
        <v>34</v>
      </c>
      <c r="F779" t="s">
        <v>2</v>
      </c>
      <c r="H779" t="s">
        <v>1958</v>
      </c>
      <c r="I779" s="22" t="str">
        <f t="shared" si="85"/>
        <v>2020-05-04</v>
      </c>
      <c r="J779" s="23" t="str">
        <f t="shared" si="86"/>
        <v>43</v>
      </c>
      <c r="K779" t="str">
        <f t="shared" si="87"/>
        <v>yes</v>
      </c>
      <c r="L779">
        <v>43</v>
      </c>
      <c r="M779" t="str">
        <f t="shared" si="88"/>
        <v>2020-05-04</v>
      </c>
      <c r="N779" s="20">
        <f t="shared" si="89"/>
        <v>43956</v>
      </c>
      <c r="O779" t="str">
        <f t="shared" si="90"/>
        <v>2020-05-05</v>
      </c>
    </row>
    <row r="780" spans="1:15" x14ac:dyDescent="0.2">
      <c r="A780" s="21" t="str">
        <f t="shared" si="84"/>
        <v>y</v>
      </c>
      <c r="B780" s="24">
        <v>43926</v>
      </c>
      <c r="C780" t="s">
        <v>235</v>
      </c>
      <c r="D780" t="s">
        <v>13</v>
      </c>
      <c r="E780" t="s">
        <v>43</v>
      </c>
      <c r="F780" t="s">
        <v>2</v>
      </c>
      <c r="G780" t="s">
        <v>1112</v>
      </c>
      <c r="H780" t="s">
        <v>1969</v>
      </c>
      <c r="I780" s="22" t="str">
        <f t="shared" si="85"/>
        <v>2020-05-04</v>
      </c>
      <c r="J780" s="23" t="str">
        <f t="shared" si="86"/>
        <v>43</v>
      </c>
      <c r="K780" t="str">
        <f t="shared" si="87"/>
        <v>yes</v>
      </c>
      <c r="L780">
        <v>43</v>
      </c>
      <c r="M780" t="str">
        <f t="shared" si="88"/>
        <v>2020-05-04</v>
      </c>
      <c r="N780" s="20">
        <f t="shared" si="89"/>
        <v>43956</v>
      </c>
      <c r="O780" t="str">
        <f t="shared" si="90"/>
        <v>2020-05-05</v>
      </c>
    </row>
    <row r="781" spans="1:15" x14ac:dyDescent="0.2">
      <c r="A781" s="21" t="str">
        <f t="shared" si="84"/>
        <v>y</v>
      </c>
      <c r="B781" s="24">
        <v>43926</v>
      </c>
      <c r="C781" t="s">
        <v>65</v>
      </c>
      <c r="D781" t="s">
        <v>13</v>
      </c>
      <c r="E781" t="s">
        <v>64</v>
      </c>
      <c r="F781" t="s">
        <v>2</v>
      </c>
      <c r="G781" t="s">
        <v>1111</v>
      </c>
      <c r="H781" t="s">
        <v>2005</v>
      </c>
      <c r="I781" s="22" t="str">
        <f t="shared" si="85"/>
        <v>2020-05-04</v>
      </c>
      <c r="J781" s="23" t="str">
        <f t="shared" si="86"/>
        <v>43</v>
      </c>
      <c r="K781" t="str">
        <f t="shared" si="87"/>
        <v>yes</v>
      </c>
      <c r="L781">
        <v>43</v>
      </c>
      <c r="M781" t="str">
        <f t="shared" si="88"/>
        <v>2020-05-04</v>
      </c>
      <c r="N781" s="20">
        <f t="shared" si="89"/>
        <v>43956</v>
      </c>
      <c r="O781" t="str">
        <f t="shared" si="90"/>
        <v>2020-05-05</v>
      </c>
    </row>
    <row r="782" spans="1:15" x14ac:dyDescent="0.2">
      <c r="A782" s="21" t="str">
        <f t="shared" si="84"/>
        <v>y</v>
      </c>
      <c r="B782" s="24">
        <v>43926</v>
      </c>
      <c r="C782" t="s">
        <v>1064</v>
      </c>
      <c r="D782" t="s">
        <v>13</v>
      </c>
      <c r="E782" t="s">
        <v>34</v>
      </c>
      <c r="F782" t="s">
        <v>2</v>
      </c>
      <c r="G782" t="s">
        <v>1110</v>
      </c>
      <c r="H782" t="s">
        <v>2006</v>
      </c>
      <c r="I782" s="22" t="str">
        <f t="shared" si="85"/>
        <v>2020-05-04</v>
      </c>
      <c r="J782" s="23" t="str">
        <f t="shared" si="86"/>
        <v>43</v>
      </c>
      <c r="K782" t="str">
        <f t="shared" si="87"/>
        <v>yes</v>
      </c>
      <c r="L782">
        <v>43</v>
      </c>
      <c r="M782" t="str">
        <f t="shared" si="88"/>
        <v>2020-05-04</v>
      </c>
      <c r="N782" s="20">
        <f t="shared" si="89"/>
        <v>43956</v>
      </c>
      <c r="O782" t="str">
        <f t="shared" si="90"/>
        <v>2020-05-05</v>
      </c>
    </row>
    <row r="783" spans="1:15" x14ac:dyDescent="0.2">
      <c r="A783" s="21" t="str">
        <f t="shared" si="84"/>
        <v>y</v>
      </c>
      <c r="B783" s="24">
        <v>43895</v>
      </c>
      <c r="C783" t="s">
        <v>756</v>
      </c>
      <c r="D783" t="s">
        <v>13</v>
      </c>
      <c r="E783" t="s">
        <v>34</v>
      </c>
      <c r="F783" t="s">
        <v>2</v>
      </c>
      <c r="H783" t="s">
        <v>1958</v>
      </c>
      <c r="I783" s="22" t="str">
        <f t="shared" si="85"/>
        <v>2020-05-03</v>
      </c>
      <c r="J783" s="23" t="str">
        <f t="shared" si="86"/>
        <v>43</v>
      </c>
      <c r="K783" t="str">
        <f t="shared" si="87"/>
        <v>yes</v>
      </c>
      <c r="L783">
        <v>43</v>
      </c>
      <c r="M783" t="str">
        <f t="shared" si="88"/>
        <v>2020-05-03</v>
      </c>
      <c r="N783" s="20">
        <f t="shared" si="89"/>
        <v>43955</v>
      </c>
      <c r="O783" t="str">
        <f t="shared" si="90"/>
        <v>2020-05-04</v>
      </c>
    </row>
    <row r="784" spans="1:15" x14ac:dyDescent="0.2">
      <c r="A784" s="21" t="str">
        <f t="shared" si="84"/>
        <v>y</v>
      </c>
      <c r="B784" s="24">
        <v>43895</v>
      </c>
      <c r="C784" t="s">
        <v>235</v>
      </c>
      <c r="D784" t="s">
        <v>13</v>
      </c>
      <c r="E784" t="s">
        <v>43</v>
      </c>
      <c r="F784" t="s">
        <v>2</v>
      </c>
      <c r="G784" t="s">
        <v>1109</v>
      </c>
      <c r="H784" t="s">
        <v>1969</v>
      </c>
      <c r="I784" s="22" t="str">
        <f t="shared" si="85"/>
        <v>2020-05-03</v>
      </c>
      <c r="J784" s="23" t="str">
        <f t="shared" si="86"/>
        <v>43</v>
      </c>
      <c r="K784" t="str">
        <f t="shared" si="87"/>
        <v>yes</v>
      </c>
      <c r="L784">
        <v>43</v>
      </c>
      <c r="M784" t="str">
        <f t="shared" si="88"/>
        <v>2020-05-03</v>
      </c>
      <c r="N784" s="20">
        <f t="shared" si="89"/>
        <v>43955</v>
      </c>
      <c r="O784" t="str">
        <f t="shared" si="90"/>
        <v>2020-05-04</v>
      </c>
    </row>
    <row r="785" spans="1:15" x14ac:dyDescent="0.2">
      <c r="A785" s="21" t="str">
        <f t="shared" si="84"/>
        <v>y</v>
      </c>
      <c r="B785" s="24">
        <v>43895</v>
      </c>
      <c r="C785" t="s">
        <v>1064</v>
      </c>
      <c r="D785" t="s">
        <v>13</v>
      </c>
      <c r="E785" t="s">
        <v>27</v>
      </c>
      <c r="F785" t="s">
        <v>29</v>
      </c>
      <c r="G785" t="s">
        <v>1108</v>
      </c>
      <c r="H785" t="s">
        <v>2005</v>
      </c>
      <c r="I785" s="22" t="str">
        <f t="shared" si="85"/>
        <v>2020-05-03</v>
      </c>
      <c r="J785" s="23" t="str">
        <f t="shared" si="86"/>
        <v>43</v>
      </c>
      <c r="K785" t="str">
        <f t="shared" si="87"/>
        <v>yes</v>
      </c>
      <c r="L785">
        <v>43</v>
      </c>
      <c r="M785" t="str">
        <f t="shared" si="88"/>
        <v>2020-05-03</v>
      </c>
      <c r="N785" s="20" t="str">
        <f t="shared" si="89"/>
        <v>2020-05-03</v>
      </c>
      <c r="O785" t="str">
        <f t="shared" si="90"/>
        <v>2020-05-03</v>
      </c>
    </row>
    <row r="786" spans="1:15" x14ac:dyDescent="0.2">
      <c r="A786" s="21" t="str">
        <f t="shared" si="84"/>
        <v>y</v>
      </c>
      <c r="B786" s="24">
        <v>43895</v>
      </c>
      <c r="C786" t="s">
        <v>65</v>
      </c>
      <c r="D786" t="s">
        <v>13</v>
      </c>
      <c r="E786" t="s">
        <v>64</v>
      </c>
      <c r="F786" t="s">
        <v>2</v>
      </c>
      <c r="H786" t="s">
        <v>2006</v>
      </c>
      <c r="I786" s="22" t="str">
        <f t="shared" si="85"/>
        <v>2020-05-03</v>
      </c>
      <c r="J786" s="23" t="str">
        <f t="shared" si="86"/>
        <v>43</v>
      </c>
      <c r="K786" t="str">
        <f t="shared" si="87"/>
        <v>yes</v>
      </c>
      <c r="L786">
        <v>43</v>
      </c>
      <c r="M786" t="str">
        <f t="shared" si="88"/>
        <v>2020-05-03</v>
      </c>
      <c r="N786" s="20">
        <f t="shared" si="89"/>
        <v>43955</v>
      </c>
      <c r="O786" t="str">
        <f t="shared" si="90"/>
        <v>2020-05-04</v>
      </c>
    </row>
    <row r="787" spans="1:15" x14ac:dyDescent="0.2">
      <c r="A787" s="21" t="str">
        <f t="shared" si="84"/>
        <v>y</v>
      </c>
      <c r="B787" s="24" t="s">
        <v>1718</v>
      </c>
      <c r="C787" t="s">
        <v>756</v>
      </c>
      <c r="D787" t="s">
        <v>13</v>
      </c>
      <c r="E787" t="s">
        <v>34</v>
      </c>
      <c r="F787" t="s">
        <v>2</v>
      </c>
      <c r="H787" t="s">
        <v>1958</v>
      </c>
      <c r="I787" s="22" t="str">
        <f t="shared" si="85"/>
        <v>2020-04-30</v>
      </c>
      <c r="J787" s="23" t="str">
        <f t="shared" si="86"/>
        <v>30</v>
      </c>
      <c r="K787" t="str">
        <f t="shared" si="87"/>
        <v>no</v>
      </c>
      <c r="L787">
        <v>30</v>
      </c>
      <c r="M787" t="str">
        <f t="shared" si="88"/>
        <v>2020-04-30</v>
      </c>
      <c r="N787" s="20">
        <f t="shared" si="89"/>
        <v>43952</v>
      </c>
      <c r="O787" t="str">
        <f t="shared" si="90"/>
        <v>2020-05-01</v>
      </c>
    </row>
    <row r="788" spans="1:15" x14ac:dyDescent="0.2">
      <c r="A788" s="21" t="str">
        <f t="shared" si="84"/>
        <v>y</v>
      </c>
      <c r="B788" s="24" t="s">
        <v>1718</v>
      </c>
      <c r="C788" t="s">
        <v>235</v>
      </c>
      <c r="D788" t="s">
        <v>13</v>
      </c>
      <c r="E788" t="s">
        <v>28</v>
      </c>
      <c r="F788" t="s">
        <v>29</v>
      </c>
      <c r="G788" t="s">
        <v>1107</v>
      </c>
      <c r="H788" t="s">
        <v>2007</v>
      </c>
      <c r="I788" s="22" t="str">
        <f t="shared" si="85"/>
        <v>2020-04-30</v>
      </c>
      <c r="J788" s="23" t="str">
        <f t="shared" si="86"/>
        <v>30</v>
      </c>
      <c r="K788" t="str">
        <f t="shared" si="87"/>
        <v>no</v>
      </c>
      <c r="L788">
        <v>30</v>
      </c>
      <c r="M788" t="str">
        <f t="shared" si="88"/>
        <v>2020-04-30</v>
      </c>
      <c r="N788" s="20" t="str">
        <f t="shared" si="89"/>
        <v>2020-04-30</v>
      </c>
      <c r="O788" t="str">
        <f t="shared" si="90"/>
        <v>2020-04-30</v>
      </c>
    </row>
    <row r="789" spans="1:15" x14ac:dyDescent="0.2">
      <c r="A789" s="21" t="str">
        <f t="shared" si="84"/>
        <v>y</v>
      </c>
      <c r="B789" s="24" t="s">
        <v>1718</v>
      </c>
      <c r="C789" t="s">
        <v>756</v>
      </c>
      <c r="D789" t="s">
        <v>13</v>
      </c>
      <c r="E789" t="s">
        <v>8</v>
      </c>
      <c r="F789" t="s">
        <v>29</v>
      </c>
      <c r="G789" t="s">
        <v>1104</v>
      </c>
      <c r="H789" t="s">
        <v>2008</v>
      </c>
      <c r="I789" s="22" t="str">
        <f t="shared" si="85"/>
        <v>2020-04-30</v>
      </c>
      <c r="J789" s="23" t="str">
        <f t="shared" si="86"/>
        <v>30</v>
      </c>
      <c r="K789" t="str">
        <f t="shared" si="87"/>
        <v>no</v>
      </c>
      <c r="L789">
        <v>30</v>
      </c>
      <c r="M789" t="str">
        <f t="shared" si="88"/>
        <v>2020-04-30</v>
      </c>
      <c r="N789" s="20" t="str">
        <f t="shared" si="89"/>
        <v>2020-04-30</v>
      </c>
      <c r="O789" t="str">
        <f t="shared" si="90"/>
        <v>2020-04-30</v>
      </c>
    </row>
    <row r="790" spans="1:15" x14ac:dyDescent="0.2">
      <c r="A790" s="21" t="str">
        <f t="shared" si="84"/>
        <v>y</v>
      </c>
      <c r="B790" s="24" t="s">
        <v>1718</v>
      </c>
      <c r="C790" t="s">
        <v>1101</v>
      </c>
      <c r="D790" t="s">
        <v>13</v>
      </c>
      <c r="E790" t="s">
        <v>27</v>
      </c>
      <c r="F790" t="s">
        <v>29</v>
      </c>
      <c r="G790" t="s">
        <v>1105</v>
      </c>
      <c r="H790" t="s">
        <v>1958</v>
      </c>
      <c r="I790" s="22" t="str">
        <f t="shared" si="85"/>
        <v>2020-04-30</v>
      </c>
      <c r="J790" s="23" t="str">
        <f t="shared" si="86"/>
        <v>30</v>
      </c>
      <c r="K790" t="str">
        <f t="shared" si="87"/>
        <v>no</v>
      </c>
      <c r="L790">
        <v>30</v>
      </c>
      <c r="M790" t="str">
        <f t="shared" si="88"/>
        <v>2020-04-30</v>
      </c>
      <c r="N790" s="20" t="str">
        <f t="shared" si="89"/>
        <v>2020-04-30</v>
      </c>
      <c r="O790" t="str">
        <f t="shared" si="90"/>
        <v>2020-04-30</v>
      </c>
    </row>
    <row r="791" spans="1:15" x14ac:dyDescent="0.2">
      <c r="A791" s="21" t="str">
        <f t="shared" si="84"/>
        <v>y</v>
      </c>
      <c r="B791" s="24" t="s">
        <v>1718</v>
      </c>
      <c r="C791" t="s">
        <v>235</v>
      </c>
      <c r="D791" t="s">
        <v>13</v>
      </c>
      <c r="E791" t="s">
        <v>43</v>
      </c>
      <c r="F791" t="s">
        <v>29</v>
      </c>
      <c r="G791" t="s">
        <v>1106</v>
      </c>
      <c r="H791" t="s">
        <v>2006</v>
      </c>
      <c r="I791" s="22" t="str">
        <f t="shared" si="85"/>
        <v>2020-04-30</v>
      </c>
      <c r="J791" s="23" t="str">
        <f t="shared" si="86"/>
        <v>30</v>
      </c>
      <c r="K791" t="str">
        <f t="shared" si="87"/>
        <v>no</v>
      </c>
      <c r="L791">
        <v>30</v>
      </c>
      <c r="M791" t="str">
        <f t="shared" si="88"/>
        <v>2020-04-30</v>
      </c>
      <c r="N791" s="20" t="str">
        <f t="shared" si="89"/>
        <v>2020-04-30</v>
      </c>
      <c r="O791" t="str">
        <f t="shared" si="90"/>
        <v>2020-04-30</v>
      </c>
    </row>
    <row r="792" spans="1:15" x14ac:dyDescent="0.2">
      <c r="A792" s="21" t="str">
        <f t="shared" si="84"/>
        <v>y</v>
      </c>
      <c r="B792" s="24" t="s">
        <v>1719</v>
      </c>
      <c r="C792" t="s">
        <v>756</v>
      </c>
      <c r="D792" t="s">
        <v>13</v>
      </c>
      <c r="E792" t="s">
        <v>34</v>
      </c>
      <c r="F792" t="s">
        <v>2</v>
      </c>
      <c r="H792" t="s">
        <v>1958</v>
      </c>
      <c r="I792" s="22" t="str">
        <f t="shared" si="85"/>
        <v>2020-04-29</v>
      </c>
      <c r="J792" s="23" t="str">
        <f t="shared" si="86"/>
        <v>29</v>
      </c>
      <c r="K792" t="str">
        <f t="shared" si="87"/>
        <v>no</v>
      </c>
      <c r="L792">
        <v>29</v>
      </c>
      <c r="M792" t="str">
        <f t="shared" si="88"/>
        <v>2020-04-29</v>
      </c>
      <c r="N792" s="20">
        <f t="shared" si="89"/>
        <v>43951</v>
      </c>
      <c r="O792" t="str">
        <f t="shared" si="90"/>
        <v>2020-04-30</v>
      </c>
    </row>
    <row r="793" spans="1:15" x14ac:dyDescent="0.2">
      <c r="A793" s="21" t="str">
        <f t="shared" si="84"/>
        <v>y</v>
      </c>
      <c r="B793" s="24" t="s">
        <v>1719</v>
      </c>
      <c r="C793" t="s">
        <v>235</v>
      </c>
      <c r="D793" t="s">
        <v>13</v>
      </c>
      <c r="E793" t="s">
        <v>28</v>
      </c>
      <c r="F793" t="s">
        <v>2</v>
      </c>
      <c r="G793" t="s">
        <v>1102</v>
      </c>
      <c r="H793" t="s">
        <v>2006</v>
      </c>
      <c r="I793" s="22" t="str">
        <f t="shared" si="85"/>
        <v>2020-04-29</v>
      </c>
      <c r="J793" s="23" t="str">
        <f t="shared" si="86"/>
        <v>29</v>
      </c>
      <c r="K793" t="str">
        <f t="shared" si="87"/>
        <v>no</v>
      </c>
      <c r="L793">
        <v>29</v>
      </c>
      <c r="M793" t="str">
        <f t="shared" si="88"/>
        <v>2020-04-29</v>
      </c>
      <c r="N793" s="20">
        <f t="shared" si="89"/>
        <v>43951</v>
      </c>
      <c r="O793" t="str">
        <f t="shared" si="90"/>
        <v>2020-04-30</v>
      </c>
    </row>
    <row r="794" spans="1:15" x14ac:dyDescent="0.2">
      <c r="A794" s="21" t="str">
        <f t="shared" si="84"/>
        <v>y</v>
      </c>
      <c r="B794" s="24" t="s">
        <v>1720</v>
      </c>
      <c r="C794" t="s">
        <v>756</v>
      </c>
      <c r="D794" t="s">
        <v>13</v>
      </c>
      <c r="E794" t="s">
        <v>34</v>
      </c>
      <c r="F794" t="s">
        <v>2</v>
      </c>
      <c r="H794" t="s">
        <v>1958</v>
      </c>
      <c r="I794" s="22" t="str">
        <f t="shared" si="85"/>
        <v>2020-04-28</v>
      </c>
      <c r="J794" s="23" t="str">
        <f t="shared" si="86"/>
        <v>28</v>
      </c>
      <c r="K794" t="str">
        <f t="shared" si="87"/>
        <v>no</v>
      </c>
      <c r="L794">
        <v>28</v>
      </c>
      <c r="M794" t="str">
        <f t="shared" si="88"/>
        <v>2020-04-28</v>
      </c>
      <c r="N794" s="20">
        <f t="shared" si="89"/>
        <v>43950</v>
      </c>
      <c r="O794" t="str">
        <f t="shared" si="90"/>
        <v>2020-04-29</v>
      </c>
    </row>
    <row r="795" spans="1:15" x14ac:dyDescent="0.2">
      <c r="A795" s="21" t="str">
        <f t="shared" si="84"/>
        <v>y</v>
      </c>
      <c r="B795" s="24" t="s">
        <v>1720</v>
      </c>
      <c r="C795" t="s">
        <v>235</v>
      </c>
      <c r="D795" t="s">
        <v>13</v>
      </c>
      <c r="E795" t="s">
        <v>28</v>
      </c>
      <c r="F795" t="s">
        <v>2</v>
      </c>
      <c r="H795" t="s">
        <v>1964</v>
      </c>
      <c r="I795" s="22" t="str">
        <f t="shared" si="85"/>
        <v>2020-04-28</v>
      </c>
      <c r="J795" s="23" t="str">
        <f t="shared" si="86"/>
        <v>28</v>
      </c>
      <c r="K795" t="str">
        <f t="shared" si="87"/>
        <v>no</v>
      </c>
      <c r="L795">
        <v>28</v>
      </c>
      <c r="M795" t="str">
        <f t="shared" si="88"/>
        <v>2020-04-28</v>
      </c>
      <c r="N795" s="20">
        <f t="shared" si="89"/>
        <v>43950</v>
      </c>
      <c r="O795" t="str">
        <f t="shared" si="90"/>
        <v>2020-04-29</v>
      </c>
    </row>
    <row r="796" spans="1:15" x14ac:dyDescent="0.2">
      <c r="A796" s="21" t="str">
        <f t="shared" si="84"/>
        <v>y</v>
      </c>
      <c r="B796" s="24" t="s">
        <v>1720</v>
      </c>
      <c r="C796" t="s">
        <v>235</v>
      </c>
      <c r="D796" t="s">
        <v>13</v>
      </c>
      <c r="E796" t="s">
        <v>8</v>
      </c>
      <c r="F796" t="s">
        <v>29</v>
      </c>
      <c r="G796" t="s">
        <v>1100</v>
      </c>
      <c r="H796" t="s">
        <v>1998</v>
      </c>
      <c r="I796" s="22" t="str">
        <f t="shared" si="85"/>
        <v>2020-04-28</v>
      </c>
      <c r="J796" s="23" t="str">
        <f t="shared" si="86"/>
        <v>28</v>
      </c>
      <c r="K796" t="str">
        <f t="shared" si="87"/>
        <v>no</v>
      </c>
      <c r="L796">
        <v>28</v>
      </c>
      <c r="M796" t="str">
        <f t="shared" si="88"/>
        <v>2020-04-28</v>
      </c>
      <c r="N796" s="20" t="str">
        <f t="shared" si="89"/>
        <v>2020-04-28</v>
      </c>
      <c r="O796" t="str">
        <f t="shared" si="90"/>
        <v>2020-04-28</v>
      </c>
    </row>
    <row r="797" spans="1:15" x14ac:dyDescent="0.2">
      <c r="A797" s="21" t="str">
        <f t="shared" si="84"/>
        <v>y</v>
      </c>
      <c r="B797" s="24" t="s">
        <v>1720</v>
      </c>
      <c r="C797" t="s">
        <v>345</v>
      </c>
      <c r="D797" t="s">
        <v>13</v>
      </c>
      <c r="E797" t="s">
        <v>34</v>
      </c>
      <c r="F797" t="s">
        <v>29</v>
      </c>
      <c r="G797" t="s">
        <v>1103</v>
      </c>
      <c r="H797" t="s">
        <v>2006</v>
      </c>
      <c r="I797" s="22" t="str">
        <f t="shared" si="85"/>
        <v>2020-04-28</v>
      </c>
      <c r="J797" s="23" t="str">
        <f t="shared" si="86"/>
        <v>28</v>
      </c>
      <c r="K797" t="str">
        <f t="shared" si="87"/>
        <v>no</v>
      </c>
      <c r="L797">
        <v>28</v>
      </c>
      <c r="M797" t="str">
        <f t="shared" si="88"/>
        <v>2020-04-28</v>
      </c>
      <c r="N797" s="20" t="str">
        <f t="shared" si="89"/>
        <v>2020-04-28</v>
      </c>
      <c r="O797" t="str">
        <f t="shared" si="90"/>
        <v>2020-04-28</v>
      </c>
    </row>
    <row r="798" spans="1:15" x14ac:dyDescent="0.2">
      <c r="A798" s="21" t="str">
        <f t="shared" si="84"/>
        <v>y</v>
      </c>
      <c r="B798" s="24" t="s">
        <v>1721</v>
      </c>
      <c r="C798" t="s">
        <v>756</v>
      </c>
      <c r="D798" t="s">
        <v>13</v>
      </c>
      <c r="E798" t="s">
        <v>34</v>
      </c>
      <c r="F798" t="s">
        <v>2</v>
      </c>
      <c r="H798" t="s">
        <v>1958</v>
      </c>
      <c r="I798" s="22" t="str">
        <f t="shared" si="85"/>
        <v>2020-04-27</v>
      </c>
      <c r="J798" s="23" t="str">
        <f t="shared" si="86"/>
        <v>27</v>
      </c>
      <c r="K798" t="str">
        <f t="shared" si="87"/>
        <v>no</v>
      </c>
      <c r="L798">
        <v>27</v>
      </c>
      <c r="M798" t="str">
        <f t="shared" si="88"/>
        <v>2020-04-27</v>
      </c>
      <c r="N798" s="20">
        <f t="shared" si="89"/>
        <v>43949</v>
      </c>
      <c r="O798" t="str">
        <f t="shared" si="90"/>
        <v>2020-04-28</v>
      </c>
    </row>
    <row r="799" spans="1:15" x14ac:dyDescent="0.2">
      <c r="A799" s="21" t="str">
        <f t="shared" si="84"/>
        <v>y</v>
      </c>
      <c r="B799" s="24" t="s">
        <v>1721</v>
      </c>
      <c r="C799" t="s">
        <v>235</v>
      </c>
      <c r="D799" t="s">
        <v>13</v>
      </c>
      <c r="E799" t="s">
        <v>43</v>
      </c>
      <c r="F799" t="s">
        <v>29</v>
      </c>
      <c r="G799" t="s">
        <v>1097</v>
      </c>
      <c r="H799" t="s">
        <v>1958</v>
      </c>
      <c r="I799" s="22" t="str">
        <f t="shared" si="85"/>
        <v>2020-04-27</v>
      </c>
      <c r="J799" s="23" t="str">
        <f t="shared" si="86"/>
        <v>27</v>
      </c>
      <c r="K799" t="str">
        <f t="shared" si="87"/>
        <v>no</v>
      </c>
      <c r="L799">
        <v>27</v>
      </c>
      <c r="M799" t="str">
        <f t="shared" si="88"/>
        <v>2020-04-27</v>
      </c>
      <c r="N799" s="20" t="str">
        <f t="shared" si="89"/>
        <v>2020-04-27</v>
      </c>
      <c r="O799" t="str">
        <f t="shared" si="90"/>
        <v>2020-04-27</v>
      </c>
    </row>
    <row r="800" spans="1:15" x14ac:dyDescent="0.2">
      <c r="A800" s="21" t="str">
        <f t="shared" si="84"/>
        <v>y</v>
      </c>
      <c r="B800" s="24" t="s">
        <v>1721</v>
      </c>
      <c r="C800" t="s">
        <v>235</v>
      </c>
      <c r="D800" t="s">
        <v>13</v>
      </c>
      <c r="E800" t="s">
        <v>28</v>
      </c>
      <c r="F800" t="s">
        <v>2</v>
      </c>
      <c r="G800" t="s">
        <v>1098</v>
      </c>
      <c r="H800" t="s">
        <v>1976</v>
      </c>
      <c r="I800" s="22" t="str">
        <f t="shared" si="85"/>
        <v>2020-04-27</v>
      </c>
      <c r="J800" s="23" t="str">
        <f t="shared" si="86"/>
        <v>27</v>
      </c>
      <c r="K800" t="str">
        <f t="shared" si="87"/>
        <v>no</v>
      </c>
      <c r="L800">
        <v>27</v>
      </c>
      <c r="M800" t="str">
        <f t="shared" si="88"/>
        <v>2020-04-27</v>
      </c>
      <c r="N800" s="20">
        <f t="shared" si="89"/>
        <v>43949</v>
      </c>
      <c r="O800" t="str">
        <f t="shared" si="90"/>
        <v>2020-04-28</v>
      </c>
    </row>
    <row r="801" spans="1:15" x14ac:dyDescent="0.2">
      <c r="A801" s="21" t="str">
        <f t="shared" si="84"/>
        <v>y</v>
      </c>
      <c r="B801" s="24" t="s">
        <v>1721</v>
      </c>
      <c r="C801" t="s">
        <v>616</v>
      </c>
      <c r="D801" t="s">
        <v>13</v>
      </c>
      <c r="E801" t="s">
        <v>34</v>
      </c>
      <c r="F801" t="s">
        <v>29</v>
      </c>
      <c r="G801" t="s">
        <v>1099</v>
      </c>
      <c r="H801" t="s">
        <v>1964</v>
      </c>
      <c r="I801" s="22" t="str">
        <f t="shared" si="85"/>
        <v>2020-04-27</v>
      </c>
      <c r="J801" s="23" t="str">
        <f t="shared" si="86"/>
        <v>27</v>
      </c>
      <c r="K801" t="str">
        <f t="shared" si="87"/>
        <v>no</v>
      </c>
      <c r="L801">
        <v>27</v>
      </c>
      <c r="M801" t="str">
        <f t="shared" si="88"/>
        <v>2020-04-27</v>
      </c>
      <c r="N801" s="20" t="str">
        <f t="shared" si="89"/>
        <v>2020-04-27</v>
      </c>
      <c r="O801" t="str">
        <f t="shared" si="90"/>
        <v>2020-04-27</v>
      </c>
    </row>
    <row r="802" spans="1:15" x14ac:dyDescent="0.2">
      <c r="A802" s="21" t="str">
        <f t="shared" si="84"/>
        <v>y</v>
      </c>
      <c r="B802" s="24" t="s">
        <v>1721</v>
      </c>
      <c r="C802" t="s">
        <v>345</v>
      </c>
      <c r="D802" t="s">
        <v>13</v>
      </c>
      <c r="E802" t="s">
        <v>34</v>
      </c>
      <c r="F802" t="s">
        <v>2</v>
      </c>
      <c r="H802" t="s">
        <v>1976</v>
      </c>
      <c r="I802" s="22" t="str">
        <f t="shared" si="85"/>
        <v>2020-04-27</v>
      </c>
      <c r="J802" s="23" t="str">
        <f t="shared" si="86"/>
        <v>27</v>
      </c>
      <c r="K802" t="str">
        <f t="shared" si="87"/>
        <v>no</v>
      </c>
      <c r="L802">
        <v>27</v>
      </c>
      <c r="M802" t="str">
        <f t="shared" si="88"/>
        <v>2020-04-27</v>
      </c>
      <c r="N802" s="20">
        <f t="shared" si="89"/>
        <v>43949</v>
      </c>
      <c r="O802" t="str">
        <f t="shared" si="90"/>
        <v>2020-04-28</v>
      </c>
    </row>
    <row r="803" spans="1:15" x14ac:dyDescent="0.2">
      <c r="A803" s="21" t="str">
        <f t="shared" si="84"/>
        <v>y</v>
      </c>
      <c r="B803" s="24" t="s">
        <v>1722</v>
      </c>
      <c r="C803" t="s">
        <v>616</v>
      </c>
      <c r="D803" t="s">
        <v>13</v>
      </c>
      <c r="E803" t="s">
        <v>34</v>
      </c>
      <c r="F803" t="s">
        <v>29</v>
      </c>
      <c r="G803" t="s">
        <v>1094</v>
      </c>
      <c r="H803" t="s">
        <v>1958</v>
      </c>
      <c r="I803" s="22" t="str">
        <f t="shared" si="85"/>
        <v>2020-04-26</v>
      </c>
      <c r="J803" s="23" t="str">
        <f t="shared" si="86"/>
        <v>26</v>
      </c>
      <c r="K803" t="str">
        <f t="shared" si="87"/>
        <v>no</v>
      </c>
      <c r="L803">
        <v>26</v>
      </c>
      <c r="M803" t="str">
        <f t="shared" si="88"/>
        <v>2020-04-26</v>
      </c>
      <c r="N803" s="20" t="str">
        <f t="shared" si="89"/>
        <v>2020-04-26</v>
      </c>
      <c r="O803" t="str">
        <f t="shared" si="90"/>
        <v>2020-04-26</v>
      </c>
    </row>
    <row r="804" spans="1:15" x14ac:dyDescent="0.2">
      <c r="A804" s="21" t="str">
        <f t="shared" si="84"/>
        <v>y</v>
      </c>
      <c r="B804" s="24" t="s">
        <v>1722</v>
      </c>
      <c r="C804" t="s">
        <v>235</v>
      </c>
      <c r="D804" t="s">
        <v>13</v>
      </c>
      <c r="E804" t="s">
        <v>34</v>
      </c>
      <c r="F804" t="s">
        <v>29</v>
      </c>
      <c r="G804" t="s">
        <v>1096</v>
      </c>
      <c r="H804" t="s">
        <v>2006</v>
      </c>
      <c r="I804" s="22" t="str">
        <f t="shared" si="85"/>
        <v>2020-04-26</v>
      </c>
      <c r="J804" s="23" t="str">
        <f t="shared" si="86"/>
        <v>26</v>
      </c>
      <c r="K804" t="str">
        <f t="shared" si="87"/>
        <v>no</v>
      </c>
      <c r="L804">
        <v>26</v>
      </c>
      <c r="M804" t="str">
        <f t="shared" si="88"/>
        <v>2020-04-26</v>
      </c>
      <c r="N804" s="20" t="str">
        <f t="shared" si="89"/>
        <v>2020-04-26</v>
      </c>
      <c r="O804" t="str">
        <f t="shared" si="90"/>
        <v>2020-04-26</v>
      </c>
    </row>
    <row r="805" spans="1:15" x14ac:dyDescent="0.2">
      <c r="A805" s="21" t="str">
        <f t="shared" si="84"/>
        <v>y</v>
      </c>
      <c r="B805" s="24" t="s">
        <v>1722</v>
      </c>
      <c r="C805" t="s">
        <v>756</v>
      </c>
      <c r="D805" t="s">
        <v>13</v>
      </c>
      <c r="E805" t="s">
        <v>34</v>
      </c>
      <c r="F805" t="s">
        <v>2</v>
      </c>
      <c r="H805" t="s">
        <v>2006</v>
      </c>
      <c r="I805" s="22" t="str">
        <f t="shared" si="85"/>
        <v>2020-04-26</v>
      </c>
      <c r="J805" s="23" t="str">
        <f t="shared" si="86"/>
        <v>26</v>
      </c>
      <c r="K805" t="str">
        <f t="shared" si="87"/>
        <v>no</v>
      </c>
      <c r="L805">
        <v>26</v>
      </c>
      <c r="M805" t="str">
        <f t="shared" si="88"/>
        <v>2020-04-26</v>
      </c>
      <c r="N805" s="20">
        <f t="shared" si="89"/>
        <v>43948</v>
      </c>
      <c r="O805" t="str">
        <f t="shared" si="90"/>
        <v>2020-04-27</v>
      </c>
    </row>
    <row r="806" spans="1:15" x14ac:dyDescent="0.2">
      <c r="A806" s="21" t="str">
        <f t="shared" si="84"/>
        <v>y</v>
      </c>
      <c r="B806" s="24" t="s">
        <v>1722</v>
      </c>
      <c r="C806" t="s">
        <v>756</v>
      </c>
      <c r="D806" t="s">
        <v>13</v>
      </c>
      <c r="E806" t="s">
        <v>8</v>
      </c>
      <c r="F806" t="s">
        <v>29</v>
      </c>
      <c r="G806" t="s">
        <v>1095</v>
      </c>
      <c r="H806" t="s">
        <v>1958</v>
      </c>
      <c r="I806" s="22" t="str">
        <f t="shared" si="85"/>
        <v>2020-04-26</v>
      </c>
      <c r="J806" s="23" t="str">
        <f t="shared" si="86"/>
        <v>26</v>
      </c>
      <c r="K806" t="str">
        <f t="shared" si="87"/>
        <v>no</v>
      </c>
      <c r="L806">
        <v>26</v>
      </c>
      <c r="M806" t="str">
        <f t="shared" si="88"/>
        <v>2020-04-26</v>
      </c>
      <c r="N806" s="20" t="str">
        <f t="shared" si="89"/>
        <v>2020-04-26</v>
      </c>
      <c r="O806" t="str">
        <f t="shared" si="90"/>
        <v>2020-04-26</v>
      </c>
    </row>
    <row r="807" spans="1:15" x14ac:dyDescent="0.2">
      <c r="A807" s="21" t="str">
        <f t="shared" si="84"/>
        <v>y</v>
      </c>
      <c r="B807" s="24" t="s">
        <v>1723</v>
      </c>
      <c r="C807" t="s">
        <v>235</v>
      </c>
      <c r="D807" t="s">
        <v>13</v>
      </c>
      <c r="E807" t="s">
        <v>43</v>
      </c>
      <c r="F807" t="s">
        <v>29</v>
      </c>
      <c r="G807" t="s">
        <v>1093</v>
      </c>
      <c r="H807" t="s">
        <v>2009</v>
      </c>
      <c r="I807" s="22" t="str">
        <f t="shared" si="85"/>
        <v>2020-04-23</v>
      </c>
      <c r="J807" s="23" t="str">
        <f t="shared" si="86"/>
        <v>23</v>
      </c>
      <c r="K807" t="str">
        <f t="shared" si="87"/>
        <v>no</v>
      </c>
      <c r="L807">
        <v>23</v>
      </c>
      <c r="M807" t="str">
        <f t="shared" si="88"/>
        <v>2020-04-23</v>
      </c>
      <c r="N807" s="20" t="str">
        <f t="shared" si="89"/>
        <v>2020-04-23</v>
      </c>
      <c r="O807" t="str">
        <f t="shared" si="90"/>
        <v>2020-04-23</v>
      </c>
    </row>
    <row r="808" spans="1:15" x14ac:dyDescent="0.2">
      <c r="A808" s="21" t="str">
        <f t="shared" si="84"/>
        <v>y</v>
      </c>
      <c r="B808" s="24" t="s">
        <v>1723</v>
      </c>
      <c r="C808" t="s">
        <v>756</v>
      </c>
      <c r="D808" t="s">
        <v>13</v>
      </c>
      <c r="E808" t="s">
        <v>43</v>
      </c>
      <c r="F808" t="s">
        <v>2</v>
      </c>
      <c r="G808" t="s">
        <v>1091</v>
      </c>
      <c r="H808" t="s">
        <v>1958</v>
      </c>
      <c r="I808" s="22" t="str">
        <f t="shared" si="85"/>
        <v>2020-04-23</v>
      </c>
      <c r="J808" s="23" t="str">
        <f t="shared" si="86"/>
        <v>23</v>
      </c>
      <c r="K808" t="str">
        <f t="shared" si="87"/>
        <v>no</v>
      </c>
      <c r="L808">
        <v>23</v>
      </c>
      <c r="M808" t="str">
        <f t="shared" si="88"/>
        <v>2020-04-23</v>
      </c>
      <c r="N808" s="20">
        <f t="shared" si="89"/>
        <v>43945</v>
      </c>
      <c r="O808" t="str">
        <f t="shared" si="90"/>
        <v>2020-04-24</v>
      </c>
    </row>
    <row r="809" spans="1:15" x14ac:dyDescent="0.2">
      <c r="A809" s="21" t="str">
        <f t="shared" si="84"/>
        <v>y</v>
      </c>
      <c r="B809" s="24" t="s">
        <v>1724</v>
      </c>
      <c r="C809" t="s">
        <v>235</v>
      </c>
      <c r="D809" t="s">
        <v>13</v>
      </c>
      <c r="E809" t="s">
        <v>43</v>
      </c>
      <c r="F809" t="s">
        <v>2</v>
      </c>
      <c r="H809" t="s">
        <v>2009</v>
      </c>
      <c r="I809" s="22" t="str">
        <f t="shared" si="85"/>
        <v>2020-04-22</v>
      </c>
      <c r="J809" s="23" t="str">
        <f t="shared" si="86"/>
        <v>22</v>
      </c>
      <c r="K809" t="str">
        <f t="shared" si="87"/>
        <v>no</v>
      </c>
      <c r="L809">
        <v>22</v>
      </c>
      <c r="M809" t="str">
        <f t="shared" si="88"/>
        <v>2020-04-22</v>
      </c>
      <c r="N809" s="20">
        <f t="shared" si="89"/>
        <v>43944</v>
      </c>
      <c r="O809" t="str">
        <f t="shared" si="90"/>
        <v>2020-04-23</v>
      </c>
    </row>
    <row r="810" spans="1:15" x14ac:dyDescent="0.2">
      <c r="A810" s="21" t="str">
        <f t="shared" si="84"/>
        <v>y</v>
      </c>
      <c r="B810" s="24" t="s">
        <v>1724</v>
      </c>
      <c r="C810" t="s">
        <v>756</v>
      </c>
      <c r="D810" t="s">
        <v>13</v>
      </c>
      <c r="E810" t="s">
        <v>43</v>
      </c>
      <c r="F810" t="s">
        <v>2</v>
      </c>
      <c r="G810" t="s">
        <v>1090</v>
      </c>
      <c r="H810" t="s">
        <v>1976</v>
      </c>
      <c r="I810" s="22" t="str">
        <f t="shared" si="85"/>
        <v>2020-04-22</v>
      </c>
      <c r="J810" s="23" t="str">
        <f t="shared" si="86"/>
        <v>22</v>
      </c>
      <c r="K810" t="str">
        <f t="shared" si="87"/>
        <v>no</v>
      </c>
      <c r="L810">
        <v>22</v>
      </c>
      <c r="M810" t="str">
        <f t="shared" si="88"/>
        <v>2020-04-22</v>
      </c>
      <c r="N810" s="20">
        <f t="shared" si="89"/>
        <v>43944</v>
      </c>
      <c r="O810" t="str">
        <f t="shared" si="90"/>
        <v>2020-04-23</v>
      </c>
    </row>
    <row r="811" spans="1:15" x14ac:dyDescent="0.2">
      <c r="A811" s="21" t="str">
        <f t="shared" si="84"/>
        <v>y</v>
      </c>
      <c r="B811" s="24" t="s">
        <v>1724</v>
      </c>
      <c r="C811" t="s">
        <v>616</v>
      </c>
      <c r="D811" t="s">
        <v>13</v>
      </c>
      <c r="E811" t="s">
        <v>34</v>
      </c>
      <c r="F811" t="s">
        <v>2</v>
      </c>
      <c r="G811" t="s">
        <v>1092</v>
      </c>
      <c r="H811" t="s">
        <v>1958</v>
      </c>
      <c r="I811" s="22" t="str">
        <f t="shared" si="85"/>
        <v>2020-04-22</v>
      </c>
      <c r="J811" s="23" t="str">
        <f t="shared" si="86"/>
        <v>22</v>
      </c>
      <c r="K811" t="str">
        <f t="shared" si="87"/>
        <v>no</v>
      </c>
      <c r="L811">
        <v>22</v>
      </c>
      <c r="M811" t="str">
        <f t="shared" si="88"/>
        <v>2020-04-22</v>
      </c>
      <c r="N811" s="20">
        <f t="shared" si="89"/>
        <v>43944</v>
      </c>
      <c r="O811" t="str">
        <f t="shared" si="90"/>
        <v>2020-04-23</v>
      </c>
    </row>
    <row r="812" spans="1:15" x14ac:dyDescent="0.2">
      <c r="A812" s="21" t="str">
        <f t="shared" si="84"/>
        <v>y</v>
      </c>
      <c r="B812" s="24" t="s">
        <v>1725</v>
      </c>
      <c r="C812" t="s">
        <v>235</v>
      </c>
      <c r="D812" t="s">
        <v>13</v>
      </c>
      <c r="E812" t="s">
        <v>43</v>
      </c>
      <c r="F812" t="s">
        <v>2</v>
      </c>
      <c r="G812" t="s">
        <v>1088</v>
      </c>
      <c r="H812" t="s">
        <v>2010</v>
      </c>
      <c r="I812" s="22" t="str">
        <f t="shared" si="85"/>
        <v>2020-04-21</v>
      </c>
      <c r="J812" s="23" t="str">
        <f t="shared" si="86"/>
        <v>21</v>
      </c>
      <c r="K812" t="str">
        <f t="shared" si="87"/>
        <v>no</v>
      </c>
      <c r="L812">
        <v>21</v>
      </c>
      <c r="M812" t="str">
        <f t="shared" si="88"/>
        <v>2020-04-21</v>
      </c>
      <c r="N812" s="20">
        <f t="shared" si="89"/>
        <v>43943</v>
      </c>
      <c r="O812" t="str">
        <f t="shared" si="90"/>
        <v>2020-04-22</v>
      </c>
    </row>
    <row r="813" spans="1:15" x14ac:dyDescent="0.2">
      <c r="A813" s="21" t="str">
        <f t="shared" si="84"/>
        <v>y</v>
      </c>
      <c r="B813" s="24" t="s">
        <v>1725</v>
      </c>
      <c r="C813" t="s">
        <v>756</v>
      </c>
      <c r="D813" t="s">
        <v>13</v>
      </c>
      <c r="E813" t="s">
        <v>27</v>
      </c>
      <c r="F813" t="s">
        <v>29</v>
      </c>
      <c r="G813" t="s">
        <v>1089</v>
      </c>
      <c r="H813" t="s">
        <v>1958</v>
      </c>
      <c r="I813" s="22" t="str">
        <f t="shared" si="85"/>
        <v>2020-04-21</v>
      </c>
      <c r="J813" s="23" t="str">
        <f t="shared" si="86"/>
        <v>21</v>
      </c>
      <c r="K813" t="str">
        <f t="shared" si="87"/>
        <v>no</v>
      </c>
      <c r="L813">
        <v>21</v>
      </c>
      <c r="M813" t="str">
        <f t="shared" si="88"/>
        <v>2020-04-21</v>
      </c>
      <c r="N813" s="20" t="str">
        <f t="shared" si="89"/>
        <v>2020-04-21</v>
      </c>
      <c r="O813" t="str">
        <f t="shared" si="90"/>
        <v>2020-04-21</v>
      </c>
    </row>
    <row r="814" spans="1:15" x14ac:dyDescent="0.2">
      <c r="A814" s="21" t="str">
        <f t="shared" si="84"/>
        <v>y</v>
      </c>
      <c r="B814" s="24" t="s">
        <v>1726</v>
      </c>
      <c r="C814" t="s">
        <v>235</v>
      </c>
      <c r="D814" t="s">
        <v>13</v>
      </c>
      <c r="E814" t="s">
        <v>42</v>
      </c>
      <c r="F814" t="s">
        <v>29</v>
      </c>
      <c r="G814" t="s">
        <v>1087</v>
      </c>
      <c r="H814" t="s">
        <v>1958</v>
      </c>
      <c r="I814" s="22" t="str">
        <f t="shared" si="85"/>
        <v>2020-04-20</v>
      </c>
      <c r="J814" s="23" t="str">
        <f t="shared" si="86"/>
        <v>20</v>
      </c>
      <c r="K814" t="str">
        <f t="shared" si="87"/>
        <v>no</v>
      </c>
      <c r="L814">
        <v>20</v>
      </c>
      <c r="M814" t="str">
        <f t="shared" si="88"/>
        <v>2020-04-20</v>
      </c>
      <c r="N814" s="20" t="str">
        <f t="shared" si="89"/>
        <v>2020-04-20</v>
      </c>
      <c r="O814" t="str">
        <f t="shared" si="90"/>
        <v>2020-04-20</v>
      </c>
    </row>
    <row r="815" spans="1:15" x14ac:dyDescent="0.2">
      <c r="A815" s="21" t="str">
        <f t="shared" si="84"/>
        <v>y</v>
      </c>
      <c r="B815" s="24" t="s">
        <v>1726</v>
      </c>
      <c r="C815" t="s">
        <v>235</v>
      </c>
      <c r="D815" t="s">
        <v>13</v>
      </c>
      <c r="E815" t="s">
        <v>43</v>
      </c>
      <c r="F815" t="s">
        <v>2</v>
      </c>
      <c r="G815" t="s">
        <v>1088</v>
      </c>
      <c r="H815" t="s">
        <v>1958</v>
      </c>
      <c r="I815" s="22" t="str">
        <f t="shared" si="85"/>
        <v>2020-04-20</v>
      </c>
      <c r="J815" s="23" t="str">
        <f t="shared" si="86"/>
        <v>20</v>
      </c>
      <c r="K815" t="str">
        <f t="shared" si="87"/>
        <v>no</v>
      </c>
      <c r="L815">
        <v>20</v>
      </c>
      <c r="M815" t="str">
        <f t="shared" si="88"/>
        <v>2020-04-20</v>
      </c>
      <c r="N815" s="20">
        <f t="shared" si="89"/>
        <v>43942</v>
      </c>
      <c r="O815" t="str">
        <f t="shared" si="90"/>
        <v>2020-04-21</v>
      </c>
    </row>
    <row r="816" spans="1:15" x14ac:dyDescent="0.2">
      <c r="A816" s="21" t="str">
        <f t="shared" si="84"/>
        <v>y</v>
      </c>
      <c r="B816" s="24" t="s">
        <v>1727</v>
      </c>
      <c r="C816" t="s">
        <v>235</v>
      </c>
      <c r="D816" t="s">
        <v>13</v>
      </c>
      <c r="E816" t="s">
        <v>34</v>
      </c>
      <c r="F816" t="s">
        <v>2</v>
      </c>
      <c r="H816" t="s">
        <v>1976</v>
      </c>
      <c r="I816" s="22" t="str">
        <f t="shared" si="85"/>
        <v>2020-04-19</v>
      </c>
      <c r="J816" s="23" t="str">
        <f t="shared" si="86"/>
        <v>19</v>
      </c>
      <c r="K816" t="str">
        <f t="shared" si="87"/>
        <v>no</v>
      </c>
      <c r="L816">
        <v>19</v>
      </c>
      <c r="M816" t="str">
        <f t="shared" si="88"/>
        <v>2020-04-19</v>
      </c>
      <c r="N816" s="20">
        <f t="shared" si="89"/>
        <v>43941</v>
      </c>
      <c r="O816" t="str">
        <f t="shared" si="90"/>
        <v>2020-04-20</v>
      </c>
    </row>
    <row r="817" spans="1:15" x14ac:dyDescent="0.2">
      <c r="A817" s="21" t="str">
        <f t="shared" si="84"/>
        <v>y</v>
      </c>
      <c r="B817" s="24" t="s">
        <v>1727</v>
      </c>
      <c r="C817" t="s">
        <v>616</v>
      </c>
      <c r="D817" t="s">
        <v>13</v>
      </c>
      <c r="E817" t="s">
        <v>8</v>
      </c>
      <c r="F817" t="s">
        <v>29</v>
      </c>
      <c r="G817" t="s">
        <v>1086</v>
      </c>
      <c r="H817" t="s">
        <v>1958</v>
      </c>
      <c r="I817" s="22" t="str">
        <f t="shared" si="85"/>
        <v>2020-04-19</v>
      </c>
      <c r="J817" s="23" t="str">
        <f t="shared" si="86"/>
        <v>19</v>
      </c>
      <c r="K817" t="str">
        <f t="shared" si="87"/>
        <v>no</v>
      </c>
      <c r="L817">
        <v>19</v>
      </c>
      <c r="M817" t="str">
        <f t="shared" si="88"/>
        <v>2020-04-19</v>
      </c>
      <c r="N817" s="20" t="str">
        <f t="shared" si="89"/>
        <v>2020-04-19</v>
      </c>
      <c r="O817" t="str">
        <f t="shared" si="90"/>
        <v>2020-04-19</v>
      </c>
    </row>
    <row r="818" spans="1:15" x14ac:dyDescent="0.2">
      <c r="A818" s="21" t="str">
        <f t="shared" si="84"/>
        <v>y</v>
      </c>
      <c r="B818" s="24" t="s">
        <v>1728</v>
      </c>
      <c r="C818" t="s">
        <v>235</v>
      </c>
      <c r="D818" t="s">
        <v>13</v>
      </c>
      <c r="E818" t="s">
        <v>34</v>
      </c>
      <c r="F818" t="s">
        <v>2</v>
      </c>
      <c r="H818" t="s">
        <v>1976</v>
      </c>
      <c r="I818" s="22" t="str">
        <f t="shared" si="85"/>
        <v>2020-04-18</v>
      </c>
      <c r="J818" s="23" t="str">
        <f t="shared" si="86"/>
        <v>18</v>
      </c>
      <c r="K818" t="str">
        <f t="shared" si="87"/>
        <v>no</v>
      </c>
      <c r="L818">
        <v>18</v>
      </c>
      <c r="M818" t="str">
        <f t="shared" si="88"/>
        <v>2020-04-18</v>
      </c>
      <c r="N818" s="20">
        <f t="shared" si="89"/>
        <v>43940</v>
      </c>
      <c r="O818" t="str">
        <f t="shared" si="90"/>
        <v>2020-04-19</v>
      </c>
    </row>
    <row r="819" spans="1:15" x14ac:dyDescent="0.2">
      <c r="A819" s="21" t="str">
        <f t="shared" si="84"/>
        <v>y</v>
      </c>
      <c r="B819" s="24" t="s">
        <v>1728</v>
      </c>
      <c r="C819" t="s">
        <v>616</v>
      </c>
      <c r="D819" t="s">
        <v>13</v>
      </c>
      <c r="E819" t="s">
        <v>8</v>
      </c>
      <c r="F819" t="s">
        <v>29</v>
      </c>
      <c r="G819" t="s">
        <v>1084</v>
      </c>
      <c r="H819" t="s">
        <v>2002</v>
      </c>
      <c r="I819" s="22" t="str">
        <f t="shared" si="85"/>
        <v>2020-04-18</v>
      </c>
      <c r="J819" s="23" t="str">
        <f t="shared" si="86"/>
        <v>18</v>
      </c>
      <c r="K819" t="str">
        <f t="shared" si="87"/>
        <v>no</v>
      </c>
      <c r="L819">
        <v>18</v>
      </c>
      <c r="M819" t="str">
        <f t="shared" si="88"/>
        <v>2020-04-18</v>
      </c>
      <c r="N819" s="20" t="str">
        <f t="shared" si="89"/>
        <v>2020-04-18</v>
      </c>
      <c r="O819" t="str">
        <f t="shared" si="90"/>
        <v>2020-04-18</v>
      </c>
    </row>
    <row r="820" spans="1:15" x14ac:dyDescent="0.2">
      <c r="A820" s="21" t="str">
        <f t="shared" si="84"/>
        <v>y</v>
      </c>
      <c r="B820" s="24" t="s">
        <v>1728</v>
      </c>
      <c r="C820" t="s">
        <v>1078</v>
      </c>
      <c r="D820" t="s">
        <v>13</v>
      </c>
      <c r="E820" t="s">
        <v>8</v>
      </c>
      <c r="F820" t="s">
        <v>29</v>
      </c>
      <c r="G820" t="s">
        <v>1085</v>
      </c>
      <c r="H820" t="s">
        <v>1958</v>
      </c>
      <c r="I820" s="22" t="str">
        <f t="shared" si="85"/>
        <v>2020-04-18</v>
      </c>
      <c r="J820" s="23" t="str">
        <f t="shared" si="86"/>
        <v>18</v>
      </c>
      <c r="K820" t="str">
        <f t="shared" si="87"/>
        <v>no</v>
      </c>
      <c r="L820">
        <v>18</v>
      </c>
      <c r="M820" t="str">
        <f t="shared" si="88"/>
        <v>2020-04-18</v>
      </c>
      <c r="N820" s="20" t="str">
        <f t="shared" si="89"/>
        <v>2020-04-18</v>
      </c>
      <c r="O820" t="str">
        <f t="shared" si="90"/>
        <v>2020-04-18</v>
      </c>
    </row>
    <row r="821" spans="1:15" x14ac:dyDescent="0.2">
      <c r="A821" s="21" t="str">
        <f t="shared" si="84"/>
        <v>y</v>
      </c>
      <c r="B821" s="24" t="s">
        <v>1729</v>
      </c>
      <c r="C821" t="s">
        <v>235</v>
      </c>
      <c r="D821" t="s">
        <v>13</v>
      </c>
      <c r="E821" t="s">
        <v>34</v>
      </c>
      <c r="F821" t="s">
        <v>2</v>
      </c>
      <c r="H821" t="s">
        <v>1958</v>
      </c>
      <c r="I821" s="22" t="str">
        <f t="shared" si="85"/>
        <v>2020-04-16</v>
      </c>
      <c r="J821" s="23" t="str">
        <f t="shared" si="86"/>
        <v>16</v>
      </c>
      <c r="K821" t="str">
        <f t="shared" si="87"/>
        <v>no</v>
      </c>
      <c r="L821">
        <v>16</v>
      </c>
      <c r="M821" t="str">
        <f t="shared" si="88"/>
        <v>2020-04-16</v>
      </c>
      <c r="N821" s="20">
        <f t="shared" si="89"/>
        <v>43938</v>
      </c>
      <c r="O821" t="str">
        <f t="shared" si="90"/>
        <v>2020-04-17</v>
      </c>
    </row>
    <row r="822" spans="1:15" x14ac:dyDescent="0.2">
      <c r="A822" s="21" t="str">
        <f t="shared" si="84"/>
        <v>y</v>
      </c>
      <c r="B822" s="24" t="s">
        <v>1729</v>
      </c>
      <c r="C822" t="s">
        <v>235</v>
      </c>
      <c r="D822" t="s">
        <v>13</v>
      </c>
      <c r="E822" t="s">
        <v>8</v>
      </c>
      <c r="F822" t="s">
        <v>29</v>
      </c>
      <c r="G822" t="s">
        <v>1082</v>
      </c>
      <c r="H822" t="s">
        <v>1976</v>
      </c>
      <c r="I822" s="22" t="str">
        <f t="shared" si="85"/>
        <v>2020-04-16</v>
      </c>
      <c r="J822" s="23" t="str">
        <f t="shared" si="86"/>
        <v>16</v>
      </c>
      <c r="K822" t="str">
        <f t="shared" si="87"/>
        <v>no</v>
      </c>
      <c r="L822">
        <v>16</v>
      </c>
      <c r="M822" t="str">
        <f t="shared" si="88"/>
        <v>2020-04-16</v>
      </c>
      <c r="N822" s="20" t="str">
        <f t="shared" si="89"/>
        <v>2020-04-16</v>
      </c>
      <c r="O822" t="str">
        <f t="shared" si="90"/>
        <v>2020-04-16</v>
      </c>
    </row>
    <row r="823" spans="1:15" x14ac:dyDescent="0.2">
      <c r="A823" s="21" t="str">
        <f t="shared" si="84"/>
        <v>y</v>
      </c>
      <c r="B823" s="24" t="s">
        <v>1729</v>
      </c>
      <c r="C823" t="s">
        <v>616</v>
      </c>
      <c r="D823" t="s">
        <v>13</v>
      </c>
      <c r="E823" t="s">
        <v>8</v>
      </c>
      <c r="F823" t="s">
        <v>29</v>
      </c>
      <c r="G823" t="s">
        <v>1083</v>
      </c>
      <c r="H823" t="s">
        <v>1958</v>
      </c>
      <c r="I823" s="22" t="str">
        <f t="shared" si="85"/>
        <v>2020-04-16</v>
      </c>
      <c r="J823" s="23" t="str">
        <f t="shared" si="86"/>
        <v>16</v>
      </c>
      <c r="K823" t="str">
        <f t="shared" si="87"/>
        <v>no</v>
      </c>
      <c r="L823">
        <v>16</v>
      </c>
      <c r="M823" t="str">
        <f t="shared" si="88"/>
        <v>2020-04-16</v>
      </c>
      <c r="N823" s="20" t="str">
        <f t="shared" si="89"/>
        <v>2020-04-16</v>
      </c>
      <c r="O823" t="str">
        <f t="shared" si="90"/>
        <v>2020-04-16</v>
      </c>
    </row>
    <row r="824" spans="1:15" x14ac:dyDescent="0.2">
      <c r="A824" s="21" t="str">
        <f t="shared" si="84"/>
        <v>y</v>
      </c>
      <c r="B824" s="24" t="s">
        <v>1730</v>
      </c>
      <c r="C824" t="s">
        <v>235</v>
      </c>
      <c r="D824" t="s">
        <v>13</v>
      </c>
      <c r="E824" t="s">
        <v>34</v>
      </c>
      <c r="F824" t="s">
        <v>2</v>
      </c>
      <c r="H824" t="s">
        <v>1958</v>
      </c>
      <c r="I824" s="22" t="str">
        <f t="shared" si="85"/>
        <v>2020-04-15</v>
      </c>
      <c r="J824" s="23" t="str">
        <f t="shared" si="86"/>
        <v>15</v>
      </c>
      <c r="K824" t="str">
        <f t="shared" si="87"/>
        <v>no</v>
      </c>
      <c r="L824">
        <v>15</v>
      </c>
      <c r="M824" t="str">
        <f t="shared" si="88"/>
        <v>2020-04-15</v>
      </c>
      <c r="N824" s="20">
        <f t="shared" si="89"/>
        <v>43937</v>
      </c>
      <c r="O824" t="str">
        <f t="shared" si="90"/>
        <v>2020-04-16</v>
      </c>
    </row>
    <row r="825" spans="1:15" x14ac:dyDescent="0.2">
      <c r="A825" s="21" t="str">
        <f t="shared" si="84"/>
        <v>y</v>
      </c>
      <c r="B825" s="24" t="s">
        <v>1730</v>
      </c>
      <c r="C825" t="s">
        <v>235</v>
      </c>
      <c r="D825" t="s">
        <v>13</v>
      </c>
      <c r="E825" t="s">
        <v>42</v>
      </c>
      <c r="F825" t="s">
        <v>29</v>
      </c>
      <c r="G825" t="s">
        <v>1080</v>
      </c>
      <c r="H825" t="s">
        <v>1976</v>
      </c>
      <c r="I825" s="22" t="str">
        <f t="shared" si="85"/>
        <v>2020-04-15</v>
      </c>
      <c r="J825" s="23" t="str">
        <f t="shared" si="86"/>
        <v>15</v>
      </c>
      <c r="K825" t="str">
        <f t="shared" si="87"/>
        <v>no</v>
      </c>
      <c r="L825">
        <v>15</v>
      </c>
      <c r="M825" t="str">
        <f t="shared" si="88"/>
        <v>2020-04-15</v>
      </c>
      <c r="N825" s="20" t="str">
        <f t="shared" si="89"/>
        <v>2020-04-15</v>
      </c>
      <c r="O825" t="str">
        <f t="shared" si="90"/>
        <v>2020-04-15</v>
      </c>
    </row>
    <row r="826" spans="1:15" x14ac:dyDescent="0.2">
      <c r="A826" s="21" t="str">
        <f t="shared" si="84"/>
        <v>y</v>
      </c>
      <c r="B826" s="24" t="s">
        <v>1730</v>
      </c>
      <c r="C826" t="s">
        <v>235</v>
      </c>
      <c r="D826" t="s">
        <v>13</v>
      </c>
      <c r="E826" t="s">
        <v>31</v>
      </c>
      <c r="F826" t="s">
        <v>2</v>
      </c>
      <c r="H826" t="s">
        <v>2002</v>
      </c>
      <c r="I826" s="22" t="str">
        <f t="shared" si="85"/>
        <v>2020-04-15</v>
      </c>
      <c r="J826" s="23" t="str">
        <f t="shared" si="86"/>
        <v>15</v>
      </c>
      <c r="K826" t="str">
        <f t="shared" si="87"/>
        <v>no</v>
      </c>
      <c r="L826">
        <v>15</v>
      </c>
      <c r="M826" t="str">
        <f t="shared" si="88"/>
        <v>2020-04-15</v>
      </c>
      <c r="N826" s="20">
        <f t="shared" si="89"/>
        <v>43937</v>
      </c>
      <c r="O826" t="str">
        <f t="shared" si="90"/>
        <v>2020-04-16</v>
      </c>
    </row>
    <row r="827" spans="1:15" x14ac:dyDescent="0.2">
      <c r="A827" s="21" t="str">
        <f t="shared" si="84"/>
        <v>y</v>
      </c>
      <c r="B827" s="24" t="s">
        <v>1730</v>
      </c>
      <c r="C827" t="s">
        <v>616</v>
      </c>
      <c r="D827" t="s">
        <v>13</v>
      </c>
      <c r="E827" t="s">
        <v>8</v>
      </c>
      <c r="F827" t="s">
        <v>29</v>
      </c>
      <c r="G827" t="s">
        <v>1081</v>
      </c>
      <c r="H827" t="s">
        <v>1958</v>
      </c>
      <c r="I827" s="22" t="str">
        <f t="shared" si="85"/>
        <v>2020-04-15</v>
      </c>
      <c r="J827" s="23" t="str">
        <f t="shared" si="86"/>
        <v>15</v>
      </c>
      <c r="K827" t="str">
        <f t="shared" si="87"/>
        <v>no</v>
      </c>
      <c r="L827">
        <v>15</v>
      </c>
      <c r="M827" t="str">
        <f t="shared" si="88"/>
        <v>2020-04-15</v>
      </c>
      <c r="N827" s="20" t="str">
        <f t="shared" si="89"/>
        <v>2020-04-15</v>
      </c>
      <c r="O827" t="str">
        <f t="shared" si="90"/>
        <v>2020-04-15</v>
      </c>
    </row>
    <row r="828" spans="1:15" x14ac:dyDescent="0.2">
      <c r="A828" s="21" t="str">
        <f t="shared" si="84"/>
        <v>y</v>
      </c>
      <c r="B828" s="24" t="s">
        <v>1730</v>
      </c>
      <c r="C828" t="s">
        <v>1078</v>
      </c>
      <c r="D828" t="s">
        <v>13</v>
      </c>
      <c r="E828" t="s">
        <v>4</v>
      </c>
      <c r="F828" t="s">
        <v>29</v>
      </c>
      <c r="G828" t="s">
        <v>1079</v>
      </c>
      <c r="H828" t="s">
        <v>1997</v>
      </c>
      <c r="I828" s="22" t="str">
        <f t="shared" si="85"/>
        <v>2020-04-15</v>
      </c>
      <c r="J828" s="23" t="str">
        <f t="shared" si="86"/>
        <v>15</v>
      </c>
      <c r="K828" t="str">
        <f t="shared" si="87"/>
        <v>no</v>
      </c>
      <c r="L828">
        <v>15</v>
      </c>
      <c r="M828" t="str">
        <f t="shared" si="88"/>
        <v>2020-04-15</v>
      </c>
      <c r="N828" s="20" t="str">
        <f t="shared" si="89"/>
        <v>2020-04-15</v>
      </c>
      <c r="O828" t="str">
        <f t="shared" si="90"/>
        <v>2020-04-15</v>
      </c>
    </row>
    <row r="829" spans="1:15" x14ac:dyDescent="0.2">
      <c r="A829" s="21" t="str">
        <f t="shared" si="84"/>
        <v>y</v>
      </c>
      <c r="B829" s="24" t="s">
        <v>1731</v>
      </c>
      <c r="C829" t="s">
        <v>1034</v>
      </c>
      <c r="D829" t="s">
        <v>13</v>
      </c>
      <c r="E829" t="s">
        <v>27</v>
      </c>
      <c r="F829" t="s">
        <v>29</v>
      </c>
      <c r="G829" t="s">
        <v>1076</v>
      </c>
      <c r="H829" t="s">
        <v>2011</v>
      </c>
      <c r="I829" s="22" t="str">
        <f t="shared" si="85"/>
        <v>2020-04-14</v>
      </c>
      <c r="J829" s="23" t="str">
        <f t="shared" si="86"/>
        <v>14</v>
      </c>
      <c r="K829" t="str">
        <f t="shared" si="87"/>
        <v>no</v>
      </c>
      <c r="L829">
        <v>14</v>
      </c>
      <c r="M829" t="str">
        <f t="shared" si="88"/>
        <v>2020-04-14</v>
      </c>
      <c r="N829" s="20" t="str">
        <f t="shared" si="89"/>
        <v>2020-04-14</v>
      </c>
      <c r="O829" t="str">
        <f t="shared" si="90"/>
        <v>2020-04-14</v>
      </c>
    </row>
    <row r="830" spans="1:15" x14ac:dyDescent="0.2">
      <c r="A830" s="21" t="str">
        <f t="shared" si="84"/>
        <v>y</v>
      </c>
      <c r="B830" s="24" t="s">
        <v>1731</v>
      </c>
      <c r="C830" t="s">
        <v>1062</v>
      </c>
      <c r="D830" t="s">
        <v>13</v>
      </c>
      <c r="E830" t="s">
        <v>27</v>
      </c>
      <c r="F830" t="s">
        <v>29</v>
      </c>
      <c r="G830" t="s">
        <v>1075</v>
      </c>
      <c r="H830" t="s">
        <v>1958</v>
      </c>
      <c r="I830" s="22" t="str">
        <f t="shared" si="85"/>
        <v>2020-04-14</v>
      </c>
      <c r="J830" s="23" t="str">
        <f t="shared" si="86"/>
        <v>14</v>
      </c>
      <c r="K830" t="str">
        <f t="shared" si="87"/>
        <v>no</v>
      </c>
      <c r="L830">
        <v>14</v>
      </c>
      <c r="M830" t="str">
        <f t="shared" si="88"/>
        <v>2020-04-14</v>
      </c>
      <c r="N830" s="20" t="str">
        <f t="shared" si="89"/>
        <v>2020-04-14</v>
      </c>
      <c r="O830" t="str">
        <f t="shared" si="90"/>
        <v>2020-04-14</v>
      </c>
    </row>
    <row r="831" spans="1:15" x14ac:dyDescent="0.2">
      <c r="A831" s="21" t="str">
        <f t="shared" si="84"/>
        <v>y</v>
      </c>
      <c r="B831" s="24" t="s">
        <v>1731</v>
      </c>
      <c r="C831" t="s">
        <v>235</v>
      </c>
      <c r="D831" t="s">
        <v>13</v>
      </c>
      <c r="E831" t="s">
        <v>34</v>
      </c>
      <c r="F831" t="s">
        <v>2</v>
      </c>
      <c r="H831" t="s">
        <v>1958</v>
      </c>
      <c r="I831" s="22" t="str">
        <f t="shared" si="85"/>
        <v>2020-04-14</v>
      </c>
      <c r="J831" s="23" t="str">
        <f t="shared" si="86"/>
        <v>14</v>
      </c>
      <c r="K831" t="str">
        <f t="shared" si="87"/>
        <v>no</v>
      </c>
      <c r="L831">
        <v>14</v>
      </c>
      <c r="M831" t="str">
        <f t="shared" si="88"/>
        <v>2020-04-14</v>
      </c>
      <c r="N831" s="20">
        <f t="shared" si="89"/>
        <v>43936</v>
      </c>
      <c r="O831" t="str">
        <f t="shared" si="90"/>
        <v>2020-04-15</v>
      </c>
    </row>
    <row r="832" spans="1:15" x14ac:dyDescent="0.2">
      <c r="A832" s="21" t="str">
        <f t="shared" si="84"/>
        <v>y</v>
      </c>
      <c r="B832" s="24" t="s">
        <v>1731</v>
      </c>
      <c r="C832" t="s">
        <v>235</v>
      </c>
      <c r="D832" t="s">
        <v>13</v>
      </c>
      <c r="E832" t="s">
        <v>31</v>
      </c>
      <c r="F832" t="s">
        <v>2</v>
      </c>
      <c r="H832" t="s">
        <v>1976</v>
      </c>
      <c r="I832" s="22" t="str">
        <f t="shared" si="85"/>
        <v>2020-04-14</v>
      </c>
      <c r="J832" s="23" t="str">
        <f t="shared" si="86"/>
        <v>14</v>
      </c>
      <c r="K832" t="str">
        <f t="shared" si="87"/>
        <v>no</v>
      </c>
      <c r="L832">
        <v>14</v>
      </c>
      <c r="M832" t="str">
        <f t="shared" si="88"/>
        <v>2020-04-14</v>
      </c>
      <c r="N832" s="20">
        <f t="shared" si="89"/>
        <v>43936</v>
      </c>
      <c r="O832" t="str">
        <f t="shared" si="90"/>
        <v>2020-04-15</v>
      </c>
    </row>
    <row r="833" spans="1:15" x14ac:dyDescent="0.2">
      <c r="A833" s="21" t="str">
        <f t="shared" si="84"/>
        <v>y</v>
      </c>
      <c r="B833" s="24" t="s">
        <v>1731</v>
      </c>
      <c r="C833" t="s">
        <v>616</v>
      </c>
      <c r="D833" t="s">
        <v>13</v>
      </c>
      <c r="E833" t="s">
        <v>8</v>
      </c>
      <c r="F833" t="s">
        <v>29</v>
      </c>
      <c r="G833" t="s">
        <v>1077</v>
      </c>
      <c r="H833" t="s">
        <v>1997</v>
      </c>
      <c r="I833" s="22" t="str">
        <f t="shared" si="85"/>
        <v>2020-04-14</v>
      </c>
      <c r="J833" s="23" t="str">
        <f t="shared" si="86"/>
        <v>14</v>
      </c>
      <c r="K833" t="str">
        <f t="shared" si="87"/>
        <v>no</v>
      </c>
      <c r="L833">
        <v>14</v>
      </c>
      <c r="M833" t="str">
        <f t="shared" si="88"/>
        <v>2020-04-14</v>
      </c>
      <c r="N833" s="20" t="str">
        <f t="shared" si="89"/>
        <v>2020-04-14</v>
      </c>
      <c r="O833" t="str">
        <f t="shared" si="90"/>
        <v>2020-04-14</v>
      </c>
    </row>
    <row r="834" spans="1:15" x14ac:dyDescent="0.2">
      <c r="A834" s="21" t="str">
        <f t="shared" si="84"/>
        <v>y</v>
      </c>
      <c r="B834" s="24" t="s">
        <v>1732</v>
      </c>
      <c r="C834" t="s">
        <v>1034</v>
      </c>
      <c r="D834" t="s">
        <v>13</v>
      </c>
      <c r="E834" t="s">
        <v>27</v>
      </c>
      <c r="F834" t="s">
        <v>2</v>
      </c>
      <c r="G834" t="s">
        <v>1069</v>
      </c>
      <c r="H834" t="s">
        <v>2011</v>
      </c>
      <c r="I834" s="22" t="str">
        <f t="shared" si="85"/>
        <v>2020-04-13</v>
      </c>
      <c r="J834" s="23" t="str">
        <f t="shared" si="86"/>
        <v>13</v>
      </c>
      <c r="K834" t="str">
        <f t="shared" si="87"/>
        <v>no</v>
      </c>
      <c r="L834">
        <v>13</v>
      </c>
      <c r="M834" t="str">
        <f t="shared" si="88"/>
        <v>2020-04-13</v>
      </c>
      <c r="N834" s="20">
        <f t="shared" si="89"/>
        <v>43935</v>
      </c>
      <c r="O834" t="str">
        <f t="shared" si="90"/>
        <v>2020-04-14</v>
      </c>
    </row>
    <row r="835" spans="1:15" x14ac:dyDescent="0.2">
      <c r="A835" s="21" t="str">
        <f t="shared" si="84"/>
        <v>y</v>
      </c>
      <c r="B835" s="24" t="s">
        <v>1732</v>
      </c>
      <c r="C835" t="s">
        <v>1062</v>
      </c>
      <c r="D835" t="s">
        <v>13</v>
      </c>
      <c r="E835" t="s">
        <v>27</v>
      </c>
      <c r="F835" t="s">
        <v>2</v>
      </c>
      <c r="H835" t="s">
        <v>1958</v>
      </c>
      <c r="I835" s="22" t="str">
        <f t="shared" si="85"/>
        <v>2020-04-13</v>
      </c>
      <c r="J835" s="23" t="str">
        <f t="shared" si="86"/>
        <v>13</v>
      </c>
      <c r="K835" t="str">
        <f t="shared" si="87"/>
        <v>no</v>
      </c>
      <c r="L835">
        <v>13</v>
      </c>
      <c r="M835" t="str">
        <f t="shared" si="88"/>
        <v>2020-04-13</v>
      </c>
      <c r="N835" s="20">
        <f t="shared" si="89"/>
        <v>43935</v>
      </c>
      <c r="O835" t="str">
        <f t="shared" si="90"/>
        <v>2020-04-14</v>
      </c>
    </row>
    <row r="836" spans="1:15" x14ac:dyDescent="0.2">
      <c r="A836" s="21" t="str">
        <f t="shared" ref="A836:A899" si="91">IF(LEFT(B836,2)&gt;12,"y","-")</f>
        <v>y</v>
      </c>
      <c r="B836" s="24" t="s">
        <v>1732</v>
      </c>
      <c r="C836" t="s">
        <v>235</v>
      </c>
      <c r="D836" t="s">
        <v>13</v>
      </c>
      <c r="E836" t="s">
        <v>34</v>
      </c>
      <c r="F836" t="s">
        <v>29</v>
      </c>
      <c r="G836" t="s">
        <v>1071</v>
      </c>
      <c r="H836" t="s">
        <v>1958</v>
      </c>
      <c r="I836" s="22" t="str">
        <f t="shared" ref="I836:I899" si="92">IF(K836="yes",TEXT(B836,"YYYY-DD-MM"),TEXT(B836,"YYYY-MM-DD"))</f>
        <v>2020-04-13</v>
      </c>
      <c r="J836" s="23" t="str">
        <f t="shared" ref="J836:J899" si="93">LEFT(B836,2)</f>
        <v>13</v>
      </c>
      <c r="K836" t="str">
        <f t="shared" ref="K836:K899" si="94">IF(L836&gt;31,"yes","no")</f>
        <v>no</v>
      </c>
      <c r="L836">
        <v>13</v>
      </c>
      <c r="M836" t="str">
        <f t="shared" ref="M836:M899" si="95">I836</f>
        <v>2020-04-13</v>
      </c>
      <c r="N836" s="20" t="str">
        <f t="shared" ref="N836:N899" si="96">IF(F836="DONE",M836,M836+1)</f>
        <v>2020-04-13</v>
      </c>
      <c r="O836" t="str">
        <f t="shared" ref="O836:O899" si="97">TEXT(N836,"YYYY-MM-DD")</f>
        <v>2020-04-13</v>
      </c>
    </row>
    <row r="837" spans="1:15" x14ac:dyDescent="0.2">
      <c r="A837" s="21" t="str">
        <f t="shared" si="91"/>
        <v>y</v>
      </c>
      <c r="B837" s="24" t="s">
        <v>1732</v>
      </c>
      <c r="C837" t="s">
        <v>235</v>
      </c>
      <c r="D837" t="s">
        <v>13</v>
      </c>
      <c r="E837" t="s">
        <v>34</v>
      </c>
      <c r="F837" t="s">
        <v>29</v>
      </c>
      <c r="G837" t="s">
        <v>1072</v>
      </c>
      <c r="H837" t="s">
        <v>1958</v>
      </c>
      <c r="I837" s="22" t="str">
        <f t="shared" si="92"/>
        <v>2020-04-13</v>
      </c>
      <c r="J837" s="23" t="str">
        <f t="shared" si="93"/>
        <v>13</v>
      </c>
      <c r="K837" t="str">
        <f t="shared" si="94"/>
        <v>no</v>
      </c>
      <c r="L837">
        <v>13</v>
      </c>
      <c r="M837" t="str">
        <f t="shared" si="95"/>
        <v>2020-04-13</v>
      </c>
      <c r="N837" s="20" t="str">
        <f t="shared" si="96"/>
        <v>2020-04-13</v>
      </c>
      <c r="O837" t="str">
        <f t="shared" si="97"/>
        <v>2020-04-13</v>
      </c>
    </row>
    <row r="838" spans="1:15" x14ac:dyDescent="0.2">
      <c r="A838" s="21" t="str">
        <f t="shared" si="91"/>
        <v>y</v>
      </c>
      <c r="B838" s="24" t="s">
        <v>1732</v>
      </c>
      <c r="C838" t="s">
        <v>235</v>
      </c>
      <c r="D838" t="s">
        <v>13</v>
      </c>
      <c r="E838" t="s">
        <v>34</v>
      </c>
      <c r="F838" t="s">
        <v>2</v>
      </c>
      <c r="G838" t="s">
        <v>1073</v>
      </c>
      <c r="H838" t="s">
        <v>1993</v>
      </c>
      <c r="I838" s="22" t="str">
        <f t="shared" si="92"/>
        <v>2020-04-13</v>
      </c>
      <c r="J838" s="23" t="str">
        <f t="shared" si="93"/>
        <v>13</v>
      </c>
      <c r="K838" t="str">
        <f t="shared" si="94"/>
        <v>no</v>
      </c>
      <c r="L838">
        <v>13</v>
      </c>
      <c r="M838" t="str">
        <f t="shared" si="95"/>
        <v>2020-04-13</v>
      </c>
      <c r="N838" s="20">
        <f t="shared" si="96"/>
        <v>43935</v>
      </c>
      <c r="O838" t="str">
        <f t="shared" si="97"/>
        <v>2020-04-14</v>
      </c>
    </row>
    <row r="839" spans="1:15" x14ac:dyDescent="0.2">
      <c r="A839" s="21" t="str">
        <f t="shared" si="91"/>
        <v>y</v>
      </c>
      <c r="B839" s="24" t="s">
        <v>1732</v>
      </c>
      <c r="C839" t="s">
        <v>235</v>
      </c>
      <c r="D839" t="s">
        <v>13</v>
      </c>
      <c r="E839" t="s">
        <v>31</v>
      </c>
      <c r="F839" t="s">
        <v>2</v>
      </c>
      <c r="H839" t="s">
        <v>1958</v>
      </c>
      <c r="I839" s="22" t="str">
        <f t="shared" si="92"/>
        <v>2020-04-13</v>
      </c>
      <c r="J839" s="23" t="str">
        <f t="shared" si="93"/>
        <v>13</v>
      </c>
      <c r="K839" t="str">
        <f t="shared" si="94"/>
        <v>no</v>
      </c>
      <c r="L839">
        <v>13</v>
      </c>
      <c r="M839" t="str">
        <f t="shared" si="95"/>
        <v>2020-04-13</v>
      </c>
      <c r="N839" s="20">
        <f t="shared" si="96"/>
        <v>43935</v>
      </c>
      <c r="O839" t="str">
        <f t="shared" si="97"/>
        <v>2020-04-14</v>
      </c>
    </row>
    <row r="840" spans="1:15" x14ac:dyDescent="0.2">
      <c r="A840" s="21" t="str">
        <f t="shared" si="91"/>
        <v>y</v>
      </c>
      <c r="B840" s="24" t="s">
        <v>1732</v>
      </c>
      <c r="C840" t="s">
        <v>701</v>
      </c>
      <c r="D840" t="s">
        <v>13</v>
      </c>
      <c r="E840" t="s">
        <v>8</v>
      </c>
      <c r="F840" t="s">
        <v>29</v>
      </c>
      <c r="G840" t="s">
        <v>1070</v>
      </c>
      <c r="H840" t="s">
        <v>1976</v>
      </c>
      <c r="I840" s="22" t="str">
        <f t="shared" si="92"/>
        <v>2020-04-13</v>
      </c>
      <c r="J840" s="23" t="str">
        <f t="shared" si="93"/>
        <v>13</v>
      </c>
      <c r="K840" t="str">
        <f t="shared" si="94"/>
        <v>no</v>
      </c>
      <c r="L840">
        <v>13</v>
      </c>
      <c r="M840" t="str">
        <f t="shared" si="95"/>
        <v>2020-04-13</v>
      </c>
      <c r="N840" s="20" t="str">
        <f t="shared" si="96"/>
        <v>2020-04-13</v>
      </c>
      <c r="O840" t="str">
        <f t="shared" si="97"/>
        <v>2020-04-13</v>
      </c>
    </row>
    <row r="841" spans="1:15" x14ac:dyDescent="0.2">
      <c r="A841" s="21" t="str">
        <f t="shared" si="91"/>
        <v>y</v>
      </c>
      <c r="B841" s="24" t="s">
        <v>1732</v>
      </c>
      <c r="C841" t="s">
        <v>616</v>
      </c>
      <c r="D841" t="s">
        <v>13</v>
      </c>
      <c r="E841" t="s">
        <v>42</v>
      </c>
      <c r="F841" t="s">
        <v>29</v>
      </c>
      <c r="G841" t="s">
        <v>1074</v>
      </c>
      <c r="H841" t="s">
        <v>1978</v>
      </c>
      <c r="I841" s="22" t="str">
        <f t="shared" si="92"/>
        <v>2020-04-13</v>
      </c>
      <c r="J841" s="23" t="str">
        <f t="shared" si="93"/>
        <v>13</v>
      </c>
      <c r="K841" t="str">
        <f t="shared" si="94"/>
        <v>no</v>
      </c>
      <c r="L841">
        <v>13</v>
      </c>
      <c r="M841" t="str">
        <f t="shared" si="95"/>
        <v>2020-04-13</v>
      </c>
      <c r="N841" s="20" t="str">
        <f t="shared" si="96"/>
        <v>2020-04-13</v>
      </c>
      <c r="O841" t="str">
        <f t="shared" si="97"/>
        <v>2020-04-13</v>
      </c>
    </row>
    <row r="842" spans="1:15" x14ac:dyDescent="0.2">
      <c r="A842" s="21" t="str">
        <f t="shared" si="91"/>
        <v>y</v>
      </c>
      <c r="B842" s="24">
        <v>44169</v>
      </c>
      <c r="C842" t="s">
        <v>975</v>
      </c>
      <c r="D842" t="s">
        <v>13</v>
      </c>
      <c r="E842" t="s">
        <v>43</v>
      </c>
      <c r="F842" t="s">
        <v>2</v>
      </c>
      <c r="H842" t="s">
        <v>1997</v>
      </c>
      <c r="I842" s="22" t="str">
        <f t="shared" si="92"/>
        <v>2020-04-12</v>
      </c>
      <c r="J842" s="23" t="str">
        <f t="shared" si="93"/>
        <v>44</v>
      </c>
      <c r="K842" t="str">
        <f t="shared" si="94"/>
        <v>yes</v>
      </c>
      <c r="L842">
        <v>44</v>
      </c>
      <c r="M842" t="str">
        <f t="shared" si="95"/>
        <v>2020-04-12</v>
      </c>
      <c r="N842" s="20">
        <f t="shared" si="96"/>
        <v>43934</v>
      </c>
      <c r="O842" t="str">
        <f t="shared" si="97"/>
        <v>2020-04-13</v>
      </c>
    </row>
    <row r="843" spans="1:15" x14ac:dyDescent="0.2">
      <c r="A843" s="21" t="str">
        <f t="shared" si="91"/>
        <v>y</v>
      </c>
      <c r="B843" s="24">
        <v>44169</v>
      </c>
      <c r="C843" t="s">
        <v>1034</v>
      </c>
      <c r="D843" t="s">
        <v>13</v>
      </c>
      <c r="E843" t="s">
        <v>27</v>
      </c>
      <c r="F843" t="s">
        <v>2</v>
      </c>
      <c r="H843" t="s">
        <v>2011</v>
      </c>
      <c r="I843" s="22" t="str">
        <f t="shared" si="92"/>
        <v>2020-04-12</v>
      </c>
      <c r="J843" s="23" t="str">
        <f t="shared" si="93"/>
        <v>44</v>
      </c>
      <c r="K843" t="str">
        <f t="shared" si="94"/>
        <v>yes</v>
      </c>
      <c r="L843">
        <v>44</v>
      </c>
      <c r="M843" t="str">
        <f t="shared" si="95"/>
        <v>2020-04-12</v>
      </c>
      <c r="N843" s="20">
        <f t="shared" si="96"/>
        <v>43934</v>
      </c>
      <c r="O843" t="str">
        <f t="shared" si="97"/>
        <v>2020-04-13</v>
      </c>
    </row>
    <row r="844" spans="1:15" x14ac:dyDescent="0.2">
      <c r="A844" s="21" t="str">
        <f t="shared" si="91"/>
        <v>y</v>
      </c>
      <c r="B844" s="24">
        <v>44169</v>
      </c>
      <c r="C844" t="s">
        <v>1062</v>
      </c>
      <c r="D844" t="s">
        <v>13</v>
      </c>
      <c r="E844" t="s">
        <v>43</v>
      </c>
      <c r="F844" t="s">
        <v>2</v>
      </c>
      <c r="H844" t="s">
        <v>1993</v>
      </c>
      <c r="I844" s="22" t="str">
        <f t="shared" si="92"/>
        <v>2020-04-12</v>
      </c>
      <c r="J844" s="23" t="str">
        <f t="shared" si="93"/>
        <v>44</v>
      </c>
      <c r="K844" t="str">
        <f t="shared" si="94"/>
        <v>yes</v>
      </c>
      <c r="L844">
        <v>44</v>
      </c>
      <c r="M844" t="str">
        <f t="shared" si="95"/>
        <v>2020-04-12</v>
      </c>
      <c r="N844" s="20">
        <f t="shared" si="96"/>
        <v>43934</v>
      </c>
      <c r="O844" t="str">
        <f t="shared" si="97"/>
        <v>2020-04-13</v>
      </c>
    </row>
    <row r="845" spans="1:15" x14ac:dyDescent="0.2">
      <c r="A845" s="21" t="str">
        <f t="shared" si="91"/>
        <v>y</v>
      </c>
      <c r="B845" s="24">
        <v>44169</v>
      </c>
      <c r="C845" t="s">
        <v>1064</v>
      </c>
      <c r="D845" t="s">
        <v>13</v>
      </c>
      <c r="E845" t="s">
        <v>27</v>
      </c>
      <c r="F845" t="s">
        <v>29</v>
      </c>
      <c r="G845" t="s">
        <v>1066</v>
      </c>
      <c r="H845" t="s">
        <v>1958</v>
      </c>
      <c r="I845" s="22" t="str">
        <f t="shared" si="92"/>
        <v>2020-04-12</v>
      </c>
      <c r="J845" s="23" t="str">
        <f t="shared" si="93"/>
        <v>44</v>
      </c>
      <c r="K845" t="str">
        <f t="shared" si="94"/>
        <v>yes</v>
      </c>
      <c r="L845">
        <v>44</v>
      </c>
      <c r="M845" t="str">
        <f t="shared" si="95"/>
        <v>2020-04-12</v>
      </c>
      <c r="N845" s="20" t="str">
        <f t="shared" si="96"/>
        <v>2020-04-12</v>
      </c>
      <c r="O845" t="str">
        <f t="shared" si="97"/>
        <v>2020-04-12</v>
      </c>
    </row>
    <row r="846" spans="1:15" x14ac:dyDescent="0.2">
      <c r="A846" s="21" t="str">
        <f t="shared" si="91"/>
        <v>y</v>
      </c>
      <c r="B846" s="24">
        <v>44169</v>
      </c>
      <c r="C846" t="s">
        <v>701</v>
      </c>
      <c r="D846" t="s">
        <v>13</v>
      </c>
      <c r="E846" t="s">
        <v>8</v>
      </c>
      <c r="F846" t="s">
        <v>29</v>
      </c>
      <c r="G846" t="s">
        <v>1067</v>
      </c>
      <c r="H846" t="s">
        <v>2005</v>
      </c>
      <c r="I846" s="22" t="str">
        <f t="shared" si="92"/>
        <v>2020-04-12</v>
      </c>
      <c r="J846" s="23" t="str">
        <f t="shared" si="93"/>
        <v>44</v>
      </c>
      <c r="K846" t="str">
        <f t="shared" si="94"/>
        <v>yes</v>
      </c>
      <c r="L846">
        <v>44</v>
      </c>
      <c r="M846" t="str">
        <f t="shared" si="95"/>
        <v>2020-04-12</v>
      </c>
      <c r="N846" s="20" t="str">
        <f t="shared" si="96"/>
        <v>2020-04-12</v>
      </c>
      <c r="O846" t="str">
        <f t="shared" si="97"/>
        <v>2020-04-12</v>
      </c>
    </row>
    <row r="847" spans="1:15" x14ac:dyDescent="0.2">
      <c r="A847" s="21" t="str">
        <f t="shared" si="91"/>
        <v>y</v>
      </c>
      <c r="B847" s="24">
        <v>44169</v>
      </c>
      <c r="C847" t="s">
        <v>235</v>
      </c>
      <c r="D847" t="s">
        <v>13</v>
      </c>
      <c r="E847" t="s">
        <v>34</v>
      </c>
      <c r="F847" t="s">
        <v>2</v>
      </c>
      <c r="G847" t="s">
        <v>1068</v>
      </c>
      <c r="H847" t="s">
        <v>1978</v>
      </c>
      <c r="I847" s="22" t="str">
        <f t="shared" si="92"/>
        <v>2020-04-12</v>
      </c>
      <c r="J847" s="23" t="str">
        <f t="shared" si="93"/>
        <v>44</v>
      </c>
      <c r="K847" t="str">
        <f t="shared" si="94"/>
        <v>yes</v>
      </c>
      <c r="L847">
        <v>44</v>
      </c>
      <c r="M847" t="str">
        <f t="shared" si="95"/>
        <v>2020-04-12</v>
      </c>
      <c r="N847" s="20">
        <f t="shared" si="96"/>
        <v>43934</v>
      </c>
      <c r="O847" t="str">
        <f t="shared" si="97"/>
        <v>2020-04-13</v>
      </c>
    </row>
    <row r="848" spans="1:15" x14ac:dyDescent="0.2">
      <c r="A848" s="21" t="str">
        <f t="shared" si="91"/>
        <v>y</v>
      </c>
      <c r="B848" s="24">
        <v>44078</v>
      </c>
      <c r="C848" t="s">
        <v>975</v>
      </c>
      <c r="D848" t="s">
        <v>13</v>
      </c>
      <c r="E848" t="s">
        <v>43</v>
      </c>
      <c r="F848" t="s">
        <v>2</v>
      </c>
      <c r="H848" t="s">
        <v>1997</v>
      </c>
      <c r="I848" s="22" t="str">
        <f t="shared" si="92"/>
        <v>2020-04-09</v>
      </c>
      <c r="J848" s="23" t="str">
        <f t="shared" si="93"/>
        <v>44</v>
      </c>
      <c r="K848" t="str">
        <f t="shared" si="94"/>
        <v>yes</v>
      </c>
      <c r="L848">
        <v>44</v>
      </c>
      <c r="M848" t="str">
        <f t="shared" si="95"/>
        <v>2020-04-09</v>
      </c>
      <c r="N848" s="20">
        <f t="shared" si="96"/>
        <v>43931</v>
      </c>
      <c r="O848" t="str">
        <f t="shared" si="97"/>
        <v>2020-04-10</v>
      </c>
    </row>
    <row r="849" spans="1:15" x14ac:dyDescent="0.2">
      <c r="A849" s="21" t="str">
        <f t="shared" si="91"/>
        <v>y</v>
      </c>
      <c r="B849" s="24">
        <v>44078</v>
      </c>
      <c r="C849" t="s">
        <v>1034</v>
      </c>
      <c r="D849" t="s">
        <v>13</v>
      </c>
      <c r="E849" t="s">
        <v>27</v>
      </c>
      <c r="F849" t="s">
        <v>2</v>
      </c>
      <c r="H849" t="s">
        <v>1976</v>
      </c>
      <c r="I849" s="22" t="str">
        <f t="shared" si="92"/>
        <v>2020-04-09</v>
      </c>
      <c r="J849" s="23" t="str">
        <f t="shared" si="93"/>
        <v>44</v>
      </c>
      <c r="K849" t="str">
        <f t="shared" si="94"/>
        <v>yes</v>
      </c>
      <c r="L849">
        <v>44</v>
      </c>
      <c r="M849" t="str">
        <f t="shared" si="95"/>
        <v>2020-04-09</v>
      </c>
      <c r="N849" s="20">
        <f t="shared" si="96"/>
        <v>43931</v>
      </c>
      <c r="O849" t="str">
        <f t="shared" si="97"/>
        <v>2020-04-10</v>
      </c>
    </row>
    <row r="850" spans="1:15" x14ac:dyDescent="0.2">
      <c r="A850" s="21" t="str">
        <f t="shared" si="91"/>
        <v>y</v>
      </c>
      <c r="B850" s="24">
        <v>44078</v>
      </c>
      <c r="C850" t="s">
        <v>616</v>
      </c>
      <c r="D850" t="s">
        <v>13</v>
      </c>
      <c r="E850" t="s">
        <v>34</v>
      </c>
      <c r="F850" t="s">
        <v>29</v>
      </c>
      <c r="G850" t="s">
        <v>1061</v>
      </c>
      <c r="H850" t="s">
        <v>2011</v>
      </c>
      <c r="I850" s="22" t="str">
        <f t="shared" si="92"/>
        <v>2020-04-09</v>
      </c>
      <c r="J850" s="23" t="str">
        <f t="shared" si="93"/>
        <v>44</v>
      </c>
      <c r="K850" t="str">
        <f t="shared" si="94"/>
        <v>yes</v>
      </c>
      <c r="L850">
        <v>44</v>
      </c>
      <c r="M850" t="str">
        <f t="shared" si="95"/>
        <v>2020-04-09</v>
      </c>
      <c r="N850" s="20" t="str">
        <f t="shared" si="96"/>
        <v>2020-04-09</v>
      </c>
      <c r="O850" t="str">
        <f t="shared" si="97"/>
        <v>2020-04-09</v>
      </c>
    </row>
    <row r="851" spans="1:15" x14ac:dyDescent="0.2">
      <c r="A851" s="21" t="str">
        <f t="shared" si="91"/>
        <v>y</v>
      </c>
      <c r="B851" s="24">
        <v>44078</v>
      </c>
      <c r="C851" t="s">
        <v>1062</v>
      </c>
      <c r="D851" t="s">
        <v>13</v>
      </c>
      <c r="E851" t="s">
        <v>43</v>
      </c>
      <c r="F851" t="s">
        <v>2</v>
      </c>
      <c r="G851" t="s">
        <v>1063</v>
      </c>
      <c r="H851" t="s">
        <v>1993</v>
      </c>
      <c r="I851" s="22" t="str">
        <f t="shared" si="92"/>
        <v>2020-04-09</v>
      </c>
      <c r="J851" s="23" t="str">
        <f t="shared" si="93"/>
        <v>44</v>
      </c>
      <c r="K851" t="str">
        <f t="shared" si="94"/>
        <v>yes</v>
      </c>
      <c r="L851">
        <v>44</v>
      </c>
      <c r="M851" t="str">
        <f t="shared" si="95"/>
        <v>2020-04-09</v>
      </c>
      <c r="N851" s="20">
        <f t="shared" si="96"/>
        <v>43931</v>
      </c>
      <c r="O851" t="str">
        <f t="shared" si="97"/>
        <v>2020-04-10</v>
      </c>
    </row>
    <row r="852" spans="1:15" x14ac:dyDescent="0.2">
      <c r="A852" s="21" t="str">
        <f t="shared" si="91"/>
        <v>y</v>
      </c>
      <c r="B852" s="24">
        <v>44078</v>
      </c>
      <c r="C852" t="s">
        <v>1064</v>
      </c>
      <c r="D852" t="s">
        <v>13</v>
      </c>
      <c r="E852" t="s">
        <v>43</v>
      </c>
      <c r="F852" t="s">
        <v>2</v>
      </c>
      <c r="G852" t="s">
        <v>1065</v>
      </c>
      <c r="H852" t="s">
        <v>2005</v>
      </c>
      <c r="I852" s="22" t="str">
        <f t="shared" si="92"/>
        <v>2020-04-09</v>
      </c>
      <c r="J852" s="23" t="str">
        <f t="shared" si="93"/>
        <v>44</v>
      </c>
      <c r="K852" t="str">
        <f t="shared" si="94"/>
        <v>yes</v>
      </c>
      <c r="L852">
        <v>44</v>
      </c>
      <c r="M852" t="str">
        <f t="shared" si="95"/>
        <v>2020-04-09</v>
      </c>
      <c r="N852" s="20">
        <f t="shared" si="96"/>
        <v>43931</v>
      </c>
      <c r="O852" t="str">
        <f t="shared" si="97"/>
        <v>2020-04-10</v>
      </c>
    </row>
    <row r="853" spans="1:15" x14ac:dyDescent="0.2">
      <c r="A853" s="21" t="str">
        <f t="shared" si="91"/>
        <v>y</v>
      </c>
      <c r="B853" s="24">
        <v>44078</v>
      </c>
      <c r="C853" t="s">
        <v>701</v>
      </c>
      <c r="D853" t="s">
        <v>13</v>
      </c>
      <c r="E853" t="s">
        <v>8</v>
      </c>
      <c r="F853" t="s">
        <v>2</v>
      </c>
      <c r="H853" t="s">
        <v>1978</v>
      </c>
      <c r="I853" s="22" t="str">
        <f t="shared" si="92"/>
        <v>2020-04-09</v>
      </c>
      <c r="J853" s="23" t="str">
        <f t="shared" si="93"/>
        <v>44</v>
      </c>
      <c r="K853" t="str">
        <f t="shared" si="94"/>
        <v>yes</v>
      </c>
      <c r="L853">
        <v>44</v>
      </c>
      <c r="M853" t="str">
        <f t="shared" si="95"/>
        <v>2020-04-09</v>
      </c>
      <c r="N853" s="20">
        <f t="shared" si="96"/>
        <v>43931</v>
      </c>
      <c r="O853" t="str">
        <f t="shared" si="97"/>
        <v>2020-04-10</v>
      </c>
    </row>
    <row r="854" spans="1:15" x14ac:dyDescent="0.2">
      <c r="A854" s="21" t="str">
        <f t="shared" si="91"/>
        <v>y</v>
      </c>
      <c r="B854" s="24">
        <v>44047</v>
      </c>
      <c r="C854" t="s">
        <v>975</v>
      </c>
      <c r="D854" t="s">
        <v>13</v>
      </c>
      <c r="E854" t="s">
        <v>43</v>
      </c>
      <c r="F854" t="s">
        <v>2</v>
      </c>
      <c r="H854" t="s">
        <v>1997</v>
      </c>
      <c r="I854" s="22" t="str">
        <f t="shared" si="92"/>
        <v>2020-04-08</v>
      </c>
      <c r="J854" s="23" t="str">
        <f t="shared" si="93"/>
        <v>44</v>
      </c>
      <c r="K854" t="str">
        <f t="shared" si="94"/>
        <v>yes</v>
      </c>
      <c r="L854">
        <v>44</v>
      </c>
      <c r="M854" t="str">
        <f t="shared" si="95"/>
        <v>2020-04-08</v>
      </c>
      <c r="N854" s="20">
        <f t="shared" si="96"/>
        <v>43930</v>
      </c>
      <c r="O854" t="str">
        <f t="shared" si="97"/>
        <v>2020-04-09</v>
      </c>
    </row>
    <row r="855" spans="1:15" x14ac:dyDescent="0.2">
      <c r="A855" s="21" t="str">
        <f t="shared" si="91"/>
        <v>y</v>
      </c>
      <c r="B855" s="24">
        <v>44047</v>
      </c>
      <c r="C855" t="s">
        <v>1034</v>
      </c>
      <c r="D855" t="s">
        <v>13</v>
      </c>
      <c r="E855" t="s">
        <v>27</v>
      </c>
      <c r="F855" t="s">
        <v>2</v>
      </c>
      <c r="H855" t="s">
        <v>2012</v>
      </c>
      <c r="I855" s="22" t="str">
        <f t="shared" si="92"/>
        <v>2020-04-08</v>
      </c>
      <c r="J855" s="23" t="str">
        <f t="shared" si="93"/>
        <v>44</v>
      </c>
      <c r="K855" t="str">
        <f t="shared" si="94"/>
        <v>yes</v>
      </c>
      <c r="L855">
        <v>44</v>
      </c>
      <c r="M855" t="str">
        <f t="shared" si="95"/>
        <v>2020-04-08</v>
      </c>
      <c r="N855" s="20">
        <f t="shared" si="96"/>
        <v>43930</v>
      </c>
      <c r="O855" t="str">
        <f t="shared" si="97"/>
        <v>2020-04-09</v>
      </c>
    </row>
    <row r="856" spans="1:15" x14ac:dyDescent="0.2">
      <c r="A856" s="21" t="str">
        <f t="shared" si="91"/>
        <v>y</v>
      </c>
      <c r="B856" s="24">
        <v>44047</v>
      </c>
      <c r="C856" t="s">
        <v>1048</v>
      </c>
      <c r="D856" t="s">
        <v>14</v>
      </c>
      <c r="E856" t="s">
        <v>27</v>
      </c>
      <c r="F856" t="s">
        <v>29</v>
      </c>
      <c r="G856" t="s">
        <v>1059</v>
      </c>
      <c r="H856" t="s">
        <v>1958</v>
      </c>
      <c r="I856" s="22" t="str">
        <f t="shared" si="92"/>
        <v>2020-04-08</v>
      </c>
      <c r="J856" s="23" t="str">
        <f t="shared" si="93"/>
        <v>44</v>
      </c>
      <c r="K856" t="str">
        <f t="shared" si="94"/>
        <v>yes</v>
      </c>
      <c r="L856">
        <v>44</v>
      </c>
      <c r="M856" t="str">
        <f t="shared" si="95"/>
        <v>2020-04-08</v>
      </c>
      <c r="N856" s="20" t="str">
        <f t="shared" si="96"/>
        <v>2020-04-08</v>
      </c>
      <c r="O856" t="str">
        <f t="shared" si="97"/>
        <v>2020-04-08</v>
      </c>
    </row>
    <row r="857" spans="1:15" x14ac:dyDescent="0.2">
      <c r="A857" s="21" t="str">
        <f t="shared" si="91"/>
        <v>y</v>
      </c>
      <c r="B857" s="24">
        <v>44047</v>
      </c>
      <c r="C857" t="s">
        <v>235</v>
      </c>
      <c r="D857" t="s">
        <v>13</v>
      </c>
      <c r="E857" t="s">
        <v>42</v>
      </c>
      <c r="F857" t="s">
        <v>29</v>
      </c>
      <c r="G857" t="s">
        <v>1058</v>
      </c>
      <c r="H857" t="s">
        <v>1976</v>
      </c>
      <c r="I857" s="22" t="str">
        <f t="shared" si="92"/>
        <v>2020-04-08</v>
      </c>
      <c r="J857" s="23" t="str">
        <f t="shared" si="93"/>
        <v>44</v>
      </c>
      <c r="K857" t="str">
        <f t="shared" si="94"/>
        <v>yes</v>
      </c>
      <c r="L857">
        <v>44</v>
      </c>
      <c r="M857" t="str">
        <f t="shared" si="95"/>
        <v>2020-04-08</v>
      </c>
      <c r="N857" s="20" t="str">
        <f t="shared" si="96"/>
        <v>2020-04-08</v>
      </c>
      <c r="O857" t="str">
        <f t="shared" si="97"/>
        <v>2020-04-08</v>
      </c>
    </row>
    <row r="858" spans="1:15" x14ac:dyDescent="0.2">
      <c r="A858" s="21" t="str">
        <f t="shared" si="91"/>
        <v>y</v>
      </c>
      <c r="B858" s="24">
        <v>44047</v>
      </c>
      <c r="C858" t="s">
        <v>616</v>
      </c>
      <c r="D858" t="s">
        <v>13</v>
      </c>
      <c r="E858" t="s">
        <v>42</v>
      </c>
      <c r="F858" t="s">
        <v>29</v>
      </c>
      <c r="G858" t="s">
        <v>1060</v>
      </c>
      <c r="H858" t="s">
        <v>1978</v>
      </c>
      <c r="I858" s="22" t="str">
        <f t="shared" si="92"/>
        <v>2020-04-08</v>
      </c>
      <c r="J858" s="23" t="str">
        <f t="shared" si="93"/>
        <v>44</v>
      </c>
      <c r="K858" t="str">
        <f t="shared" si="94"/>
        <v>yes</v>
      </c>
      <c r="L858">
        <v>44</v>
      </c>
      <c r="M858" t="str">
        <f t="shared" si="95"/>
        <v>2020-04-08</v>
      </c>
      <c r="N858" s="20" t="str">
        <f t="shared" si="96"/>
        <v>2020-04-08</v>
      </c>
      <c r="O858" t="str">
        <f t="shared" si="97"/>
        <v>2020-04-08</v>
      </c>
    </row>
    <row r="859" spans="1:15" x14ac:dyDescent="0.2">
      <c r="A859" s="21" t="str">
        <f t="shared" si="91"/>
        <v>y</v>
      </c>
      <c r="B859" s="24">
        <v>44016</v>
      </c>
      <c r="C859" t="s">
        <v>975</v>
      </c>
      <c r="D859" t="s">
        <v>13</v>
      </c>
      <c r="E859" t="s">
        <v>43</v>
      </c>
      <c r="F859" t="s">
        <v>2</v>
      </c>
      <c r="H859" t="s">
        <v>1997</v>
      </c>
      <c r="I859" s="22" t="str">
        <f t="shared" si="92"/>
        <v>2020-04-07</v>
      </c>
      <c r="J859" s="23" t="str">
        <f t="shared" si="93"/>
        <v>44</v>
      </c>
      <c r="K859" t="str">
        <f t="shared" si="94"/>
        <v>yes</v>
      </c>
      <c r="L859">
        <v>44</v>
      </c>
      <c r="M859" t="str">
        <f t="shared" si="95"/>
        <v>2020-04-07</v>
      </c>
      <c r="N859" s="20">
        <f t="shared" si="96"/>
        <v>43929</v>
      </c>
      <c r="O859" t="str">
        <f t="shared" si="97"/>
        <v>2020-04-08</v>
      </c>
    </row>
    <row r="860" spans="1:15" x14ac:dyDescent="0.2">
      <c r="A860" s="21" t="str">
        <f t="shared" si="91"/>
        <v>y</v>
      </c>
      <c r="B860" s="24">
        <v>44016</v>
      </c>
      <c r="C860" t="s">
        <v>1034</v>
      </c>
      <c r="D860" t="s">
        <v>13</v>
      </c>
      <c r="E860" t="s">
        <v>27</v>
      </c>
      <c r="F860" t="s">
        <v>2</v>
      </c>
      <c r="G860" t="s">
        <v>1056</v>
      </c>
      <c r="H860" t="s">
        <v>2012</v>
      </c>
      <c r="I860" s="22" t="str">
        <f t="shared" si="92"/>
        <v>2020-04-07</v>
      </c>
      <c r="J860" s="23" t="str">
        <f t="shared" si="93"/>
        <v>44</v>
      </c>
      <c r="K860" t="str">
        <f t="shared" si="94"/>
        <v>yes</v>
      </c>
      <c r="L860">
        <v>44</v>
      </c>
      <c r="M860" t="str">
        <f t="shared" si="95"/>
        <v>2020-04-07</v>
      </c>
      <c r="N860" s="20">
        <f t="shared" si="96"/>
        <v>43929</v>
      </c>
      <c r="O860" t="str">
        <f t="shared" si="97"/>
        <v>2020-04-08</v>
      </c>
    </row>
    <row r="861" spans="1:15" x14ac:dyDescent="0.2">
      <c r="A861" s="21" t="str">
        <f t="shared" si="91"/>
        <v>y</v>
      </c>
      <c r="B861" s="24">
        <v>44016</v>
      </c>
      <c r="C861" t="s">
        <v>1048</v>
      </c>
      <c r="D861" t="s">
        <v>14</v>
      </c>
      <c r="E861" t="s">
        <v>49</v>
      </c>
      <c r="F861" t="s">
        <v>2</v>
      </c>
      <c r="G861" t="s">
        <v>1057</v>
      </c>
      <c r="H861" t="s">
        <v>1958</v>
      </c>
      <c r="I861" s="22" t="str">
        <f t="shared" si="92"/>
        <v>2020-04-07</v>
      </c>
      <c r="J861" s="23" t="str">
        <f t="shared" si="93"/>
        <v>44</v>
      </c>
      <c r="K861" t="str">
        <f t="shared" si="94"/>
        <v>yes</v>
      </c>
      <c r="L861">
        <v>44</v>
      </c>
      <c r="M861" t="str">
        <f t="shared" si="95"/>
        <v>2020-04-07</v>
      </c>
      <c r="N861" s="20">
        <f t="shared" si="96"/>
        <v>43929</v>
      </c>
      <c r="O861" t="str">
        <f t="shared" si="97"/>
        <v>2020-04-08</v>
      </c>
    </row>
    <row r="862" spans="1:15" x14ac:dyDescent="0.2">
      <c r="A862" s="21" t="str">
        <f t="shared" si="91"/>
        <v>y</v>
      </c>
      <c r="B862" s="24">
        <v>44016</v>
      </c>
      <c r="C862" t="s">
        <v>235</v>
      </c>
      <c r="D862" t="s">
        <v>13</v>
      </c>
      <c r="E862" t="s">
        <v>8</v>
      </c>
      <c r="F862" t="s">
        <v>2</v>
      </c>
      <c r="H862" t="s">
        <v>1976</v>
      </c>
      <c r="I862" s="22" t="str">
        <f t="shared" si="92"/>
        <v>2020-04-07</v>
      </c>
      <c r="J862" s="23" t="str">
        <f t="shared" si="93"/>
        <v>44</v>
      </c>
      <c r="K862" t="str">
        <f t="shared" si="94"/>
        <v>yes</v>
      </c>
      <c r="L862">
        <v>44</v>
      </c>
      <c r="M862" t="str">
        <f t="shared" si="95"/>
        <v>2020-04-07</v>
      </c>
      <c r="N862" s="20">
        <f t="shared" si="96"/>
        <v>43929</v>
      </c>
      <c r="O862" t="str">
        <f t="shared" si="97"/>
        <v>2020-04-08</v>
      </c>
    </row>
    <row r="863" spans="1:15" x14ac:dyDescent="0.2">
      <c r="A863" s="21" t="str">
        <f t="shared" si="91"/>
        <v>y</v>
      </c>
      <c r="B863" s="24">
        <v>44016</v>
      </c>
      <c r="C863" t="s">
        <v>616</v>
      </c>
      <c r="D863" t="s">
        <v>13</v>
      </c>
      <c r="E863" t="s">
        <v>34</v>
      </c>
      <c r="F863" t="s">
        <v>29</v>
      </c>
      <c r="G863" t="s">
        <v>1054</v>
      </c>
      <c r="H863" t="s">
        <v>1964</v>
      </c>
      <c r="I863" s="22" t="str">
        <f t="shared" si="92"/>
        <v>2020-04-07</v>
      </c>
      <c r="J863" s="23" t="str">
        <f t="shared" si="93"/>
        <v>44</v>
      </c>
      <c r="K863" t="str">
        <f t="shared" si="94"/>
        <v>yes</v>
      </c>
      <c r="L863">
        <v>44</v>
      </c>
      <c r="M863" t="str">
        <f t="shared" si="95"/>
        <v>2020-04-07</v>
      </c>
      <c r="N863" s="20" t="str">
        <f t="shared" si="96"/>
        <v>2020-04-07</v>
      </c>
      <c r="O863" t="str">
        <f t="shared" si="97"/>
        <v>2020-04-07</v>
      </c>
    </row>
    <row r="864" spans="1:15" x14ac:dyDescent="0.2">
      <c r="A864" s="21" t="str">
        <f t="shared" si="91"/>
        <v>y</v>
      </c>
      <c r="B864" s="24">
        <v>44016</v>
      </c>
      <c r="C864" t="s">
        <v>345</v>
      </c>
      <c r="D864" t="s">
        <v>13</v>
      </c>
      <c r="E864" t="s">
        <v>8</v>
      </c>
      <c r="F864" t="s">
        <v>29</v>
      </c>
      <c r="G864" t="s">
        <v>1055</v>
      </c>
      <c r="H864" t="s">
        <v>1978</v>
      </c>
      <c r="I864" s="22" t="str">
        <f t="shared" si="92"/>
        <v>2020-04-07</v>
      </c>
      <c r="J864" s="23" t="str">
        <f t="shared" si="93"/>
        <v>44</v>
      </c>
      <c r="K864" t="str">
        <f t="shared" si="94"/>
        <v>yes</v>
      </c>
      <c r="L864">
        <v>44</v>
      </c>
      <c r="M864" t="str">
        <f t="shared" si="95"/>
        <v>2020-04-07</v>
      </c>
      <c r="N864" s="20" t="str">
        <f t="shared" si="96"/>
        <v>2020-04-07</v>
      </c>
      <c r="O864" t="str">
        <f t="shared" si="97"/>
        <v>2020-04-07</v>
      </c>
    </row>
    <row r="865" spans="1:15" x14ac:dyDescent="0.2">
      <c r="A865" s="21" t="str">
        <f t="shared" si="91"/>
        <v>y</v>
      </c>
      <c r="B865" s="24">
        <v>43986</v>
      </c>
      <c r="C865" t="s">
        <v>975</v>
      </c>
      <c r="D865" t="s">
        <v>13</v>
      </c>
      <c r="E865" t="s">
        <v>43</v>
      </c>
      <c r="F865" t="s">
        <v>2</v>
      </c>
      <c r="H865" t="s">
        <v>1997</v>
      </c>
      <c r="I865" s="22" t="str">
        <f t="shared" si="92"/>
        <v>2020-04-06</v>
      </c>
      <c r="J865" s="23" t="str">
        <f t="shared" si="93"/>
        <v>43</v>
      </c>
      <c r="K865" t="str">
        <f t="shared" si="94"/>
        <v>yes</v>
      </c>
      <c r="L865">
        <v>43</v>
      </c>
      <c r="M865" t="str">
        <f t="shared" si="95"/>
        <v>2020-04-06</v>
      </c>
      <c r="N865" s="20">
        <f t="shared" si="96"/>
        <v>43928</v>
      </c>
      <c r="O865" t="str">
        <f t="shared" si="97"/>
        <v>2020-04-07</v>
      </c>
    </row>
    <row r="866" spans="1:15" x14ac:dyDescent="0.2">
      <c r="A866" s="21" t="str">
        <f t="shared" si="91"/>
        <v>y</v>
      </c>
      <c r="B866" s="24">
        <v>43986</v>
      </c>
      <c r="C866" t="s">
        <v>1034</v>
      </c>
      <c r="D866" t="s">
        <v>13</v>
      </c>
      <c r="E866" t="s">
        <v>27</v>
      </c>
      <c r="F866" t="s">
        <v>2</v>
      </c>
      <c r="H866" t="s">
        <v>2012</v>
      </c>
      <c r="I866" s="22" t="str">
        <f t="shared" si="92"/>
        <v>2020-04-06</v>
      </c>
      <c r="J866" s="23" t="str">
        <f t="shared" si="93"/>
        <v>43</v>
      </c>
      <c r="K866" t="str">
        <f t="shared" si="94"/>
        <v>yes</v>
      </c>
      <c r="L866">
        <v>43</v>
      </c>
      <c r="M866" t="str">
        <f t="shared" si="95"/>
        <v>2020-04-06</v>
      </c>
      <c r="N866" s="20">
        <f t="shared" si="96"/>
        <v>43928</v>
      </c>
      <c r="O866" t="str">
        <f t="shared" si="97"/>
        <v>2020-04-07</v>
      </c>
    </row>
    <row r="867" spans="1:15" x14ac:dyDescent="0.2">
      <c r="A867" s="21" t="str">
        <f t="shared" si="91"/>
        <v>y</v>
      </c>
      <c r="B867" s="24">
        <v>43986</v>
      </c>
      <c r="C867" t="s">
        <v>1048</v>
      </c>
      <c r="D867" t="s">
        <v>14</v>
      </c>
      <c r="E867" t="s">
        <v>49</v>
      </c>
      <c r="F867" t="s">
        <v>29</v>
      </c>
      <c r="G867" t="s">
        <v>1053</v>
      </c>
      <c r="H867" t="s">
        <v>1958</v>
      </c>
      <c r="I867" s="22" t="str">
        <f t="shared" si="92"/>
        <v>2020-04-06</v>
      </c>
      <c r="J867" s="23" t="str">
        <f t="shared" si="93"/>
        <v>43</v>
      </c>
      <c r="K867" t="str">
        <f t="shared" si="94"/>
        <v>yes</v>
      </c>
      <c r="L867">
        <v>43</v>
      </c>
      <c r="M867" t="str">
        <f t="shared" si="95"/>
        <v>2020-04-06</v>
      </c>
      <c r="N867" s="20" t="str">
        <f t="shared" si="96"/>
        <v>2020-04-06</v>
      </c>
      <c r="O867" t="str">
        <f t="shared" si="97"/>
        <v>2020-04-06</v>
      </c>
    </row>
    <row r="868" spans="1:15" x14ac:dyDescent="0.2">
      <c r="A868" s="21" t="str">
        <f t="shared" si="91"/>
        <v>y</v>
      </c>
      <c r="B868" s="24">
        <v>43986</v>
      </c>
      <c r="C868" t="s">
        <v>235</v>
      </c>
      <c r="D868" t="s">
        <v>13</v>
      </c>
      <c r="E868" t="s">
        <v>8</v>
      </c>
      <c r="F868" t="s">
        <v>29</v>
      </c>
      <c r="G868" t="s">
        <v>1052</v>
      </c>
      <c r="H868" t="s">
        <v>1978</v>
      </c>
      <c r="I868" s="22" t="str">
        <f t="shared" si="92"/>
        <v>2020-04-06</v>
      </c>
      <c r="J868" s="23" t="str">
        <f t="shared" si="93"/>
        <v>43</v>
      </c>
      <c r="K868" t="str">
        <f t="shared" si="94"/>
        <v>yes</v>
      </c>
      <c r="L868">
        <v>43</v>
      </c>
      <c r="M868" t="str">
        <f t="shared" si="95"/>
        <v>2020-04-06</v>
      </c>
      <c r="N868" s="20" t="str">
        <f t="shared" si="96"/>
        <v>2020-04-06</v>
      </c>
      <c r="O868" t="str">
        <f t="shared" si="97"/>
        <v>2020-04-06</v>
      </c>
    </row>
    <row r="869" spans="1:15" x14ac:dyDescent="0.2">
      <c r="A869" s="21" t="str">
        <f t="shared" si="91"/>
        <v>y</v>
      </c>
      <c r="B869" s="24">
        <v>43955</v>
      </c>
      <c r="C869" t="s">
        <v>975</v>
      </c>
      <c r="D869" t="s">
        <v>13</v>
      </c>
      <c r="E869" t="s">
        <v>43</v>
      </c>
      <c r="F869" t="s">
        <v>2</v>
      </c>
      <c r="H869" t="s">
        <v>1997</v>
      </c>
      <c r="I869" s="22" t="str">
        <f t="shared" si="92"/>
        <v>2020-04-05</v>
      </c>
      <c r="J869" s="23" t="str">
        <f t="shared" si="93"/>
        <v>43</v>
      </c>
      <c r="K869" t="str">
        <f t="shared" si="94"/>
        <v>yes</v>
      </c>
      <c r="L869">
        <v>43</v>
      </c>
      <c r="M869" t="str">
        <f t="shared" si="95"/>
        <v>2020-04-05</v>
      </c>
      <c r="N869" s="20">
        <f t="shared" si="96"/>
        <v>43927</v>
      </c>
      <c r="O869" t="str">
        <f t="shared" si="97"/>
        <v>2020-04-06</v>
      </c>
    </row>
    <row r="870" spans="1:15" x14ac:dyDescent="0.2">
      <c r="A870" s="21" t="str">
        <f t="shared" si="91"/>
        <v>y</v>
      </c>
      <c r="B870" s="24">
        <v>43955</v>
      </c>
      <c r="C870" t="s">
        <v>1034</v>
      </c>
      <c r="D870" t="s">
        <v>13</v>
      </c>
      <c r="E870" t="s">
        <v>27</v>
      </c>
      <c r="F870" t="s">
        <v>2</v>
      </c>
      <c r="H870" t="s">
        <v>2012</v>
      </c>
      <c r="I870" s="22" t="str">
        <f t="shared" si="92"/>
        <v>2020-04-05</v>
      </c>
      <c r="J870" s="23" t="str">
        <f t="shared" si="93"/>
        <v>43</v>
      </c>
      <c r="K870" t="str">
        <f t="shared" si="94"/>
        <v>yes</v>
      </c>
      <c r="L870">
        <v>43</v>
      </c>
      <c r="M870" t="str">
        <f t="shared" si="95"/>
        <v>2020-04-05</v>
      </c>
      <c r="N870" s="20">
        <f t="shared" si="96"/>
        <v>43927</v>
      </c>
      <c r="O870" t="str">
        <f t="shared" si="97"/>
        <v>2020-04-06</v>
      </c>
    </row>
    <row r="871" spans="1:15" x14ac:dyDescent="0.2">
      <c r="A871" s="21" t="str">
        <f t="shared" si="91"/>
        <v>y</v>
      </c>
      <c r="B871" s="24">
        <v>43955</v>
      </c>
      <c r="C871" t="s">
        <v>1048</v>
      </c>
      <c r="D871" t="s">
        <v>14</v>
      </c>
      <c r="E871" t="s">
        <v>27</v>
      </c>
      <c r="F871" t="s">
        <v>29</v>
      </c>
      <c r="G871" t="s">
        <v>1051</v>
      </c>
      <c r="H871" t="s">
        <v>1958</v>
      </c>
      <c r="I871" s="22" t="str">
        <f t="shared" si="92"/>
        <v>2020-04-05</v>
      </c>
      <c r="J871" s="23" t="str">
        <f t="shared" si="93"/>
        <v>43</v>
      </c>
      <c r="K871" t="str">
        <f t="shared" si="94"/>
        <v>yes</v>
      </c>
      <c r="L871">
        <v>43</v>
      </c>
      <c r="M871" t="str">
        <f t="shared" si="95"/>
        <v>2020-04-05</v>
      </c>
      <c r="N871" s="20" t="str">
        <f t="shared" si="96"/>
        <v>2020-04-05</v>
      </c>
      <c r="O871" t="str">
        <f t="shared" si="97"/>
        <v>2020-04-05</v>
      </c>
    </row>
    <row r="872" spans="1:15" x14ac:dyDescent="0.2">
      <c r="A872" s="21" t="str">
        <f t="shared" si="91"/>
        <v>y</v>
      </c>
      <c r="B872" s="24">
        <v>43955</v>
      </c>
      <c r="C872" t="s">
        <v>235</v>
      </c>
      <c r="D872" t="s">
        <v>13</v>
      </c>
      <c r="E872" t="s">
        <v>8</v>
      </c>
      <c r="F872" t="s">
        <v>29</v>
      </c>
      <c r="G872" t="s">
        <v>1050</v>
      </c>
      <c r="H872" t="s">
        <v>1964</v>
      </c>
      <c r="I872" s="22" t="str">
        <f t="shared" si="92"/>
        <v>2020-04-05</v>
      </c>
      <c r="J872" s="23" t="str">
        <f t="shared" si="93"/>
        <v>43</v>
      </c>
      <c r="K872" t="str">
        <f t="shared" si="94"/>
        <v>yes</v>
      </c>
      <c r="L872">
        <v>43</v>
      </c>
      <c r="M872" t="str">
        <f t="shared" si="95"/>
        <v>2020-04-05</v>
      </c>
      <c r="N872" s="20" t="str">
        <f t="shared" si="96"/>
        <v>2020-04-05</v>
      </c>
      <c r="O872" t="str">
        <f t="shared" si="97"/>
        <v>2020-04-05</v>
      </c>
    </row>
    <row r="873" spans="1:15" x14ac:dyDescent="0.2">
      <c r="A873" s="21" t="str">
        <f t="shared" si="91"/>
        <v>y</v>
      </c>
      <c r="B873" s="24">
        <v>43955</v>
      </c>
      <c r="C873" t="s">
        <v>345</v>
      </c>
      <c r="D873" t="s">
        <v>13</v>
      </c>
      <c r="E873" t="s">
        <v>8</v>
      </c>
      <c r="F873" t="s">
        <v>29</v>
      </c>
      <c r="G873" t="s">
        <v>1050</v>
      </c>
      <c r="H873" t="s">
        <v>1976</v>
      </c>
      <c r="I873" s="22" t="str">
        <f t="shared" si="92"/>
        <v>2020-04-05</v>
      </c>
      <c r="J873" s="23" t="str">
        <f t="shared" si="93"/>
        <v>43</v>
      </c>
      <c r="K873" t="str">
        <f t="shared" si="94"/>
        <v>yes</v>
      </c>
      <c r="L873">
        <v>43</v>
      </c>
      <c r="M873" t="str">
        <f t="shared" si="95"/>
        <v>2020-04-05</v>
      </c>
      <c r="N873" s="20" t="str">
        <f t="shared" si="96"/>
        <v>2020-04-05</v>
      </c>
      <c r="O873" t="str">
        <f t="shared" si="97"/>
        <v>2020-04-05</v>
      </c>
    </row>
    <row r="874" spans="1:15" x14ac:dyDescent="0.2">
      <c r="A874" s="21" t="str">
        <f t="shared" si="91"/>
        <v>y</v>
      </c>
      <c r="B874" s="24">
        <v>43955</v>
      </c>
      <c r="C874" t="s">
        <v>616</v>
      </c>
      <c r="D874" t="s">
        <v>13</v>
      </c>
      <c r="E874" t="s">
        <v>8</v>
      </c>
      <c r="F874" t="s">
        <v>29</v>
      </c>
      <c r="G874" t="s">
        <v>1050</v>
      </c>
      <c r="H874" t="s">
        <v>1978</v>
      </c>
      <c r="I874" s="22" t="str">
        <f t="shared" si="92"/>
        <v>2020-04-05</v>
      </c>
      <c r="J874" s="23" t="str">
        <f t="shared" si="93"/>
        <v>43</v>
      </c>
      <c r="K874" t="str">
        <f t="shared" si="94"/>
        <v>yes</v>
      </c>
      <c r="L874">
        <v>43</v>
      </c>
      <c r="M874" t="str">
        <f t="shared" si="95"/>
        <v>2020-04-05</v>
      </c>
      <c r="N874" s="20" t="str">
        <f t="shared" si="96"/>
        <v>2020-04-05</v>
      </c>
      <c r="O874" t="str">
        <f t="shared" si="97"/>
        <v>2020-04-05</v>
      </c>
    </row>
    <row r="875" spans="1:15" x14ac:dyDescent="0.2">
      <c r="A875" s="21" t="str">
        <f t="shared" si="91"/>
        <v>y</v>
      </c>
      <c r="B875" s="24">
        <v>43925</v>
      </c>
      <c r="C875" t="s">
        <v>975</v>
      </c>
      <c r="D875" t="s">
        <v>13</v>
      </c>
      <c r="E875" t="s">
        <v>43</v>
      </c>
      <c r="F875" t="s">
        <v>2</v>
      </c>
      <c r="H875" t="s">
        <v>1997</v>
      </c>
      <c r="I875" s="22" t="str">
        <f t="shared" si="92"/>
        <v>2020-04-04</v>
      </c>
      <c r="J875" s="23" t="str">
        <f t="shared" si="93"/>
        <v>43</v>
      </c>
      <c r="K875" t="str">
        <f t="shared" si="94"/>
        <v>yes</v>
      </c>
      <c r="L875">
        <v>43</v>
      </c>
      <c r="M875" t="str">
        <f t="shared" si="95"/>
        <v>2020-04-04</v>
      </c>
      <c r="N875" s="20">
        <f t="shared" si="96"/>
        <v>43926</v>
      </c>
      <c r="O875" t="str">
        <f t="shared" si="97"/>
        <v>2020-04-05</v>
      </c>
    </row>
    <row r="876" spans="1:15" x14ac:dyDescent="0.2">
      <c r="A876" s="21" t="str">
        <f t="shared" si="91"/>
        <v>y</v>
      </c>
      <c r="B876" s="24">
        <v>43925</v>
      </c>
      <c r="C876" t="s">
        <v>1034</v>
      </c>
      <c r="D876" t="s">
        <v>13</v>
      </c>
      <c r="E876" t="s">
        <v>27</v>
      </c>
      <c r="F876" t="s">
        <v>2</v>
      </c>
      <c r="G876" t="s">
        <v>1044</v>
      </c>
      <c r="H876" t="s">
        <v>1976</v>
      </c>
      <c r="I876" s="22" t="str">
        <f t="shared" si="92"/>
        <v>2020-04-04</v>
      </c>
      <c r="J876" s="23" t="str">
        <f t="shared" si="93"/>
        <v>43</v>
      </c>
      <c r="K876" t="str">
        <f t="shared" si="94"/>
        <v>yes</v>
      </c>
      <c r="L876">
        <v>43</v>
      </c>
      <c r="M876" t="str">
        <f t="shared" si="95"/>
        <v>2020-04-04</v>
      </c>
      <c r="N876" s="20">
        <f t="shared" si="96"/>
        <v>43926</v>
      </c>
      <c r="O876" t="str">
        <f t="shared" si="97"/>
        <v>2020-04-05</v>
      </c>
    </row>
    <row r="877" spans="1:15" x14ac:dyDescent="0.2">
      <c r="A877" s="21" t="str">
        <f t="shared" si="91"/>
        <v>y</v>
      </c>
      <c r="B877" s="24">
        <v>43925</v>
      </c>
      <c r="C877" t="s">
        <v>616</v>
      </c>
      <c r="D877" t="s">
        <v>13</v>
      </c>
      <c r="E877" t="s">
        <v>34</v>
      </c>
      <c r="F877" t="s">
        <v>29</v>
      </c>
      <c r="G877" t="s">
        <v>1049</v>
      </c>
      <c r="H877" t="s">
        <v>1964</v>
      </c>
      <c r="I877" s="22" t="str">
        <f t="shared" si="92"/>
        <v>2020-04-04</v>
      </c>
      <c r="J877" s="23" t="str">
        <f t="shared" si="93"/>
        <v>43</v>
      </c>
      <c r="K877" t="str">
        <f t="shared" si="94"/>
        <v>yes</v>
      </c>
      <c r="L877">
        <v>43</v>
      </c>
      <c r="M877" t="str">
        <f t="shared" si="95"/>
        <v>2020-04-04</v>
      </c>
      <c r="N877" s="20" t="str">
        <f t="shared" si="96"/>
        <v>2020-04-04</v>
      </c>
      <c r="O877" t="str">
        <f t="shared" si="97"/>
        <v>2020-04-04</v>
      </c>
    </row>
    <row r="878" spans="1:15" x14ac:dyDescent="0.2">
      <c r="A878" s="21" t="str">
        <f t="shared" si="91"/>
        <v>y</v>
      </c>
      <c r="B878" s="24">
        <v>43925</v>
      </c>
      <c r="C878" t="s">
        <v>345</v>
      </c>
      <c r="D878" t="s">
        <v>13</v>
      </c>
      <c r="E878" t="s">
        <v>34</v>
      </c>
      <c r="F878" t="s">
        <v>29</v>
      </c>
      <c r="G878" t="s">
        <v>1047</v>
      </c>
      <c r="H878" t="s">
        <v>2012</v>
      </c>
      <c r="I878" s="22" t="str">
        <f t="shared" si="92"/>
        <v>2020-04-04</v>
      </c>
      <c r="J878" s="23" t="str">
        <f t="shared" si="93"/>
        <v>43</v>
      </c>
      <c r="K878" t="str">
        <f t="shared" si="94"/>
        <v>yes</v>
      </c>
      <c r="L878">
        <v>43</v>
      </c>
      <c r="M878" t="str">
        <f t="shared" si="95"/>
        <v>2020-04-04</v>
      </c>
      <c r="N878" s="20" t="str">
        <f t="shared" si="96"/>
        <v>2020-04-04</v>
      </c>
      <c r="O878" t="str">
        <f t="shared" si="97"/>
        <v>2020-04-04</v>
      </c>
    </row>
    <row r="879" spans="1:15" x14ac:dyDescent="0.2">
      <c r="A879" s="21" t="str">
        <f t="shared" si="91"/>
        <v>y</v>
      </c>
      <c r="B879" s="24">
        <v>43925</v>
      </c>
      <c r="C879" t="s">
        <v>1048</v>
      </c>
      <c r="D879" t="s">
        <v>14</v>
      </c>
      <c r="E879" t="s">
        <v>27</v>
      </c>
      <c r="F879" t="s">
        <v>2</v>
      </c>
      <c r="H879" t="s">
        <v>1978</v>
      </c>
      <c r="I879" s="22" t="str">
        <f t="shared" si="92"/>
        <v>2020-04-04</v>
      </c>
      <c r="J879" s="23" t="str">
        <f t="shared" si="93"/>
        <v>43</v>
      </c>
      <c r="K879" t="str">
        <f t="shared" si="94"/>
        <v>yes</v>
      </c>
      <c r="L879">
        <v>43</v>
      </c>
      <c r="M879" t="str">
        <f t="shared" si="95"/>
        <v>2020-04-04</v>
      </c>
      <c r="N879" s="20">
        <f t="shared" si="96"/>
        <v>43926</v>
      </c>
      <c r="O879" t="str">
        <f t="shared" si="97"/>
        <v>2020-04-05</v>
      </c>
    </row>
    <row r="880" spans="1:15" x14ac:dyDescent="0.2">
      <c r="A880" s="21" t="str">
        <f t="shared" si="91"/>
        <v>y</v>
      </c>
      <c r="B880" s="24">
        <v>43865</v>
      </c>
      <c r="C880" t="s">
        <v>975</v>
      </c>
      <c r="D880" t="s">
        <v>13</v>
      </c>
      <c r="E880" t="s">
        <v>43</v>
      </c>
      <c r="F880" t="s">
        <v>2</v>
      </c>
      <c r="H880" t="s">
        <v>1997</v>
      </c>
      <c r="I880" s="22" t="str">
        <f t="shared" si="92"/>
        <v>2020-04-02</v>
      </c>
      <c r="J880" s="23" t="str">
        <f t="shared" si="93"/>
        <v>43</v>
      </c>
      <c r="K880" t="str">
        <f t="shared" si="94"/>
        <v>yes</v>
      </c>
      <c r="L880">
        <v>43</v>
      </c>
      <c r="M880" t="str">
        <f t="shared" si="95"/>
        <v>2020-04-02</v>
      </c>
      <c r="N880" s="20">
        <f t="shared" si="96"/>
        <v>43924</v>
      </c>
      <c r="O880" t="str">
        <f t="shared" si="97"/>
        <v>2020-04-03</v>
      </c>
    </row>
    <row r="881" spans="1:15" x14ac:dyDescent="0.2">
      <c r="A881" s="21" t="str">
        <f t="shared" si="91"/>
        <v>y</v>
      </c>
      <c r="B881" s="24">
        <v>43865</v>
      </c>
      <c r="C881" t="s">
        <v>1034</v>
      </c>
      <c r="D881" t="s">
        <v>13</v>
      </c>
      <c r="E881" t="s">
        <v>27</v>
      </c>
      <c r="F881" t="s">
        <v>2</v>
      </c>
      <c r="G881" t="s">
        <v>1044</v>
      </c>
      <c r="H881" t="s">
        <v>1958</v>
      </c>
      <c r="I881" s="22" t="str">
        <f t="shared" si="92"/>
        <v>2020-04-02</v>
      </c>
      <c r="J881" s="23" t="str">
        <f t="shared" si="93"/>
        <v>43</v>
      </c>
      <c r="K881" t="str">
        <f t="shared" si="94"/>
        <v>yes</v>
      </c>
      <c r="L881">
        <v>43</v>
      </c>
      <c r="M881" t="str">
        <f t="shared" si="95"/>
        <v>2020-04-02</v>
      </c>
      <c r="N881" s="20">
        <f t="shared" si="96"/>
        <v>43924</v>
      </c>
      <c r="O881" t="str">
        <f t="shared" si="97"/>
        <v>2020-04-03</v>
      </c>
    </row>
    <row r="882" spans="1:15" x14ac:dyDescent="0.2">
      <c r="A882" s="21" t="str">
        <f t="shared" si="91"/>
        <v>y</v>
      </c>
      <c r="B882" s="24">
        <v>43865</v>
      </c>
      <c r="C882" t="s">
        <v>235</v>
      </c>
      <c r="D882" t="s">
        <v>13</v>
      </c>
      <c r="E882" t="s">
        <v>34</v>
      </c>
      <c r="F882" t="s">
        <v>29</v>
      </c>
      <c r="G882" t="s">
        <v>1045</v>
      </c>
      <c r="H882" t="s">
        <v>1993</v>
      </c>
      <c r="I882" s="22" t="str">
        <f t="shared" si="92"/>
        <v>2020-04-02</v>
      </c>
      <c r="J882" s="23" t="str">
        <f t="shared" si="93"/>
        <v>43</v>
      </c>
      <c r="K882" t="str">
        <f t="shared" si="94"/>
        <v>yes</v>
      </c>
      <c r="L882">
        <v>43</v>
      </c>
      <c r="M882" t="str">
        <f t="shared" si="95"/>
        <v>2020-04-02</v>
      </c>
      <c r="N882" s="20" t="str">
        <f t="shared" si="96"/>
        <v>2020-04-02</v>
      </c>
      <c r="O882" t="str">
        <f t="shared" si="97"/>
        <v>2020-04-02</v>
      </c>
    </row>
    <row r="883" spans="1:15" x14ac:dyDescent="0.2">
      <c r="A883" s="21" t="str">
        <f t="shared" si="91"/>
        <v>y</v>
      </c>
      <c r="B883" s="24">
        <v>43865</v>
      </c>
      <c r="C883" t="s">
        <v>701</v>
      </c>
      <c r="D883" t="s">
        <v>13</v>
      </c>
      <c r="E883" t="s">
        <v>27</v>
      </c>
      <c r="F883" t="s">
        <v>29</v>
      </c>
      <c r="G883" t="s">
        <v>1046</v>
      </c>
      <c r="H883" t="s">
        <v>1976</v>
      </c>
      <c r="I883" s="22" t="str">
        <f t="shared" si="92"/>
        <v>2020-04-02</v>
      </c>
      <c r="J883" s="23" t="str">
        <f t="shared" si="93"/>
        <v>43</v>
      </c>
      <c r="K883" t="str">
        <f t="shared" si="94"/>
        <v>yes</v>
      </c>
      <c r="L883">
        <v>43</v>
      </c>
      <c r="M883" t="str">
        <f t="shared" si="95"/>
        <v>2020-04-02</v>
      </c>
      <c r="N883" s="20" t="str">
        <f t="shared" si="96"/>
        <v>2020-04-02</v>
      </c>
      <c r="O883" t="str">
        <f t="shared" si="97"/>
        <v>2020-04-02</v>
      </c>
    </row>
    <row r="884" spans="1:15" x14ac:dyDescent="0.2">
      <c r="A884" s="21" t="str">
        <f t="shared" si="91"/>
        <v>y</v>
      </c>
      <c r="B884" s="24">
        <v>43865</v>
      </c>
      <c r="C884" t="s">
        <v>616</v>
      </c>
      <c r="D884" t="s">
        <v>13</v>
      </c>
      <c r="E884" t="s">
        <v>34</v>
      </c>
      <c r="F884" t="s">
        <v>2</v>
      </c>
      <c r="H884" t="s">
        <v>2012</v>
      </c>
      <c r="I884" s="22" t="str">
        <f t="shared" si="92"/>
        <v>2020-04-02</v>
      </c>
      <c r="J884" s="23" t="str">
        <f t="shared" si="93"/>
        <v>43</v>
      </c>
      <c r="K884" t="str">
        <f t="shared" si="94"/>
        <v>yes</v>
      </c>
      <c r="L884">
        <v>43</v>
      </c>
      <c r="M884" t="str">
        <f t="shared" si="95"/>
        <v>2020-04-02</v>
      </c>
      <c r="N884" s="20">
        <f t="shared" si="96"/>
        <v>43924</v>
      </c>
      <c r="O884" t="str">
        <f t="shared" si="97"/>
        <v>2020-04-03</v>
      </c>
    </row>
    <row r="885" spans="1:15" x14ac:dyDescent="0.2">
      <c r="A885" s="21" t="str">
        <f t="shared" si="91"/>
        <v>y</v>
      </c>
      <c r="B885" s="24">
        <v>43865</v>
      </c>
      <c r="C885" t="s">
        <v>1048</v>
      </c>
      <c r="D885" t="s">
        <v>14</v>
      </c>
      <c r="E885" t="s">
        <v>27</v>
      </c>
      <c r="F885" t="s">
        <v>2</v>
      </c>
      <c r="H885" t="s">
        <v>1978</v>
      </c>
      <c r="I885" s="22" t="str">
        <f t="shared" si="92"/>
        <v>2020-04-02</v>
      </c>
      <c r="J885" s="23" t="str">
        <f t="shared" si="93"/>
        <v>43</v>
      </c>
      <c r="K885" t="str">
        <f t="shared" si="94"/>
        <v>yes</v>
      </c>
      <c r="L885">
        <v>43</v>
      </c>
      <c r="M885" t="str">
        <f t="shared" si="95"/>
        <v>2020-04-02</v>
      </c>
      <c r="N885" s="20">
        <f t="shared" si="96"/>
        <v>43924</v>
      </c>
      <c r="O885" t="str">
        <f t="shared" si="97"/>
        <v>2020-04-03</v>
      </c>
    </row>
    <row r="886" spans="1:15" x14ac:dyDescent="0.2">
      <c r="A886" s="21" t="str">
        <f t="shared" si="91"/>
        <v>y</v>
      </c>
      <c r="B886" s="24">
        <v>43834</v>
      </c>
      <c r="C886" t="s">
        <v>975</v>
      </c>
      <c r="D886" t="s">
        <v>13</v>
      </c>
      <c r="E886" t="s">
        <v>43</v>
      </c>
      <c r="F886" t="s">
        <v>2</v>
      </c>
      <c r="H886" t="s">
        <v>1964</v>
      </c>
      <c r="I886" s="22" t="str">
        <f t="shared" si="92"/>
        <v>2020-04-01</v>
      </c>
      <c r="J886" s="23" t="str">
        <f t="shared" si="93"/>
        <v>43</v>
      </c>
      <c r="K886" t="str">
        <f t="shared" si="94"/>
        <v>yes</v>
      </c>
      <c r="L886">
        <v>43</v>
      </c>
      <c r="M886" t="str">
        <f t="shared" si="95"/>
        <v>2020-04-01</v>
      </c>
      <c r="N886" s="20">
        <f t="shared" si="96"/>
        <v>43923</v>
      </c>
      <c r="O886" t="str">
        <f t="shared" si="97"/>
        <v>2020-04-02</v>
      </c>
    </row>
    <row r="887" spans="1:15" x14ac:dyDescent="0.2">
      <c r="A887" s="21" t="str">
        <f t="shared" si="91"/>
        <v>y</v>
      </c>
      <c r="B887" s="24">
        <v>43834</v>
      </c>
      <c r="C887" t="s">
        <v>345</v>
      </c>
      <c r="D887" t="s">
        <v>13</v>
      </c>
      <c r="E887" t="s">
        <v>34</v>
      </c>
      <c r="F887" t="s">
        <v>29</v>
      </c>
      <c r="G887" t="s">
        <v>1039</v>
      </c>
      <c r="H887" t="s">
        <v>1997</v>
      </c>
      <c r="I887" s="22" t="str">
        <f t="shared" si="92"/>
        <v>2020-04-01</v>
      </c>
      <c r="J887" s="23" t="str">
        <f t="shared" si="93"/>
        <v>43</v>
      </c>
      <c r="K887" t="str">
        <f t="shared" si="94"/>
        <v>yes</v>
      </c>
      <c r="L887">
        <v>43</v>
      </c>
      <c r="M887" t="str">
        <f t="shared" si="95"/>
        <v>2020-04-01</v>
      </c>
      <c r="N887" s="20" t="str">
        <f t="shared" si="96"/>
        <v>2020-04-01</v>
      </c>
      <c r="O887" t="str">
        <f t="shared" si="97"/>
        <v>2020-04-01</v>
      </c>
    </row>
    <row r="888" spans="1:15" x14ac:dyDescent="0.2">
      <c r="A888" s="21" t="str">
        <f t="shared" si="91"/>
        <v>y</v>
      </c>
      <c r="B888" s="24">
        <v>43834</v>
      </c>
      <c r="C888" t="s">
        <v>1034</v>
      </c>
      <c r="D888" t="s">
        <v>13</v>
      </c>
      <c r="E888" t="s">
        <v>27</v>
      </c>
      <c r="F888" t="s">
        <v>2</v>
      </c>
      <c r="H888" t="s">
        <v>1976</v>
      </c>
      <c r="I888" s="22" t="str">
        <f t="shared" si="92"/>
        <v>2020-04-01</v>
      </c>
      <c r="J888" s="23" t="str">
        <f t="shared" si="93"/>
        <v>43</v>
      </c>
      <c r="K888" t="str">
        <f t="shared" si="94"/>
        <v>yes</v>
      </c>
      <c r="L888">
        <v>43</v>
      </c>
      <c r="M888" t="str">
        <f t="shared" si="95"/>
        <v>2020-04-01</v>
      </c>
      <c r="N888" s="20">
        <f t="shared" si="96"/>
        <v>43923</v>
      </c>
      <c r="O888" t="str">
        <f t="shared" si="97"/>
        <v>2020-04-02</v>
      </c>
    </row>
    <row r="889" spans="1:15" x14ac:dyDescent="0.2">
      <c r="A889" s="21" t="str">
        <f t="shared" si="91"/>
        <v>y</v>
      </c>
      <c r="B889" s="24">
        <v>43834</v>
      </c>
      <c r="C889" t="s">
        <v>616</v>
      </c>
      <c r="D889" t="s">
        <v>13</v>
      </c>
      <c r="E889" t="s">
        <v>34</v>
      </c>
      <c r="F889" t="s">
        <v>29</v>
      </c>
      <c r="G889" t="s">
        <v>1042</v>
      </c>
      <c r="H889" t="s">
        <v>1958</v>
      </c>
      <c r="I889" s="22" t="str">
        <f t="shared" si="92"/>
        <v>2020-04-01</v>
      </c>
      <c r="J889" s="23" t="str">
        <f t="shared" si="93"/>
        <v>43</v>
      </c>
      <c r="K889" t="str">
        <f t="shared" si="94"/>
        <v>yes</v>
      </c>
      <c r="L889">
        <v>43</v>
      </c>
      <c r="M889" t="str">
        <f t="shared" si="95"/>
        <v>2020-04-01</v>
      </c>
      <c r="N889" s="20" t="str">
        <f t="shared" si="96"/>
        <v>2020-04-01</v>
      </c>
      <c r="O889" t="str">
        <f t="shared" si="97"/>
        <v>2020-04-01</v>
      </c>
    </row>
    <row r="890" spans="1:15" x14ac:dyDescent="0.2">
      <c r="A890" s="21" t="str">
        <f t="shared" si="91"/>
        <v>y</v>
      </c>
      <c r="B890" s="24">
        <v>43834</v>
      </c>
      <c r="C890" t="s">
        <v>616</v>
      </c>
      <c r="D890" t="s">
        <v>13</v>
      </c>
      <c r="E890" t="s">
        <v>8</v>
      </c>
      <c r="F890" t="s">
        <v>29</v>
      </c>
      <c r="G890" t="s">
        <v>1041</v>
      </c>
      <c r="H890" t="s">
        <v>1993</v>
      </c>
      <c r="I890" s="22" t="str">
        <f t="shared" si="92"/>
        <v>2020-04-01</v>
      </c>
      <c r="J890" s="23" t="str">
        <f t="shared" si="93"/>
        <v>43</v>
      </c>
      <c r="K890" t="str">
        <f t="shared" si="94"/>
        <v>yes</v>
      </c>
      <c r="L890">
        <v>43</v>
      </c>
      <c r="M890" t="str">
        <f t="shared" si="95"/>
        <v>2020-04-01</v>
      </c>
      <c r="N890" s="20" t="str">
        <f t="shared" si="96"/>
        <v>2020-04-01</v>
      </c>
      <c r="O890" t="str">
        <f t="shared" si="97"/>
        <v>2020-04-01</v>
      </c>
    </row>
    <row r="891" spans="1:15" x14ac:dyDescent="0.2">
      <c r="A891" s="21" t="str">
        <f t="shared" si="91"/>
        <v>y</v>
      </c>
      <c r="B891" s="24">
        <v>43834</v>
      </c>
      <c r="C891" t="s">
        <v>235</v>
      </c>
      <c r="D891" t="s">
        <v>13</v>
      </c>
      <c r="E891" t="s">
        <v>8</v>
      </c>
      <c r="F891" t="s">
        <v>29</v>
      </c>
      <c r="G891" t="s">
        <v>1043</v>
      </c>
      <c r="H891" t="s">
        <v>1976</v>
      </c>
      <c r="I891" s="22" t="str">
        <f t="shared" si="92"/>
        <v>2020-04-01</v>
      </c>
      <c r="J891" s="23" t="str">
        <f t="shared" si="93"/>
        <v>43</v>
      </c>
      <c r="K891" t="str">
        <f t="shared" si="94"/>
        <v>yes</v>
      </c>
      <c r="L891">
        <v>43</v>
      </c>
      <c r="M891" t="str">
        <f t="shared" si="95"/>
        <v>2020-04-01</v>
      </c>
      <c r="N891" s="20" t="str">
        <f t="shared" si="96"/>
        <v>2020-04-01</v>
      </c>
      <c r="O891" t="str">
        <f t="shared" si="97"/>
        <v>2020-04-01</v>
      </c>
    </row>
    <row r="892" spans="1:15" x14ac:dyDescent="0.2">
      <c r="A892" s="21" t="str">
        <f t="shared" si="91"/>
        <v>y</v>
      </c>
      <c r="B892" s="24">
        <v>43834</v>
      </c>
      <c r="C892" t="s">
        <v>701</v>
      </c>
      <c r="D892" t="s">
        <v>13</v>
      </c>
      <c r="E892" t="s">
        <v>27</v>
      </c>
      <c r="F892" t="s">
        <v>2</v>
      </c>
      <c r="G892" t="s">
        <v>1040</v>
      </c>
      <c r="H892" t="s">
        <v>1978</v>
      </c>
      <c r="I892" s="22" t="str">
        <f t="shared" si="92"/>
        <v>2020-04-01</v>
      </c>
      <c r="J892" s="23" t="str">
        <f t="shared" si="93"/>
        <v>43</v>
      </c>
      <c r="K892" t="str">
        <f t="shared" si="94"/>
        <v>yes</v>
      </c>
      <c r="L892">
        <v>43</v>
      </c>
      <c r="M892" t="str">
        <f t="shared" si="95"/>
        <v>2020-04-01</v>
      </c>
      <c r="N892" s="20">
        <f t="shared" si="96"/>
        <v>43923</v>
      </c>
      <c r="O892" t="str">
        <f t="shared" si="97"/>
        <v>2020-04-02</v>
      </c>
    </row>
    <row r="893" spans="1:15" x14ac:dyDescent="0.2">
      <c r="A893" s="21" t="str">
        <f t="shared" si="91"/>
        <v>y</v>
      </c>
      <c r="B893" s="24" t="s">
        <v>1733</v>
      </c>
      <c r="C893" t="s">
        <v>975</v>
      </c>
      <c r="D893" t="s">
        <v>13</v>
      </c>
      <c r="E893" t="s">
        <v>43</v>
      </c>
      <c r="F893" t="s">
        <v>2</v>
      </c>
      <c r="H893" t="s">
        <v>1958</v>
      </c>
      <c r="I893" s="22" t="str">
        <f t="shared" si="92"/>
        <v>2020-03-31</v>
      </c>
      <c r="J893" s="23" t="str">
        <f t="shared" si="93"/>
        <v>31</v>
      </c>
      <c r="K893" t="str">
        <f t="shared" si="94"/>
        <v>no</v>
      </c>
      <c r="L893">
        <v>31</v>
      </c>
      <c r="M893" t="str">
        <f t="shared" si="95"/>
        <v>2020-03-31</v>
      </c>
      <c r="N893" s="20">
        <f t="shared" si="96"/>
        <v>43922</v>
      </c>
      <c r="O893" t="str">
        <f t="shared" si="97"/>
        <v>2020-04-01</v>
      </c>
    </row>
    <row r="894" spans="1:15" x14ac:dyDescent="0.2">
      <c r="A894" s="21" t="str">
        <f t="shared" si="91"/>
        <v>y</v>
      </c>
      <c r="B894" s="24" t="s">
        <v>1733</v>
      </c>
      <c r="C894" t="s">
        <v>235</v>
      </c>
      <c r="D894" t="s">
        <v>13</v>
      </c>
      <c r="E894" t="s">
        <v>42</v>
      </c>
      <c r="F894" t="s">
        <v>29</v>
      </c>
      <c r="G894" t="s">
        <v>1036</v>
      </c>
      <c r="H894" t="s">
        <v>1964</v>
      </c>
      <c r="I894" s="22" t="str">
        <f t="shared" si="92"/>
        <v>2020-03-31</v>
      </c>
      <c r="J894" s="23" t="str">
        <f t="shared" si="93"/>
        <v>31</v>
      </c>
      <c r="K894" t="str">
        <f t="shared" si="94"/>
        <v>no</v>
      </c>
      <c r="L894">
        <v>31</v>
      </c>
      <c r="M894" t="str">
        <f t="shared" si="95"/>
        <v>2020-03-31</v>
      </c>
      <c r="N894" s="20" t="str">
        <f t="shared" si="96"/>
        <v>2020-03-31</v>
      </c>
      <c r="O894" t="str">
        <f t="shared" si="97"/>
        <v>2020-03-31</v>
      </c>
    </row>
    <row r="895" spans="1:15" x14ac:dyDescent="0.2">
      <c r="A895" s="21" t="str">
        <f t="shared" si="91"/>
        <v>y</v>
      </c>
      <c r="B895" s="24" t="s">
        <v>1733</v>
      </c>
      <c r="C895" t="s">
        <v>235</v>
      </c>
      <c r="D895" t="s">
        <v>13</v>
      </c>
      <c r="E895" t="s">
        <v>8</v>
      </c>
      <c r="F895" t="s">
        <v>29</v>
      </c>
      <c r="G895" t="s">
        <v>1038</v>
      </c>
      <c r="H895" t="s">
        <v>1997</v>
      </c>
      <c r="I895" s="22" t="str">
        <f t="shared" si="92"/>
        <v>2020-03-31</v>
      </c>
      <c r="J895" s="23" t="str">
        <f t="shared" si="93"/>
        <v>31</v>
      </c>
      <c r="K895" t="str">
        <f t="shared" si="94"/>
        <v>no</v>
      </c>
      <c r="L895">
        <v>31</v>
      </c>
      <c r="M895" t="str">
        <f t="shared" si="95"/>
        <v>2020-03-31</v>
      </c>
      <c r="N895" s="20" t="str">
        <f t="shared" si="96"/>
        <v>2020-03-31</v>
      </c>
      <c r="O895" t="str">
        <f t="shared" si="97"/>
        <v>2020-03-31</v>
      </c>
    </row>
    <row r="896" spans="1:15" x14ac:dyDescent="0.2">
      <c r="A896" s="21" t="str">
        <f t="shared" si="91"/>
        <v>y</v>
      </c>
      <c r="B896" s="24" t="s">
        <v>1733</v>
      </c>
      <c r="C896" t="s">
        <v>345</v>
      </c>
      <c r="D896" t="s">
        <v>13</v>
      </c>
      <c r="E896" t="s">
        <v>34</v>
      </c>
      <c r="F896" t="s">
        <v>29</v>
      </c>
      <c r="G896" t="s">
        <v>1035</v>
      </c>
      <c r="H896" t="s">
        <v>1976</v>
      </c>
      <c r="I896" s="22" t="str">
        <f t="shared" si="92"/>
        <v>2020-03-31</v>
      </c>
      <c r="J896" s="23" t="str">
        <f t="shared" si="93"/>
        <v>31</v>
      </c>
      <c r="K896" t="str">
        <f t="shared" si="94"/>
        <v>no</v>
      </c>
      <c r="L896">
        <v>31</v>
      </c>
      <c r="M896" t="str">
        <f t="shared" si="95"/>
        <v>2020-03-31</v>
      </c>
      <c r="N896" s="20" t="str">
        <f t="shared" si="96"/>
        <v>2020-03-31</v>
      </c>
      <c r="O896" t="str">
        <f t="shared" si="97"/>
        <v>2020-03-31</v>
      </c>
    </row>
    <row r="897" spans="1:15" x14ac:dyDescent="0.2">
      <c r="A897" s="21" t="str">
        <f t="shared" si="91"/>
        <v>y</v>
      </c>
      <c r="B897" s="24" t="s">
        <v>1733</v>
      </c>
      <c r="C897" t="s">
        <v>1034</v>
      </c>
      <c r="D897" t="s">
        <v>13</v>
      </c>
      <c r="E897" t="s">
        <v>27</v>
      </c>
      <c r="F897" t="s">
        <v>2</v>
      </c>
      <c r="H897" t="s">
        <v>1958</v>
      </c>
      <c r="I897" s="22" t="str">
        <f t="shared" si="92"/>
        <v>2020-03-31</v>
      </c>
      <c r="J897" s="23" t="str">
        <f t="shared" si="93"/>
        <v>31</v>
      </c>
      <c r="K897" t="str">
        <f t="shared" si="94"/>
        <v>no</v>
      </c>
      <c r="L897">
        <v>31</v>
      </c>
      <c r="M897" t="str">
        <f t="shared" si="95"/>
        <v>2020-03-31</v>
      </c>
      <c r="N897" s="20">
        <f t="shared" si="96"/>
        <v>43922</v>
      </c>
      <c r="O897" t="str">
        <f t="shared" si="97"/>
        <v>2020-04-01</v>
      </c>
    </row>
    <row r="898" spans="1:15" x14ac:dyDescent="0.2">
      <c r="A898" s="21" t="str">
        <f t="shared" si="91"/>
        <v>y</v>
      </c>
      <c r="B898" s="24" t="s">
        <v>1733</v>
      </c>
      <c r="C898" t="s">
        <v>616</v>
      </c>
      <c r="D898" t="s">
        <v>13</v>
      </c>
      <c r="E898" t="s">
        <v>8</v>
      </c>
      <c r="F898" t="s">
        <v>29</v>
      </c>
      <c r="G898" t="s">
        <v>1037</v>
      </c>
      <c r="H898" t="s">
        <v>1978</v>
      </c>
      <c r="I898" s="22" t="str">
        <f t="shared" si="92"/>
        <v>2020-03-31</v>
      </c>
      <c r="J898" s="23" t="str">
        <f t="shared" si="93"/>
        <v>31</v>
      </c>
      <c r="K898" t="str">
        <f t="shared" si="94"/>
        <v>no</v>
      </c>
      <c r="L898">
        <v>31</v>
      </c>
      <c r="M898" t="str">
        <f t="shared" si="95"/>
        <v>2020-03-31</v>
      </c>
      <c r="N898" s="20" t="str">
        <f t="shared" si="96"/>
        <v>2020-03-31</v>
      </c>
      <c r="O898" t="str">
        <f t="shared" si="97"/>
        <v>2020-03-31</v>
      </c>
    </row>
    <row r="899" spans="1:15" x14ac:dyDescent="0.2">
      <c r="A899" s="21" t="str">
        <f t="shared" si="91"/>
        <v>y</v>
      </c>
      <c r="B899" s="24" t="s">
        <v>1734</v>
      </c>
      <c r="C899" t="s">
        <v>975</v>
      </c>
      <c r="D899" t="s">
        <v>13</v>
      </c>
      <c r="E899" t="s">
        <v>43</v>
      </c>
      <c r="F899" t="s">
        <v>2</v>
      </c>
      <c r="H899" t="s">
        <v>1958</v>
      </c>
      <c r="I899" s="22" t="str">
        <f t="shared" si="92"/>
        <v>2020-03-30</v>
      </c>
      <c r="J899" s="23" t="str">
        <f t="shared" si="93"/>
        <v>30</v>
      </c>
      <c r="K899" t="str">
        <f t="shared" si="94"/>
        <v>no</v>
      </c>
      <c r="L899">
        <v>30</v>
      </c>
      <c r="M899" t="str">
        <f t="shared" si="95"/>
        <v>2020-03-30</v>
      </c>
      <c r="N899" s="20">
        <f t="shared" si="96"/>
        <v>43921</v>
      </c>
      <c r="O899" t="str">
        <f t="shared" si="97"/>
        <v>2020-03-31</v>
      </c>
    </row>
    <row r="900" spans="1:15" x14ac:dyDescent="0.2">
      <c r="A900" s="21" t="str">
        <f t="shared" ref="A900:A963" si="98">IF(LEFT(B900,2)&gt;12,"y","-")</f>
        <v>y</v>
      </c>
      <c r="B900" s="24" t="s">
        <v>1734</v>
      </c>
      <c r="C900" t="s">
        <v>235</v>
      </c>
      <c r="D900" t="s">
        <v>13</v>
      </c>
      <c r="E900" t="s">
        <v>69</v>
      </c>
      <c r="F900" t="s">
        <v>29</v>
      </c>
      <c r="G900" t="s">
        <v>1030</v>
      </c>
      <c r="H900" t="s">
        <v>1976</v>
      </c>
      <c r="I900" s="22" t="str">
        <f t="shared" ref="I900:I963" si="99">IF(K900="yes",TEXT(B900,"YYYY-DD-MM"),TEXT(B900,"YYYY-MM-DD"))</f>
        <v>2020-03-30</v>
      </c>
      <c r="J900" s="23" t="str">
        <f t="shared" ref="J900:J963" si="100">LEFT(B900,2)</f>
        <v>30</v>
      </c>
      <c r="K900" t="str">
        <f t="shared" ref="K900:K963" si="101">IF(L900&gt;31,"yes","no")</f>
        <v>no</v>
      </c>
      <c r="L900">
        <v>30</v>
      </c>
      <c r="M900" t="str">
        <f t="shared" ref="M900:M963" si="102">I900</f>
        <v>2020-03-30</v>
      </c>
      <c r="N900" s="20" t="str">
        <f t="shared" ref="N900:N963" si="103">IF(F900="DONE",M900,M900+1)</f>
        <v>2020-03-30</v>
      </c>
      <c r="O900" t="str">
        <f t="shared" ref="O900:O963" si="104">TEXT(N900,"YYYY-MM-DD")</f>
        <v>2020-03-30</v>
      </c>
    </row>
    <row r="901" spans="1:15" x14ac:dyDescent="0.2">
      <c r="A901" s="21" t="str">
        <f t="shared" si="98"/>
        <v>y</v>
      </c>
      <c r="B901" s="24" t="s">
        <v>1734</v>
      </c>
      <c r="C901" t="s">
        <v>616</v>
      </c>
      <c r="D901" t="s">
        <v>13</v>
      </c>
      <c r="E901" t="s">
        <v>64</v>
      </c>
      <c r="F901" t="s">
        <v>29</v>
      </c>
      <c r="G901" t="s">
        <v>1032</v>
      </c>
      <c r="H901" t="s">
        <v>1958</v>
      </c>
      <c r="I901" s="22" t="str">
        <f t="shared" si="99"/>
        <v>2020-03-30</v>
      </c>
      <c r="J901" s="23" t="str">
        <f t="shared" si="100"/>
        <v>30</v>
      </c>
      <c r="K901" t="str">
        <f t="shared" si="101"/>
        <v>no</v>
      </c>
      <c r="L901">
        <v>30</v>
      </c>
      <c r="M901" t="str">
        <f t="shared" si="102"/>
        <v>2020-03-30</v>
      </c>
      <c r="N901" s="20" t="str">
        <f t="shared" si="103"/>
        <v>2020-03-30</v>
      </c>
      <c r="O901" t="str">
        <f t="shared" si="104"/>
        <v>2020-03-30</v>
      </c>
    </row>
    <row r="902" spans="1:15" x14ac:dyDescent="0.2">
      <c r="A902" s="21" t="str">
        <f t="shared" si="98"/>
        <v>y</v>
      </c>
      <c r="B902" s="24" t="s">
        <v>1734</v>
      </c>
      <c r="C902" t="s">
        <v>616</v>
      </c>
      <c r="D902" t="s">
        <v>13</v>
      </c>
      <c r="E902" t="s">
        <v>27</v>
      </c>
      <c r="F902" t="s">
        <v>29</v>
      </c>
      <c r="G902" t="s">
        <v>1033</v>
      </c>
      <c r="H902" t="s">
        <v>1976</v>
      </c>
      <c r="I902" s="22" t="str">
        <f t="shared" si="99"/>
        <v>2020-03-30</v>
      </c>
      <c r="J902" s="23" t="str">
        <f t="shared" si="100"/>
        <v>30</v>
      </c>
      <c r="K902" t="str">
        <f t="shared" si="101"/>
        <v>no</v>
      </c>
      <c r="L902">
        <v>30</v>
      </c>
      <c r="M902" t="str">
        <f t="shared" si="102"/>
        <v>2020-03-30</v>
      </c>
      <c r="N902" s="20" t="str">
        <f t="shared" si="103"/>
        <v>2020-03-30</v>
      </c>
      <c r="O902" t="str">
        <f t="shared" si="104"/>
        <v>2020-03-30</v>
      </c>
    </row>
    <row r="903" spans="1:15" x14ac:dyDescent="0.2">
      <c r="A903" s="21" t="str">
        <f t="shared" si="98"/>
        <v>y</v>
      </c>
      <c r="B903" s="24" t="s">
        <v>1734</v>
      </c>
      <c r="C903" t="s">
        <v>235</v>
      </c>
      <c r="D903" t="s">
        <v>13</v>
      </c>
      <c r="E903" t="s">
        <v>43</v>
      </c>
      <c r="F903" t="s">
        <v>2</v>
      </c>
      <c r="G903" t="s">
        <v>1031</v>
      </c>
      <c r="H903" t="s">
        <v>1997</v>
      </c>
      <c r="I903" s="22" t="str">
        <f t="shared" si="99"/>
        <v>2020-03-30</v>
      </c>
      <c r="J903" s="23" t="str">
        <f t="shared" si="100"/>
        <v>30</v>
      </c>
      <c r="K903" t="str">
        <f t="shared" si="101"/>
        <v>no</v>
      </c>
      <c r="L903">
        <v>30</v>
      </c>
      <c r="M903" t="str">
        <f t="shared" si="102"/>
        <v>2020-03-30</v>
      </c>
      <c r="N903" s="20">
        <f t="shared" si="103"/>
        <v>43921</v>
      </c>
      <c r="O903" t="str">
        <f t="shared" si="104"/>
        <v>2020-03-31</v>
      </c>
    </row>
    <row r="904" spans="1:15" x14ac:dyDescent="0.2">
      <c r="A904" s="21" t="str">
        <f t="shared" si="98"/>
        <v>y</v>
      </c>
      <c r="B904" s="24" t="s">
        <v>1734</v>
      </c>
      <c r="C904" t="s">
        <v>1034</v>
      </c>
      <c r="D904" t="s">
        <v>13</v>
      </c>
      <c r="E904" t="s">
        <v>27</v>
      </c>
      <c r="F904" t="s">
        <v>2</v>
      </c>
      <c r="H904" t="s">
        <v>1978</v>
      </c>
      <c r="I904" s="22" t="str">
        <f t="shared" si="99"/>
        <v>2020-03-30</v>
      </c>
      <c r="J904" s="23" t="str">
        <f t="shared" si="100"/>
        <v>30</v>
      </c>
      <c r="K904" t="str">
        <f t="shared" si="101"/>
        <v>no</v>
      </c>
      <c r="L904">
        <v>30</v>
      </c>
      <c r="M904" t="str">
        <f t="shared" si="102"/>
        <v>2020-03-30</v>
      </c>
      <c r="N904" s="20">
        <f t="shared" si="103"/>
        <v>43921</v>
      </c>
      <c r="O904" t="str">
        <f t="shared" si="104"/>
        <v>2020-03-31</v>
      </c>
    </row>
    <row r="905" spans="1:15" x14ac:dyDescent="0.2">
      <c r="A905" s="21" t="str">
        <f t="shared" si="98"/>
        <v>y</v>
      </c>
      <c r="B905" s="24" t="s">
        <v>1735</v>
      </c>
      <c r="C905" t="s">
        <v>975</v>
      </c>
      <c r="D905" t="s">
        <v>13</v>
      </c>
      <c r="E905" t="s">
        <v>43</v>
      </c>
      <c r="F905" t="s">
        <v>2</v>
      </c>
      <c r="H905" t="s">
        <v>1958</v>
      </c>
      <c r="I905" s="22" t="str">
        <f t="shared" si="99"/>
        <v>2020-03-29</v>
      </c>
      <c r="J905" s="23" t="str">
        <f t="shared" si="100"/>
        <v>29</v>
      </c>
      <c r="K905" t="str">
        <f t="shared" si="101"/>
        <v>no</v>
      </c>
      <c r="L905">
        <v>29</v>
      </c>
      <c r="M905" t="str">
        <f t="shared" si="102"/>
        <v>2020-03-29</v>
      </c>
      <c r="N905" s="20">
        <f t="shared" si="103"/>
        <v>43920</v>
      </c>
      <c r="O905" t="str">
        <f t="shared" si="104"/>
        <v>2020-03-30</v>
      </c>
    </row>
    <row r="906" spans="1:15" x14ac:dyDescent="0.2">
      <c r="A906" s="21" t="str">
        <f t="shared" si="98"/>
        <v>y</v>
      </c>
      <c r="B906" s="24" t="s">
        <v>1735</v>
      </c>
      <c r="C906" t="s">
        <v>235</v>
      </c>
      <c r="D906" t="s">
        <v>13</v>
      </c>
      <c r="E906" t="s">
        <v>34</v>
      </c>
      <c r="F906" t="s">
        <v>29</v>
      </c>
      <c r="G906" t="s">
        <v>1029</v>
      </c>
      <c r="H906" t="s">
        <v>1958</v>
      </c>
      <c r="I906" s="22" t="str">
        <f t="shared" si="99"/>
        <v>2020-03-29</v>
      </c>
      <c r="J906" s="23" t="str">
        <f t="shared" si="100"/>
        <v>29</v>
      </c>
      <c r="K906" t="str">
        <f t="shared" si="101"/>
        <v>no</v>
      </c>
      <c r="L906">
        <v>29</v>
      </c>
      <c r="M906" t="str">
        <f t="shared" si="102"/>
        <v>2020-03-29</v>
      </c>
      <c r="N906" s="20" t="str">
        <f t="shared" si="103"/>
        <v>2020-03-29</v>
      </c>
      <c r="O906" t="str">
        <f t="shared" si="104"/>
        <v>2020-03-29</v>
      </c>
    </row>
    <row r="907" spans="1:15" x14ac:dyDescent="0.2">
      <c r="A907" s="21" t="str">
        <f t="shared" si="98"/>
        <v>y</v>
      </c>
      <c r="B907" s="24" t="s">
        <v>1735</v>
      </c>
      <c r="C907" t="s">
        <v>235</v>
      </c>
      <c r="D907" t="s">
        <v>13</v>
      </c>
      <c r="E907" t="s">
        <v>42</v>
      </c>
      <c r="F907" t="s">
        <v>29</v>
      </c>
      <c r="G907" t="s">
        <v>1027</v>
      </c>
      <c r="H907" t="s">
        <v>1958</v>
      </c>
      <c r="I907" s="22" t="str">
        <f t="shared" si="99"/>
        <v>2020-03-29</v>
      </c>
      <c r="J907" s="23" t="str">
        <f t="shared" si="100"/>
        <v>29</v>
      </c>
      <c r="K907" t="str">
        <f t="shared" si="101"/>
        <v>no</v>
      </c>
      <c r="L907">
        <v>29</v>
      </c>
      <c r="M907" t="str">
        <f t="shared" si="102"/>
        <v>2020-03-29</v>
      </c>
      <c r="N907" s="20" t="str">
        <f t="shared" si="103"/>
        <v>2020-03-29</v>
      </c>
      <c r="O907" t="str">
        <f t="shared" si="104"/>
        <v>2020-03-29</v>
      </c>
    </row>
    <row r="908" spans="1:15" x14ac:dyDescent="0.2">
      <c r="A908" s="21" t="str">
        <f t="shared" si="98"/>
        <v>y</v>
      </c>
      <c r="B908" s="24" t="s">
        <v>1735</v>
      </c>
      <c r="C908" t="s">
        <v>235</v>
      </c>
      <c r="D908" t="s">
        <v>13</v>
      </c>
      <c r="E908" t="s">
        <v>42</v>
      </c>
      <c r="F908" t="s">
        <v>29</v>
      </c>
      <c r="G908" t="s">
        <v>1028</v>
      </c>
      <c r="H908" t="s">
        <v>1997</v>
      </c>
      <c r="I908" s="22" t="str">
        <f t="shared" si="99"/>
        <v>2020-03-29</v>
      </c>
      <c r="J908" s="23" t="str">
        <f t="shared" si="100"/>
        <v>29</v>
      </c>
      <c r="K908" t="str">
        <f t="shared" si="101"/>
        <v>no</v>
      </c>
      <c r="L908">
        <v>29</v>
      </c>
      <c r="M908" t="str">
        <f t="shared" si="102"/>
        <v>2020-03-29</v>
      </c>
      <c r="N908" s="20" t="str">
        <f t="shared" si="103"/>
        <v>2020-03-29</v>
      </c>
      <c r="O908" t="str">
        <f t="shared" si="104"/>
        <v>2020-03-29</v>
      </c>
    </row>
    <row r="909" spans="1:15" x14ac:dyDescent="0.2">
      <c r="A909" s="21" t="str">
        <f t="shared" si="98"/>
        <v>y</v>
      </c>
      <c r="B909" s="24" t="s">
        <v>1735</v>
      </c>
      <c r="C909" t="s">
        <v>1034</v>
      </c>
      <c r="D909" t="s">
        <v>13</v>
      </c>
      <c r="E909" t="s">
        <v>27</v>
      </c>
      <c r="F909" t="s">
        <v>2</v>
      </c>
      <c r="H909" t="s">
        <v>1978</v>
      </c>
      <c r="I909" s="22" t="str">
        <f t="shared" si="99"/>
        <v>2020-03-29</v>
      </c>
      <c r="J909" s="23" t="str">
        <f t="shared" si="100"/>
        <v>29</v>
      </c>
      <c r="K909" t="str">
        <f t="shared" si="101"/>
        <v>no</v>
      </c>
      <c r="L909">
        <v>29</v>
      </c>
      <c r="M909" t="str">
        <f t="shared" si="102"/>
        <v>2020-03-29</v>
      </c>
      <c r="N909" s="20">
        <f t="shared" si="103"/>
        <v>43920</v>
      </c>
      <c r="O909" t="str">
        <f t="shared" si="104"/>
        <v>2020-03-30</v>
      </c>
    </row>
    <row r="910" spans="1:15" x14ac:dyDescent="0.2">
      <c r="A910" s="21" t="str">
        <f t="shared" si="98"/>
        <v>y</v>
      </c>
      <c r="B910" s="24" t="s">
        <v>1736</v>
      </c>
      <c r="C910" t="s">
        <v>975</v>
      </c>
      <c r="D910" t="s">
        <v>13</v>
      </c>
      <c r="E910" t="s">
        <v>43</v>
      </c>
      <c r="F910" t="s">
        <v>2</v>
      </c>
      <c r="H910" t="s">
        <v>1964</v>
      </c>
      <c r="I910" s="22" t="str">
        <f t="shared" si="99"/>
        <v>2020-03-26</v>
      </c>
      <c r="J910" s="23" t="str">
        <f t="shared" si="100"/>
        <v>26</v>
      </c>
      <c r="K910" t="str">
        <f t="shared" si="101"/>
        <v>no</v>
      </c>
      <c r="L910">
        <v>26</v>
      </c>
      <c r="M910" t="str">
        <f t="shared" si="102"/>
        <v>2020-03-26</v>
      </c>
      <c r="N910" s="20">
        <f t="shared" si="103"/>
        <v>43917</v>
      </c>
      <c r="O910" t="str">
        <f t="shared" si="104"/>
        <v>2020-03-27</v>
      </c>
    </row>
    <row r="911" spans="1:15" x14ac:dyDescent="0.2">
      <c r="A911" s="21" t="str">
        <f t="shared" si="98"/>
        <v>y</v>
      </c>
      <c r="B911" s="24" t="s">
        <v>1736</v>
      </c>
      <c r="C911" t="s">
        <v>345</v>
      </c>
      <c r="D911" t="s">
        <v>13</v>
      </c>
      <c r="E911" t="s">
        <v>34</v>
      </c>
      <c r="F911" t="s">
        <v>29</v>
      </c>
      <c r="G911" t="s">
        <v>1022</v>
      </c>
      <c r="H911" t="s">
        <v>1958</v>
      </c>
      <c r="I911" s="22" t="str">
        <f t="shared" si="99"/>
        <v>2020-03-26</v>
      </c>
      <c r="J911" s="23" t="str">
        <f t="shared" si="100"/>
        <v>26</v>
      </c>
      <c r="K911" t="str">
        <f t="shared" si="101"/>
        <v>no</v>
      </c>
      <c r="L911">
        <v>26</v>
      </c>
      <c r="M911" t="str">
        <f t="shared" si="102"/>
        <v>2020-03-26</v>
      </c>
      <c r="N911" s="20" t="str">
        <f t="shared" si="103"/>
        <v>2020-03-26</v>
      </c>
      <c r="O911" t="str">
        <f t="shared" si="104"/>
        <v>2020-03-26</v>
      </c>
    </row>
    <row r="912" spans="1:15" x14ac:dyDescent="0.2">
      <c r="A912" s="21" t="str">
        <f t="shared" si="98"/>
        <v>y</v>
      </c>
      <c r="B912" s="24" t="s">
        <v>1736</v>
      </c>
      <c r="C912" t="s">
        <v>235</v>
      </c>
      <c r="D912" t="s">
        <v>13</v>
      </c>
      <c r="E912" t="s">
        <v>34</v>
      </c>
      <c r="F912" t="s">
        <v>29</v>
      </c>
      <c r="G912" t="s">
        <v>1024</v>
      </c>
      <c r="H912" t="s">
        <v>1958</v>
      </c>
      <c r="I912" s="22" t="str">
        <f t="shared" si="99"/>
        <v>2020-03-26</v>
      </c>
      <c r="J912" s="23" t="str">
        <f t="shared" si="100"/>
        <v>26</v>
      </c>
      <c r="K912" t="str">
        <f t="shared" si="101"/>
        <v>no</v>
      </c>
      <c r="L912">
        <v>26</v>
      </c>
      <c r="M912" t="str">
        <f t="shared" si="102"/>
        <v>2020-03-26</v>
      </c>
      <c r="N912" s="20" t="str">
        <f t="shared" si="103"/>
        <v>2020-03-26</v>
      </c>
      <c r="O912" t="str">
        <f t="shared" si="104"/>
        <v>2020-03-26</v>
      </c>
    </row>
    <row r="913" spans="1:15" x14ac:dyDescent="0.2">
      <c r="A913" s="21" t="str">
        <f t="shared" si="98"/>
        <v>y</v>
      </c>
      <c r="B913" s="24" t="s">
        <v>1736</v>
      </c>
      <c r="C913" t="s">
        <v>235</v>
      </c>
      <c r="D913" t="s">
        <v>13</v>
      </c>
      <c r="E913" t="s">
        <v>42</v>
      </c>
      <c r="F913" t="s">
        <v>29</v>
      </c>
      <c r="G913" t="s">
        <v>1023</v>
      </c>
      <c r="H913" t="s">
        <v>1958</v>
      </c>
      <c r="I913" s="22" t="str">
        <f t="shared" si="99"/>
        <v>2020-03-26</v>
      </c>
      <c r="J913" s="23" t="str">
        <f t="shared" si="100"/>
        <v>26</v>
      </c>
      <c r="K913" t="str">
        <f t="shared" si="101"/>
        <v>no</v>
      </c>
      <c r="L913">
        <v>26</v>
      </c>
      <c r="M913" t="str">
        <f t="shared" si="102"/>
        <v>2020-03-26</v>
      </c>
      <c r="N913" s="20" t="str">
        <f t="shared" si="103"/>
        <v>2020-03-26</v>
      </c>
      <c r="O913" t="str">
        <f t="shared" si="104"/>
        <v>2020-03-26</v>
      </c>
    </row>
    <row r="914" spans="1:15" x14ac:dyDescent="0.2">
      <c r="A914" s="21" t="str">
        <f t="shared" si="98"/>
        <v>y</v>
      </c>
      <c r="B914" s="24" t="s">
        <v>1736</v>
      </c>
      <c r="C914" t="s">
        <v>235</v>
      </c>
      <c r="D914" t="s">
        <v>13</v>
      </c>
      <c r="E914" t="s">
        <v>42</v>
      </c>
      <c r="F914" t="s">
        <v>29</v>
      </c>
      <c r="G914" t="s">
        <v>1025</v>
      </c>
      <c r="H914" t="s">
        <v>1976</v>
      </c>
      <c r="I914" s="22" t="str">
        <f t="shared" si="99"/>
        <v>2020-03-26</v>
      </c>
      <c r="J914" s="23" t="str">
        <f t="shared" si="100"/>
        <v>26</v>
      </c>
      <c r="K914" t="str">
        <f t="shared" si="101"/>
        <v>no</v>
      </c>
      <c r="L914">
        <v>26</v>
      </c>
      <c r="M914" t="str">
        <f t="shared" si="102"/>
        <v>2020-03-26</v>
      </c>
      <c r="N914" s="20" t="str">
        <f t="shared" si="103"/>
        <v>2020-03-26</v>
      </c>
      <c r="O914" t="str">
        <f t="shared" si="104"/>
        <v>2020-03-26</v>
      </c>
    </row>
    <row r="915" spans="1:15" x14ac:dyDescent="0.2">
      <c r="A915" s="21" t="str">
        <f t="shared" si="98"/>
        <v>y</v>
      </c>
      <c r="B915" s="24" t="s">
        <v>1736</v>
      </c>
      <c r="C915" t="s">
        <v>616</v>
      </c>
      <c r="D915" t="s">
        <v>13</v>
      </c>
      <c r="E915" t="s">
        <v>8</v>
      </c>
      <c r="F915" t="s">
        <v>29</v>
      </c>
      <c r="G915" t="s">
        <v>1026</v>
      </c>
      <c r="H915" t="s">
        <v>1997</v>
      </c>
      <c r="I915" s="22" t="str">
        <f t="shared" si="99"/>
        <v>2020-03-26</v>
      </c>
      <c r="J915" s="23" t="str">
        <f t="shared" si="100"/>
        <v>26</v>
      </c>
      <c r="K915" t="str">
        <f t="shared" si="101"/>
        <v>no</v>
      </c>
      <c r="L915">
        <v>26</v>
      </c>
      <c r="M915" t="str">
        <f t="shared" si="102"/>
        <v>2020-03-26</v>
      </c>
      <c r="N915" s="20" t="str">
        <f t="shared" si="103"/>
        <v>2020-03-26</v>
      </c>
      <c r="O915" t="str">
        <f t="shared" si="104"/>
        <v>2020-03-26</v>
      </c>
    </row>
    <row r="916" spans="1:15" x14ac:dyDescent="0.2">
      <c r="A916" s="21" t="str">
        <f t="shared" si="98"/>
        <v>y</v>
      </c>
      <c r="B916" s="24" t="s">
        <v>1736</v>
      </c>
      <c r="C916" t="s">
        <v>1034</v>
      </c>
      <c r="D916" t="s">
        <v>13</v>
      </c>
      <c r="E916" t="s">
        <v>27</v>
      </c>
      <c r="F916" t="s">
        <v>2</v>
      </c>
      <c r="H916" t="s">
        <v>1978</v>
      </c>
      <c r="I916" s="22" t="str">
        <f t="shared" si="99"/>
        <v>2020-03-26</v>
      </c>
      <c r="J916" s="23" t="str">
        <f t="shared" si="100"/>
        <v>26</v>
      </c>
      <c r="K916" t="str">
        <f t="shared" si="101"/>
        <v>no</v>
      </c>
      <c r="L916">
        <v>26</v>
      </c>
      <c r="M916" t="str">
        <f t="shared" si="102"/>
        <v>2020-03-26</v>
      </c>
      <c r="N916" s="20">
        <f t="shared" si="103"/>
        <v>43917</v>
      </c>
      <c r="O916" t="str">
        <f t="shared" si="104"/>
        <v>2020-03-27</v>
      </c>
    </row>
    <row r="917" spans="1:15" x14ac:dyDescent="0.2">
      <c r="A917" s="21" t="str">
        <f t="shared" si="98"/>
        <v>y</v>
      </c>
      <c r="B917" s="24" t="s">
        <v>1737</v>
      </c>
      <c r="C917" t="s">
        <v>975</v>
      </c>
      <c r="D917" t="s">
        <v>13</v>
      </c>
      <c r="E917" t="s">
        <v>43</v>
      </c>
      <c r="F917" t="s">
        <v>2</v>
      </c>
      <c r="H917" t="s">
        <v>1964</v>
      </c>
      <c r="I917" s="22" t="str">
        <f t="shared" si="99"/>
        <v>2020-03-25</v>
      </c>
      <c r="J917" s="23" t="str">
        <f t="shared" si="100"/>
        <v>25</v>
      </c>
      <c r="K917" t="str">
        <f t="shared" si="101"/>
        <v>no</v>
      </c>
      <c r="L917">
        <v>25</v>
      </c>
      <c r="M917" t="str">
        <f t="shared" si="102"/>
        <v>2020-03-25</v>
      </c>
      <c r="N917" s="20">
        <f t="shared" si="103"/>
        <v>43916</v>
      </c>
      <c r="O917" t="str">
        <f t="shared" si="104"/>
        <v>2020-03-26</v>
      </c>
    </row>
    <row r="918" spans="1:15" x14ac:dyDescent="0.2">
      <c r="A918" s="21" t="str">
        <f t="shared" si="98"/>
        <v>y</v>
      </c>
      <c r="B918" s="24" t="s">
        <v>1737</v>
      </c>
      <c r="C918" t="s">
        <v>235</v>
      </c>
      <c r="D918" t="s">
        <v>13</v>
      </c>
      <c r="E918" t="s">
        <v>34</v>
      </c>
      <c r="F918" t="s">
        <v>29</v>
      </c>
      <c r="G918" t="s">
        <v>1019</v>
      </c>
      <c r="H918" t="s">
        <v>1958</v>
      </c>
      <c r="I918" s="22" t="str">
        <f t="shared" si="99"/>
        <v>2020-03-25</v>
      </c>
      <c r="J918" s="23" t="str">
        <f t="shared" si="100"/>
        <v>25</v>
      </c>
      <c r="K918" t="str">
        <f t="shared" si="101"/>
        <v>no</v>
      </c>
      <c r="L918">
        <v>25</v>
      </c>
      <c r="M918" t="str">
        <f t="shared" si="102"/>
        <v>2020-03-25</v>
      </c>
      <c r="N918" s="20" t="str">
        <f t="shared" si="103"/>
        <v>2020-03-25</v>
      </c>
      <c r="O918" t="str">
        <f t="shared" si="104"/>
        <v>2020-03-25</v>
      </c>
    </row>
    <row r="919" spans="1:15" x14ac:dyDescent="0.2">
      <c r="A919" s="21" t="str">
        <f t="shared" si="98"/>
        <v>y</v>
      </c>
      <c r="B919" s="24" t="s">
        <v>1737</v>
      </c>
      <c r="C919" t="s">
        <v>345</v>
      </c>
      <c r="D919" t="s">
        <v>13</v>
      </c>
      <c r="E919" t="s">
        <v>31</v>
      </c>
      <c r="F919" t="s">
        <v>29</v>
      </c>
      <c r="G919" t="s">
        <v>1021</v>
      </c>
      <c r="H919" t="s">
        <v>2013</v>
      </c>
      <c r="I919" s="22" t="str">
        <f t="shared" si="99"/>
        <v>2020-03-25</v>
      </c>
      <c r="J919" s="23" t="str">
        <f t="shared" si="100"/>
        <v>25</v>
      </c>
      <c r="K919" t="str">
        <f t="shared" si="101"/>
        <v>no</v>
      </c>
      <c r="L919">
        <v>25</v>
      </c>
      <c r="M919" t="str">
        <f t="shared" si="102"/>
        <v>2020-03-25</v>
      </c>
      <c r="N919" s="20" t="str">
        <f t="shared" si="103"/>
        <v>2020-03-25</v>
      </c>
      <c r="O919" t="str">
        <f t="shared" si="104"/>
        <v>2020-03-25</v>
      </c>
    </row>
    <row r="920" spans="1:15" x14ac:dyDescent="0.2">
      <c r="A920" s="21" t="str">
        <f t="shared" si="98"/>
        <v>y</v>
      </c>
      <c r="B920" s="24" t="s">
        <v>1737</v>
      </c>
      <c r="C920" t="s">
        <v>321</v>
      </c>
      <c r="D920" t="s">
        <v>14</v>
      </c>
      <c r="E920" t="s">
        <v>21</v>
      </c>
      <c r="F920" t="s">
        <v>29</v>
      </c>
      <c r="G920" t="s">
        <v>1020</v>
      </c>
      <c r="H920" t="s">
        <v>1978</v>
      </c>
      <c r="I920" s="22" t="str">
        <f t="shared" si="99"/>
        <v>2020-03-25</v>
      </c>
      <c r="J920" s="23" t="str">
        <f t="shared" si="100"/>
        <v>25</v>
      </c>
      <c r="K920" t="str">
        <f t="shared" si="101"/>
        <v>no</v>
      </c>
      <c r="L920">
        <v>25</v>
      </c>
      <c r="M920" t="str">
        <f t="shared" si="102"/>
        <v>2020-03-25</v>
      </c>
      <c r="N920" s="20" t="str">
        <f t="shared" si="103"/>
        <v>2020-03-25</v>
      </c>
      <c r="O920" t="str">
        <f t="shared" si="104"/>
        <v>2020-03-25</v>
      </c>
    </row>
    <row r="921" spans="1:15" x14ac:dyDescent="0.2">
      <c r="A921" s="21" t="str">
        <f t="shared" si="98"/>
        <v>y</v>
      </c>
      <c r="B921" s="24" t="s">
        <v>1738</v>
      </c>
      <c r="C921" t="s">
        <v>975</v>
      </c>
      <c r="D921" t="s">
        <v>13</v>
      </c>
      <c r="E921" t="s">
        <v>43</v>
      </c>
      <c r="F921" t="s">
        <v>2</v>
      </c>
      <c r="H921" t="s">
        <v>1958</v>
      </c>
      <c r="I921" s="22" t="str">
        <f t="shared" si="99"/>
        <v>2020-03-24</v>
      </c>
      <c r="J921" s="23" t="str">
        <f t="shared" si="100"/>
        <v>24</v>
      </c>
      <c r="K921" t="str">
        <f t="shared" si="101"/>
        <v>no</v>
      </c>
      <c r="L921">
        <v>24</v>
      </c>
      <c r="M921" t="str">
        <f t="shared" si="102"/>
        <v>2020-03-24</v>
      </c>
      <c r="N921" s="20">
        <f t="shared" si="103"/>
        <v>43915</v>
      </c>
      <c r="O921" t="str">
        <f t="shared" si="104"/>
        <v>2020-03-25</v>
      </c>
    </row>
    <row r="922" spans="1:15" x14ac:dyDescent="0.2">
      <c r="A922" s="21" t="str">
        <f t="shared" si="98"/>
        <v>y</v>
      </c>
      <c r="B922" s="24" t="s">
        <v>1738</v>
      </c>
      <c r="C922" t="s">
        <v>235</v>
      </c>
      <c r="D922" t="s">
        <v>13</v>
      </c>
      <c r="E922" t="s">
        <v>8</v>
      </c>
      <c r="F922" t="s">
        <v>2</v>
      </c>
      <c r="H922" t="s">
        <v>1964</v>
      </c>
      <c r="I922" s="22" t="str">
        <f t="shared" si="99"/>
        <v>2020-03-24</v>
      </c>
      <c r="J922" s="23" t="str">
        <f t="shared" si="100"/>
        <v>24</v>
      </c>
      <c r="K922" t="str">
        <f t="shared" si="101"/>
        <v>no</v>
      </c>
      <c r="L922">
        <v>24</v>
      </c>
      <c r="M922" t="str">
        <f t="shared" si="102"/>
        <v>2020-03-24</v>
      </c>
      <c r="N922" s="20">
        <f t="shared" si="103"/>
        <v>43915</v>
      </c>
      <c r="O922" t="str">
        <f t="shared" si="104"/>
        <v>2020-03-25</v>
      </c>
    </row>
    <row r="923" spans="1:15" x14ac:dyDescent="0.2">
      <c r="A923" s="21" t="str">
        <f t="shared" si="98"/>
        <v>y</v>
      </c>
      <c r="B923" s="24" t="s">
        <v>1738</v>
      </c>
      <c r="C923" t="s">
        <v>235</v>
      </c>
      <c r="D923" t="s">
        <v>13</v>
      </c>
      <c r="E923" t="s">
        <v>34</v>
      </c>
      <c r="F923" t="s">
        <v>2</v>
      </c>
      <c r="G923" t="s">
        <v>1018</v>
      </c>
      <c r="H923" t="s">
        <v>1958</v>
      </c>
      <c r="I923" s="22" t="str">
        <f t="shared" si="99"/>
        <v>2020-03-24</v>
      </c>
      <c r="J923" s="23" t="str">
        <f t="shared" si="100"/>
        <v>24</v>
      </c>
      <c r="K923" t="str">
        <f t="shared" si="101"/>
        <v>no</v>
      </c>
      <c r="L923">
        <v>24</v>
      </c>
      <c r="M923" t="str">
        <f t="shared" si="102"/>
        <v>2020-03-24</v>
      </c>
      <c r="N923" s="20">
        <f t="shared" si="103"/>
        <v>43915</v>
      </c>
      <c r="O923" t="str">
        <f t="shared" si="104"/>
        <v>2020-03-25</v>
      </c>
    </row>
    <row r="924" spans="1:15" x14ac:dyDescent="0.2">
      <c r="A924" s="21" t="str">
        <f t="shared" si="98"/>
        <v>y</v>
      </c>
      <c r="B924" s="24" t="s">
        <v>1738</v>
      </c>
      <c r="C924" t="s">
        <v>345</v>
      </c>
      <c r="D924" t="s">
        <v>13</v>
      </c>
      <c r="E924" t="s">
        <v>31</v>
      </c>
      <c r="F924" t="s">
        <v>2</v>
      </c>
      <c r="H924" t="s">
        <v>1978</v>
      </c>
      <c r="I924" s="22" t="str">
        <f t="shared" si="99"/>
        <v>2020-03-24</v>
      </c>
      <c r="J924" s="23" t="str">
        <f t="shared" si="100"/>
        <v>24</v>
      </c>
      <c r="K924" t="str">
        <f t="shared" si="101"/>
        <v>no</v>
      </c>
      <c r="L924">
        <v>24</v>
      </c>
      <c r="M924" t="str">
        <f t="shared" si="102"/>
        <v>2020-03-24</v>
      </c>
      <c r="N924" s="20">
        <f t="shared" si="103"/>
        <v>43915</v>
      </c>
      <c r="O924" t="str">
        <f t="shared" si="104"/>
        <v>2020-03-25</v>
      </c>
    </row>
    <row r="925" spans="1:15" x14ac:dyDescent="0.2">
      <c r="A925" s="21" t="str">
        <f t="shared" si="98"/>
        <v>y</v>
      </c>
      <c r="B925" s="24" t="s">
        <v>1739</v>
      </c>
      <c r="C925" t="s">
        <v>975</v>
      </c>
      <c r="D925" t="s">
        <v>13</v>
      </c>
      <c r="E925" t="s">
        <v>43</v>
      </c>
      <c r="F925" t="s">
        <v>2</v>
      </c>
      <c r="H925" t="s">
        <v>1958</v>
      </c>
      <c r="I925" s="22" t="str">
        <f t="shared" si="99"/>
        <v>2020-03-23</v>
      </c>
      <c r="J925" s="23" t="str">
        <f t="shared" si="100"/>
        <v>23</v>
      </c>
      <c r="K925" t="str">
        <f t="shared" si="101"/>
        <v>no</v>
      </c>
      <c r="L925">
        <v>23</v>
      </c>
      <c r="M925" t="str">
        <f t="shared" si="102"/>
        <v>2020-03-23</v>
      </c>
      <c r="N925" s="20">
        <f t="shared" si="103"/>
        <v>43914</v>
      </c>
      <c r="O925" t="str">
        <f t="shared" si="104"/>
        <v>2020-03-24</v>
      </c>
    </row>
    <row r="926" spans="1:15" x14ac:dyDescent="0.2">
      <c r="A926" s="21" t="str">
        <f t="shared" si="98"/>
        <v>y</v>
      </c>
      <c r="B926" s="24" t="s">
        <v>1739</v>
      </c>
      <c r="C926" t="s">
        <v>235</v>
      </c>
      <c r="D926" t="s">
        <v>13</v>
      </c>
      <c r="E926" t="s">
        <v>8</v>
      </c>
      <c r="F926" t="s">
        <v>2</v>
      </c>
      <c r="H926" t="s">
        <v>1964</v>
      </c>
      <c r="I926" s="22" t="str">
        <f t="shared" si="99"/>
        <v>2020-03-23</v>
      </c>
      <c r="J926" s="23" t="str">
        <f t="shared" si="100"/>
        <v>23</v>
      </c>
      <c r="K926" t="str">
        <f t="shared" si="101"/>
        <v>no</v>
      </c>
      <c r="L926">
        <v>23</v>
      </c>
      <c r="M926" t="str">
        <f t="shared" si="102"/>
        <v>2020-03-23</v>
      </c>
      <c r="N926" s="20">
        <f t="shared" si="103"/>
        <v>43914</v>
      </c>
      <c r="O926" t="str">
        <f t="shared" si="104"/>
        <v>2020-03-24</v>
      </c>
    </row>
    <row r="927" spans="1:15" x14ac:dyDescent="0.2">
      <c r="A927" s="21" t="str">
        <f t="shared" si="98"/>
        <v>y</v>
      </c>
      <c r="B927" s="24" t="s">
        <v>1739</v>
      </c>
      <c r="C927" t="s">
        <v>345</v>
      </c>
      <c r="D927" t="s">
        <v>13</v>
      </c>
      <c r="E927" t="s">
        <v>27</v>
      </c>
      <c r="F927" t="s">
        <v>29</v>
      </c>
      <c r="G927" t="s">
        <v>1017</v>
      </c>
      <c r="H927" t="s">
        <v>1978</v>
      </c>
      <c r="I927" s="22" t="str">
        <f t="shared" si="99"/>
        <v>2020-03-23</v>
      </c>
      <c r="J927" s="23" t="str">
        <f t="shared" si="100"/>
        <v>23</v>
      </c>
      <c r="K927" t="str">
        <f t="shared" si="101"/>
        <v>no</v>
      </c>
      <c r="L927">
        <v>23</v>
      </c>
      <c r="M927" t="str">
        <f t="shared" si="102"/>
        <v>2020-03-23</v>
      </c>
      <c r="N927" s="20" t="str">
        <f t="shared" si="103"/>
        <v>2020-03-23</v>
      </c>
      <c r="O927" t="str">
        <f t="shared" si="104"/>
        <v>2020-03-23</v>
      </c>
    </row>
    <row r="928" spans="1:15" x14ac:dyDescent="0.2">
      <c r="A928" s="21" t="str">
        <f t="shared" si="98"/>
        <v>y</v>
      </c>
      <c r="B928" s="24" t="s">
        <v>1740</v>
      </c>
      <c r="C928" t="s">
        <v>975</v>
      </c>
      <c r="D928" t="s">
        <v>13</v>
      </c>
      <c r="E928" t="s">
        <v>43</v>
      </c>
      <c r="F928" t="s">
        <v>2</v>
      </c>
      <c r="H928" t="s">
        <v>1958</v>
      </c>
      <c r="I928" s="22" t="str">
        <f t="shared" si="99"/>
        <v>2020-03-22</v>
      </c>
      <c r="J928" s="23" t="str">
        <f t="shared" si="100"/>
        <v>22</v>
      </c>
      <c r="K928" t="str">
        <f t="shared" si="101"/>
        <v>no</v>
      </c>
      <c r="L928">
        <v>22</v>
      </c>
      <c r="M928" t="str">
        <f t="shared" si="102"/>
        <v>2020-03-22</v>
      </c>
      <c r="N928" s="20">
        <f t="shared" si="103"/>
        <v>43913</v>
      </c>
      <c r="O928" t="str">
        <f t="shared" si="104"/>
        <v>2020-03-23</v>
      </c>
    </row>
    <row r="929" spans="1:15" x14ac:dyDescent="0.2">
      <c r="A929" s="21" t="str">
        <f t="shared" si="98"/>
        <v>y</v>
      </c>
      <c r="B929" s="24" t="s">
        <v>1740</v>
      </c>
      <c r="C929" t="s">
        <v>235</v>
      </c>
      <c r="D929" t="s">
        <v>13</v>
      </c>
      <c r="E929" t="s">
        <v>43</v>
      </c>
      <c r="F929" t="s">
        <v>29</v>
      </c>
      <c r="G929" t="s">
        <v>1016</v>
      </c>
      <c r="H929" t="s">
        <v>1958</v>
      </c>
      <c r="I929" s="22" t="str">
        <f t="shared" si="99"/>
        <v>2020-03-22</v>
      </c>
      <c r="J929" s="23" t="str">
        <f t="shared" si="100"/>
        <v>22</v>
      </c>
      <c r="K929" t="str">
        <f t="shared" si="101"/>
        <v>no</v>
      </c>
      <c r="L929">
        <v>22</v>
      </c>
      <c r="M929" t="str">
        <f t="shared" si="102"/>
        <v>2020-03-22</v>
      </c>
      <c r="N929" s="20" t="str">
        <f t="shared" si="103"/>
        <v>2020-03-22</v>
      </c>
      <c r="O929" t="str">
        <f t="shared" si="104"/>
        <v>2020-03-22</v>
      </c>
    </row>
    <row r="930" spans="1:15" x14ac:dyDescent="0.2">
      <c r="A930" s="21" t="str">
        <f t="shared" si="98"/>
        <v>y</v>
      </c>
      <c r="B930" s="24" t="s">
        <v>1740</v>
      </c>
      <c r="C930" t="s">
        <v>235</v>
      </c>
      <c r="D930" t="s">
        <v>13</v>
      </c>
      <c r="E930" t="s">
        <v>34</v>
      </c>
      <c r="F930" t="s">
        <v>29</v>
      </c>
      <c r="G930" t="s">
        <v>1015</v>
      </c>
      <c r="H930" t="s">
        <v>1958</v>
      </c>
      <c r="I930" s="22" t="str">
        <f t="shared" si="99"/>
        <v>2020-03-22</v>
      </c>
      <c r="J930" s="23" t="str">
        <f t="shared" si="100"/>
        <v>22</v>
      </c>
      <c r="K930" t="str">
        <f t="shared" si="101"/>
        <v>no</v>
      </c>
      <c r="L930">
        <v>22</v>
      </c>
      <c r="M930" t="str">
        <f t="shared" si="102"/>
        <v>2020-03-22</v>
      </c>
      <c r="N930" s="20" t="str">
        <f t="shared" si="103"/>
        <v>2020-03-22</v>
      </c>
      <c r="O930" t="str">
        <f t="shared" si="104"/>
        <v>2020-03-22</v>
      </c>
    </row>
    <row r="931" spans="1:15" x14ac:dyDescent="0.2">
      <c r="A931" s="21" t="str">
        <f t="shared" si="98"/>
        <v>y</v>
      </c>
      <c r="B931" s="24" t="s">
        <v>1740</v>
      </c>
      <c r="C931" t="s">
        <v>235</v>
      </c>
      <c r="D931" t="s">
        <v>13</v>
      </c>
      <c r="E931" t="s">
        <v>8</v>
      </c>
      <c r="F931" t="s">
        <v>2</v>
      </c>
      <c r="G931" t="s">
        <v>1014</v>
      </c>
      <c r="H931" t="s">
        <v>1978</v>
      </c>
      <c r="I931" s="22" t="str">
        <f t="shared" si="99"/>
        <v>2020-03-22</v>
      </c>
      <c r="J931" s="23" t="str">
        <f t="shared" si="100"/>
        <v>22</v>
      </c>
      <c r="K931" t="str">
        <f t="shared" si="101"/>
        <v>no</v>
      </c>
      <c r="L931">
        <v>22</v>
      </c>
      <c r="M931" t="str">
        <f t="shared" si="102"/>
        <v>2020-03-22</v>
      </c>
      <c r="N931" s="20">
        <f t="shared" si="103"/>
        <v>43913</v>
      </c>
      <c r="O931" t="str">
        <f t="shared" si="104"/>
        <v>2020-03-23</v>
      </c>
    </row>
    <row r="932" spans="1:15" x14ac:dyDescent="0.2">
      <c r="A932" s="21" t="str">
        <f t="shared" si="98"/>
        <v>y</v>
      </c>
      <c r="B932" s="24" t="s">
        <v>1741</v>
      </c>
      <c r="C932" t="s">
        <v>975</v>
      </c>
      <c r="D932" t="s">
        <v>13</v>
      </c>
      <c r="E932" t="s">
        <v>43</v>
      </c>
      <c r="F932" t="s">
        <v>2</v>
      </c>
      <c r="G932" t="s">
        <v>1010</v>
      </c>
      <c r="H932" t="s">
        <v>1958</v>
      </c>
      <c r="I932" s="22" t="str">
        <f t="shared" si="99"/>
        <v>2020-03-19</v>
      </c>
      <c r="J932" s="23" t="str">
        <f t="shared" si="100"/>
        <v>19</v>
      </c>
      <c r="K932" t="str">
        <f t="shared" si="101"/>
        <v>no</v>
      </c>
      <c r="L932">
        <v>19</v>
      </c>
      <c r="M932" t="str">
        <f t="shared" si="102"/>
        <v>2020-03-19</v>
      </c>
      <c r="N932" s="20">
        <f t="shared" si="103"/>
        <v>43910</v>
      </c>
      <c r="O932" t="str">
        <f t="shared" si="104"/>
        <v>2020-03-20</v>
      </c>
    </row>
    <row r="933" spans="1:15" x14ac:dyDescent="0.2">
      <c r="A933" s="21" t="str">
        <f t="shared" si="98"/>
        <v>y</v>
      </c>
      <c r="B933" s="24" t="s">
        <v>1741</v>
      </c>
      <c r="C933" t="s">
        <v>235</v>
      </c>
      <c r="D933" t="s">
        <v>13</v>
      </c>
      <c r="E933" t="s">
        <v>43</v>
      </c>
      <c r="F933" t="s">
        <v>2</v>
      </c>
      <c r="G933" t="s">
        <v>1012</v>
      </c>
      <c r="H933" t="s">
        <v>1958</v>
      </c>
      <c r="I933" s="22" t="str">
        <f t="shared" si="99"/>
        <v>2020-03-19</v>
      </c>
      <c r="J933" s="23" t="str">
        <f t="shared" si="100"/>
        <v>19</v>
      </c>
      <c r="K933" t="str">
        <f t="shared" si="101"/>
        <v>no</v>
      </c>
      <c r="L933">
        <v>19</v>
      </c>
      <c r="M933" t="str">
        <f t="shared" si="102"/>
        <v>2020-03-19</v>
      </c>
      <c r="N933" s="20">
        <f t="shared" si="103"/>
        <v>43910</v>
      </c>
      <c r="O933" t="str">
        <f t="shared" si="104"/>
        <v>2020-03-20</v>
      </c>
    </row>
    <row r="934" spans="1:15" x14ac:dyDescent="0.2">
      <c r="A934" s="21" t="str">
        <f t="shared" si="98"/>
        <v>y</v>
      </c>
      <c r="B934" s="24" t="s">
        <v>1741</v>
      </c>
      <c r="C934" t="s">
        <v>235</v>
      </c>
      <c r="D934" t="s">
        <v>13</v>
      </c>
      <c r="E934" t="s">
        <v>34</v>
      </c>
      <c r="F934" t="s">
        <v>2</v>
      </c>
      <c r="G934" t="s">
        <v>1011</v>
      </c>
      <c r="H934" t="s">
        <v>1973</v>
      </c>
      <c r="I934" s="22" t="str">
        <f t="shared" si="99"/>
        <v>2020-03-19</v>
      </c>
      <c r="J934" s="23" t="str">
        <f t="shared" si="100"/>
        <v>19</v>
      </c>
      <c r="K934" t="str">
        <f t="shared" si="101"/>
        <v>no</v>
      </c>
      <c r="L934">
        <v>19</v>
      </c>
      <c r="M934" t="str">
        <f t="shared" si="102"/>
        <v>2020-03-19</v>
      </c>
      <c r="N934" s="20">
        <f t="shared" si="103"/>
        <v>43910</v>
      </c>
      <c r="O934" t="str">
        <f t="shared" si="104"/>
        <v>2020-03-20</v>
      </c>
    </row>
    <row r="935" spans="1:15" x14ac:dyDescent="0.2">
      <c r="A935" s="21" t="str">
        <f t="shared" si="98"/>
        <v>y</v>
      </c>
      <c r="B935" s="24" t="s">
        <v>1741</v>
      </c>
      <c r="C935" t="s">
        <v>891</v>
      </c>
      <c r="D935" t="s">
        <v>13</v>
      </c>
      <c r="E935" t="s">
        <v>64</v>
      </c>
      <c r="F935" t="s">
        <v>29</v>
      </c>
      <c r="G935" t="s">
        <v>1013</v>
      </c>
      <c r="H935" t="s">
        <v>1978</v>
      </c>
      <c r="I935" s="22" t="str">
        <f t="shared" si="99"/>
        <v>2020-03-19</v>
      </c>
      <c r="J935" s="23" t="str">
        <f t="shared" si="100"/>
        <v>19</v>
      </c>
      <c r="K935" t="str">
        <f t="shared" si="101"/>
        <v>no</v>
      </c>
      <c r="L935">
        <v>19</v>
      </c>
      <c r="M935" t="str">
        <f t="shared" si="102"/>
        <v>2020-03-19</v>
      </c>
      <c r="N935" s="20" t="str">
        <f t="shared" si="103"/>
        <v>2020-03-19</v>
      </c>
      <c r="O935" t="str">
        <f t="shared" si="104"/>
        <v>2020-03-19</v>
      </c>
    </row>
    <row r="936" spans="1:15" x14ac:dyDescent="0.2">
      <c r="A936" s="21" t="str">
        <f t="shared" si="98"/>
        <v>y</v>
      </c>
      <c r="B936" s="24" t="s">
        <v>1742</v>
      </c>
      <c r="C936" t="s">
        <v>975</v>
      </c>
      <c r="D936" t="s">
        <v>13</v>
      </c>
      <c r="E936" t="s">
        <v>43</v>
      </c>
      <c r="F936" t="s">
        <v>2</v>
      </c>
      <c r="H936" t="s">
        <v>1958</v>
      </c>
      <c r="I936" s="22" t="str">
        <f t="shared" si="99"/>
        <v>2020-03-18</v>
      </c>
      <c r="J936" s="23" t="str">
        <f t="shared" si="100"/>
        <v>18</v>
      </c>
      <c r="K936" t="str">
        <f t="shared" si="101"/>
        <v>no</v>
      </c>
      <c r="L936">
        <v>18</v>
      </c>
      <c r="M936" t="str">
        <f t="shared" si="102"/>
        <v>2020-03-18</v>
      </c>
      <c r="N936" s="20">
        <f t="shared" si="103"/>
        <v>43909</v>
      </c>
      <c r="O936" t="str">
        <f t="shared" si="104"/>
        <v>2020-03-19</v>
      </c>
    </row>
    <row r="937" spans="1:15" x14ac:dyDescent="0.2">
      <c r="A937" s="21" t="str">
        <f t="shared" si="98"/>
        <v>y</v>
      </c>
      <c r="B937" s="24" t="s">
        <v>1742</v>
      </c>
      <c r="C937" t="s">
        <v>235</v>
      </c>
      <c r="D937" t="s">
        <v>13</v>
      </c>
      <c r="E937" t="s">
        <v>34</v>
      </c>
      <c r="F937" t="s">
        <v>29</v>
      </c>
      <c r="G937" t="s">
        <v>1007</v>
      </c>
      <c r="H937" t="s">
        <v>1958</v>
      </c>
      <c r="I937" s="22" t="str">
        <f t="shared" si="99"/>
        <v>2020-03-18</v>
      </c>
      <c r="J937" s="23" t="str">
        <f t="shared" si="100"/>
        <v>18</v>
      </c>
      <c r="K937" t="str">
        <f t="shared" si="101"/>
        <v>no</v>
      </c>
      <c r="L937">
        <v>18</v>
      </c>
      <c r="M937" t="str">
        <f t="shared" si="102"/>
        <v>2020-03-18</v>
      </c>
      <c r="N937" s="20" t="str">
        <f t="shared" si="103"/>
        <v>2020-03-18</v>
      </c>
      <c r="O937" t="str">
        <f t="shared" si="104"/>
        <v>2020-03-18</v>
      </c>
    </row>
    <row r="938" spans="1:15" x14ac:dyDescent="0.2">
      <c r="A938" s="21" t="str">
        <f t="shared" si="98"/>
        <v>y</v>
      </c>
      <c r="B938" s="24" t="s">
        <v>1742</v>
      </c>
      <c r="C938" t="s">
        <v>235</v>
      </c>
      <c r="D938" t="s">
        <v>13</v>
      </c>
      <c r="E938" t="s">
        <v>42</v>
      </c>
      <c r="F938" t="s">
        <v>2</v>
      </c>
      <c r="G938" t="s">
        <v>1008</v>
      </c>
      <c r="H938" t="s">
        <v>1973</v>
      </c>
      <c r="I938" s="22" t="str">
        <f t="shared" si="99"/>
        <v>2020-03-18</v>
      </c>
      <c r="J938" s="23" t="str">
        <f t="shared" si="100"/>
        <v>18</v>
      </c>
      <c r="K938" t="str">
        <f t="shared" si="101"/>
        <v>no</v>
      </c>
      <c r="L938">
        <v>18</v>
      </c>
      <c r="M938" t="str">
        <f t="shared" si="102"/>
        <v>2020-03-18</v>
      </c>
      <c r="N938" s="20">
        <f t="shared" si="103"/>
        <v>43909</v>
      </c>
      <c r="O938" t="str">
        <f t="shared" si="104"/>
        <v>2020-03-19</v>
      </c>
    </row>
    <row r="939" spans="1:15" x14ac:dyDescent="0.2">
      <c r="A939" s="21" t="str">
        <f t="shared" si="98"/>
        <v>y</v>
      </c>
      <c r="B939" s="24" t="s">
        <v>1742</v>
      </c>
      <c r="C939" t="s">
        <v>891</v>
      </c>
      <c r="D939" t="s">
        <v>13</v>
      </c>
      <c r="E939" t="s">
        <v>64</v>
      </c>
      <c r="F939" t="s">
        <v>29</v>
      </c>
      <c r="G939" t="s">
        <v>1009</v>
      </c>
      <c r="H939" t="s">
        <v>1978</v>
      </c>
      <c r="I939" s="22" t="str">
        <f t="shared" si="99"/>
        <v>2020-03-18</v>
      </c>
      <c r="J939" s="23" t="str">
        <f t="shared" si="100"/>
        <v>18</v>
      </c>
      <c r="K939" t="str">
        <f t="shared" si="101"/>
        <v>no</v>
      </c>
      <c r="L939">
        <v>18</v>
      </c>
      <c r="M939" t="str">
        <f t="shared" si="102"/>
        <v>2020-03-18</v>
      </c>
      <c r="N939" s="20" t="str">
        <f t="shared" si="103"/>
        <v>2020-03-18</v>
      </c>
      <c r="O939" t="str">
        <f t="shared" si="104"/>
        <v>2020-03-18</v>
      </c>
    </row>
    <row r="940" spans="1:15" x14ac:dyDescent="0.2">
      <c r="A940" s="21" t="str">
        <f t="shared" si="98"/>
        <v>y</v>
      </c>
      <c r="B940" s="24" t="s">
        <v>1743</v>
      </c>
      <c r="C940" t="s">
        <v>975</v>
      </c>
      <c r="D940" t="s">
        <v>13</v>
      </c>
      <c r="E940" t="s">
        <v>43</v>
      </c>
      <c r="F940" t="s">
        <v>2</v>
      </c>
      <c r="H940" t="s">
        <v>1958</v>
      </c>
      <c r="I940" s="22" t="str">
        <f t="shared" si="99"/>
        <v>2020-03-17</v>
      </c>
      <c r="J940" s="23" t="str">
        <f t="shared" si="100"/>
        <v>17</v>
      </c>
      <c r="K940" t="str">
        <f t="shared" si="101"/>
        <v>no</v>
      </c>
      <c r="L940">
        <v>17</v>
      </c>
      <c r="M940" t="str">
        <f t="shared" si="102"/>
        <v>2020-03-17</v>
      </c>
      <c r="N940" s="20">
        <f t="shared" si="103"/>
        <v>43908</v>
      </c>
      <c r="O940" t="str">
        <f t="shared" si="104"/>
        <v>2020-03-18</v>
      </c>
    </row>
    <row r="941" spans="1:15" x14ac:dyDescent="0.2">
      <c r="A941" s="21" t="str">
        <f t="shared" si="98"/>
        <v>y</v>
      </c>
      <c r="B941" s="24" t="s">
        <v>1743</v>
      </c>
      <c r="C941" t="s">
        <v>235</v>
      </c>
      <c r="D941" t="s">
        <v>13</v>
      </c>
      <c r="E941" t="s">
        <v>34</v>
      </c>
      <c r="F941" t="s">
        <v>2</v>
      </c>
      <c r="G941" t="s">
        <v>1006</v>
      </c>
      <c r="H941" t="s">
        <v>2014</v>
      </c>
      <c r="I941" s="22" t="str">
        <f t="shared" si="99"/>
        <v>2020-03-17</v>
      </c>
      <c r="J941" s="23" t="str">
        <f t="shared" si="100"/>
        <v>17</v>
      </c>
      <c r="K941" t="str">
        <f t="shared" si="101"/>
        <v>no</v>
      </c>
      <c r="L941">
        <v>17</v>
      </c>
      <c r="M941" t="str">
        <f t="shared" si="102"/>
        <v>2020-03-17</v>
      </c>
      <c r="N941" s="20">
        <f t="shared" si="103"/>
        <v>43908</v>
      </c>
      <c r="O941" t="str">
        <f t="shared" si="104"/>
        <v>2020-03-18</v>
      </c>
    </row>
    <row r="942" spans="1:15" x14ac:dyDescent="0.2">
      <c r="A942" s="21" t="str">
        <f t="shared" si="98"/>
        <v>y</v>
      </c>
      <c r="B942" s="24" t="s">
        <v>1743</v>
      </c>
      <c r="C942" t="s">
        <v>1004</v>
      </c>
      <c r="D942" t="s">
        <v>14</v>
      </c>
      <c r="E942" t="s">
        <v>27</v>
      </c>
      <c r="F942" t="s">
        <v>29</v>
      </c>
      <c r="G942" t="s">
        <v>1005</v>
      </c>
      <c r="H942" t="s">
        <v>1978</v>
      </c>
      <c r="I942" s="22" t="str">
        <f t="shared" si="99"/>
        <v>2020-03-17</v>
      </c>
      <c r="J942" s="23" t="str">
        <f t="shared" si="100"/>
        <v>17</v>
      </c>
      <c r="K942" t="str">
        <f t="shared" si="101"/>
        <v>no</v>
      </c>
      <c r="L942">
        <v>17</v>
      </c>
      <c r="M942" t="str">
        <f t="shared" si="102"/>
        <v>2020-03-17</v>
      </c>
      <c r="N942" s="20" t="str">
        <f t="shared" si="103"/>
        <v>2020-03-17</v>
      </c>
      <c r="O942" t="str">
        <f t="shared" si="104"/>
        <v>2020-03-17</v>
      </c>
    </row>
    <row r="943" spans="1:15" x14ac:dyDescent="0.2">
      <c r="A943" s="21" t="str">
        <f t="shared" si="98"/>
        <v>y</v>
      </c>
      <c r="B943" s="24" t="s">
        <v>1744</v>
      </c>
      <c r="C943" t="s">
        <v>975</v>
      </c>
      <c r="D943" t="s">
        <v>13</v>
      </c>
      <c r="E943" t="s">
        <v>43</v>
      </c>
      <c r="F943" t="s">
        <v>2</v>
      </c>
      <c r="H943" t="s">
        <v>1958</v>
      </c>
      <c r="I943" s="22" t="str">
        <f t="shared" si="99"/>
        <v>2020-03-16</v>
      </c>
      <c r="J943" s="23" t="str">
        <f t="shared" si="100"/>
        <v>16</v>
      </c>
      <c r="K943" t="str">
        <f t="shared" si="101"/>
        <v>no</v>
      </c>
      <c r="L943">
        <v>16</v>
      </c>
      <c r="M943" t="str">
        <f t="shared" si="102"/>
        <v>2020-03-16</v>
      </c>
      <c r="N943" s="20">
        <f t="shared" si="103"/>
        <v>43907</v>
      </c>
      <c r="O943" t="str">
        <f t="shared" si="104"/>
        <v>2020-03-17</v>
      </c>
    </row>
    <row r="944" spans="1:15" x14ac:dyDescent="0.2">
      <c r="A944" s="21" t="str">
        <f t="shared" si="98"/>
        <v>y</v>
      </c>
      <c r="B944" s="24" t="s">
        <v>1744</v>
      </c>
      <c r="C944" t="s">
        <v>235</v>
      </c>
      <c r="D944" t="s">
        <v>13</v>
      </c>
      <c r="E944" t="s">
        <v>34</v>
      </c>
      <c r="F944" t="s">
        <v>2</v>
      </c>
      <c r="G944" t="s">
        <v>1003</v>
      </c>
      <c r="H944" t="s">
        <v>1976</v>
      </c>
      <c r="I944" s="22" t="str">
        <f t="shared" si="99"/>
        <v>2020-03-16</v>
      </c>
      <c r="J944" s="23" t="str">
        <f t="shared" si="100"/>
        <v>16</v>
      </c>
      <c r="K944" t="str">
        <f t="shared" si="101"/>
        <v>no</v>
      </c>
      <c r="L944">
        <v>16</v>
      </c>
      <c r="M944" t="str">
        <f t="shared" si="102"/>
        <v>2020-03-16</v>
      </c>
      <c r="N944" s="20">
        <f t="shared" si="103"/>
        <v>43907</v>
      </c>
      <c r="O944" t="str">
        <f t="shared" si="104"/>
        <v>2020-03-17</v>
      </c>
    </row>
    <row r="945" spans="1:15" x14ac:dyDescent="0.2">
      <c r="A945" s="21" t="str">
        <f t="shared" si="98"/>
        <v>y</v>
      </c>
      <c r="B945" s="24" t="s">
        <v>1744</v>
      </c>
      <c r="C945" t="s">
        <v>616</v>
      </c>
      <c r="D945" t="s">
        <v>13</v>
      </c>
      <c r="E945" t="s">
        <v>43</v>
      </c>
      <c r="F945" t="s">
        <v>29</v>
      </c>
      <c r="G945" t="s">
        <v>1002</v>
      </c>
      <c r="H945" t="s">
        <v>1973</v>
      </c>
      <c r="I945" s="22" t="str">
        <f t="shared" si="99"/>
        <v>2020-03-16</v>
      </c>
      <c r="J945" s="23" t="str">
        <f t="shared" si="100"/>
        <v>16</v>
      </c>
      <c r="K945" t="str">
        <f t="shared" si="101"/>
        <v>no</v>
      </c>
      <c r="L945">
        <v>16</v>
      </c>
      <c r="M945" t="str">
        <f t="shared" si="102"/>
        <v>2020-03-16</v>
      </c>
      <c r="N945" s="20" t="str">
        <f t="shared" si="103"/>
        <v>2020-03-16</v>
      </c>
      <c r="O945" t="str">
        <f t="shared" si="104"/>
        <v>2020-03-16</v>
      </c>
    </row>
    <row r="946" spans="1:15" x14ac:dyDescent="0.2">
      <c r="A946" s="21" t="str">
        <f t="shared" si="98"/>
        <v>y</v>
      </c>
      <c r="B946" s="24" t="s">
        <v>1744</v>
      </c>
      <c r="C946" t="s">
        <v>891</v>
      </c>
      <c r="D946" t="s">
        <v>13</v>
      </c>
      <c r="E946" t="s">
        <v>28</v>
      </c>
      <c r="F946" t="s">
        <v>29</v>
      </c>
      <c r="G946" t="s">
        <v>1001</v>
      </c>
      <c r="H946" t="s">
        <v>2014</v>
      </c>
      <c r="I946" s="22" t="str">
        <f t="shared" si="99"/>
        <v>2020-03-16</v>
      </c>
      <c r="J946" s="23" t="str">
        <f t="shared" si="100"/>
        <v>16</v>
      </c>
      <c r="K946" t="str">
        <f t="shared" si="101"/>
        <v>no</v>
      </c>
      <c r="L946">
        <v>16</v>
      </c>
      <c r="M946" t="str">
        <f t="shared" si="102"/>
        <v>2020-03-16</v>
      </c>
      <c r="N946" s="20" t="str">
        <f t="shared" si="103"/>
        <v>2020-03-16</v>
      </c>
      <c r="O946" t="str">
        <f t="shared" si="104"/>
        <v>2020-03-16</v>
      </c>
    </row>
    <row r="947" spans="1:15" x14ac:dyDescent="0.2">
      <c r="A947" s="21" t="str">
        <f t="shared" si="98"/>
        <v>y</v>
      </c>
      <c r="B947" s="24" t="s">
        <v>1744</v>
      </c>
      <c r="C947" t="s">
        <v>1004</v>
      </c>
      <c r="D947" t="s">
        <v>14</v>
      </c>
      <c r="E947" t="s">
        <v>43</v>
      </c>
      <c r="F947" t="s">
        <v>2</v>
      </c>
      <c r="H947" t="s">
        <v>1978</v>
      </c>
      <c r="I947" s="22" t="str">
        <f t="shared" si="99"/>
        <v>2020-03-16</v>
      </c>
      <c r="J947" s="23" t="str">
        <f t="shared" si="100"/>
        <v>16</v>
      </c>
      <c r="K947" t="str">
        <f t="shared" si="101"/>
        <v>no</v>
      </c>
      <c r="L947">
        <v>16</v>
      </c>
      <c r="M947" t="str">
        <f t="shared" si="102"/>
        <v>2020-03-16</v>
      </c>
      <c r="N947" s="20">
        <f t="shared" si="103"/>
        <v>43907</v>
      </c>
      <c r="O947" t="str">
        <f t="shared" si="104"/>
        <v>2020-03-17</v>
      </c>
    </row>
    <row r="948" spans="1:15" x14ac:dyDescent="0.2">
      <c r="A948" s="21" t="str">
        <f t="shared" si="98"/>
        <v>y</v>
      </c>
      <c r="B948" s="24" t="s">
        <v>1745</v>
      </c>
      <c r="C948" t="s">
        <v>975</v>
      </c>
      <c r="D948" t="s">
        <v>13</v>
      </c>
      <c r="E948" t="s">
        <v>43</v>
      </c>
      <c r="F948" t="s">
        <v>2</v>
      </c>
      <c r="H948" t="s">
        <v>1958</v>
      </c>
      <c r="I948" s="22" t="str">
        <f t="shared" si="99"/>
        <v>2020-03-15</v>
      </c>
      <c r="J948" s="23" t="str">
        <f t="shared" si="100"/>
        <v>15</v>
      </c>
      <c r="K948" t="str">
        <f t="shared" si="101"/>
        <v>no</v>
      </c>
      <c r="L948">
        <v>15</v>
      </c>
      <c r="M948" t="str">
        <f t="shared" si="102"/>
        <v>2020-03-15</v>
      </c>
      <c r="N948" s="20">
        <f t="shared" si="103"/>
        <v>43906</v>
      </c>
      <c r="O948" t="str">
        <f t="shared" si="104"/>
        <v>2020-03-16</v>
      </c>
    </row>
    <row r="949" spans="1:15" x14ac:dyDescent="0.2">
      <c r="A949" s="21" t="str">
        <f t="shared" si="98"/>
        <v>y</v>
      </c>
      <c r="B949" s="24" t="s">
        <v>1745</v>
      </c>
      <c r="C949" t="s">
        <v>235</v>
      </c>
      <c r="D949" t="s">
        <v>13</v>
      </c>
      <c r="E949" t="s">
        <v>42</v>
      </c>
      <c r="F949" t="s">
        <v>2</v>
      </c>
      <c r="G949" t="s">
        <v>1000</v>
      </c>
      <c r="H949" t="s">
        <v>1976</v>
      </c>
      <c r="I949" s="22" t="str">
        <f t="shared" si="99"/>
        <v>2020-03-15</v>
      </c>
      <c r="J949" s="23" t="str">
        <f t="shared" si="100"/>
        <v>15</v>
      </c>
      <c r="K949" t="str">
        <f t="shared" si="101"/>
        <v>no</v>
      </c>
      <c r="L949">
        <v>15</v>
      </c>
      <c r="M949" t="str">
        <f t="shared" si="102"/>
        <v>2020-03-15</v>
      </c>
      <c r="N949" s="20">
        <f t="shared" si="103"/>
        <v>43906</v>
      </c>
      <c r="O949" t="str">
        <f t="shared" si="104"/>
        <v>2020-03-16</v>
      </c>
    </row>
    <row r="950" spans="1:15" x14ac:dyDescent="0.2">
      <c r="A950" s="21" t="str">
        <f t="shared" si="98"/>
        <v>y</v>
      </c>
      <c r="B950" s="24" t="s">
        <v>1745</v>
      </c>
      <c r="C950" t="s">
        <v>616</v>
      </c>
      <c r="D950" t="s">
        <v>13</v>
      </c>
      <c r="E950" t="s">
        <v>43</v>
      </c>
      <c r="F950" t="s">
        <v>2</v>
      </c>
      <c r="H950" t="s">
        <v>1978</v>
      </c>
      <c r="I950" s="22" t="str">
        <f t="shared" si="99"/>
        <v>2020-03-15</v>
      </c>
      <c r="J950" s="23" t="str">
        <f t="shared" si="100"/>
        <v>15</v>
      </c>
      <c r="K950" t="str">
        <f t="shared" si="101"/>
        <v>no</v>
      </c>
      <c r="L950">
        <v>15</v>
      </c>
      <c r="M950" t="str">
        <f t="shared" si="102"/>
        <v>2020-03-15</v>
      </c>
      <c r="N950" s="20">
        <f t="shared" si="103"/>
        <v>43906</v>
      </c>
      <c r="O950" t="str">
        <f t="shared" si="104"/>
        <v>2020-03-16</v>
      </c>
    </row>
    <row r="951" spans="1:15" x14ac:dyDescent="0.2">
      <c r="A951" s="21" t="str">
        <f t="shared" si="98"/>
        <v>y</v>
      </c>
      <c r="B951" s="24" t="s">
        <v>1746</v>
      </c>
      <c r="C951" t="s">
        <v>975</v>
      </c>
      <c r="D951" t="s">
        <v>13</v>
      </c>
      <c r="E951" t="s">
        <v>43</v>
      </c>
      <c r="F951" t="s">
        <v>2</v>
      </c>
      <c r="H951" t="s">
        <v>1958</v>
      </c>
      <c r="I951" s="22" t="str">
        <f t="shared" si="99"/>
        <v>2020-03-14</v>
      </c>
      <c r="J951" s="23" t="str">
        <f t="shared" si="100"/>
        <v>14</v>
      </c>
      <c r="K951" t="str">
        <f t="shared" si="101"/>
        <v>no</v>
      </c>
      <c r="L951">
        <v>14</v>
      </c>
      <c r="M951" t="str">
        <f t="shared" si="102"/>
        <v>2020-03-14</v>
      </c>
      <c r="N951" s="20">
        <f t="shared" si="103"/>
        <v>43905</v>
      </c>
      <c r="O951" t="str">
        <f t="shared" si="104"/>
        <v>2020-03-15</v>
      </c>
    </row>
    <row r="952" spans="1:15" x14ac:dyDescent="0.2">
      <c r="A952" s="21" t="str">
        <f t="shared" si="98"/>
        <v>y</v>
      </c>
      <c r="B952" s="24" t="s">
        <v>1746</v>
      </c>
      <c r="C952" t="s">
        <v>235</v>
      </c>
      <c r="D952" t="s">
        <v>13</v>
      </c>
      <c r="E952" t="s">
        <v>42</v>
      </c>
      <c r="F952" t="s">
        <v>2</v>
      </c>
      <c r="G952" t="s">
        <v>998</v>
      </c>
      <c r="H952" t="s">
        <v>1976</v>
      </c>
      <c r="I952" s="22" t="str">
        <f t="shared" si="99"/>
        <v>2020-03-14</v>
      </c>
      <c r="J952" s="23" t="str">
        <f t="shared" si="100"/>
        <v>14</v>
      </c>
      <c r="K952" t="str">
        <f t="shared" si="101"/>
        <v>no</v>
      </c>
      <c r="L952">
        <v>14</v>
      </c>
      <c r="M952" t="str">
        <f t="shared" si="102"/>
        <v>2020-03-14</v>
      </c>
      <c r="N952" s="20">
        <f t="shared" si="103"/>
        <v>43905</v>
      </c>
      <c r="O952" t="str">
        <f t="shared" si="104"/>
        <v>2020-03-15</v>
      </c>
    </row>
    <row r="953" spans="1:15" x14ac:dyDescent="0.2">
      <c r="A953" s="21" t="str">
        <f t="shared" si="98"/>
        <v>y</v>
      </c>
      <c r="B953" s="24" t="s">
        <v>1746</v>
      </c>
      <c r="C953" t="s">
        <v>616</v>
      </c>
      <c r="D953" t="s">
        <v>13</v>
      </c>
      <c r="E953" t="s">
        <v>43</v>
      </c>
      <c r="F953" t="s">
        <v>2</v>
      </c>
      <c r="G953" t="s">
        <v>999</v>
      </c>
      <c r="H953" t="s">
        <v>1978</v>
      </c>
      <c r="I953" s="22" t="str">
        <f t="shared" si="99"/>
        <v>2020-03-14</v>
      </c>
      <c r="J953" s="23" t="str">
        <f t="shared" si="100"/>
        <v>14</v>
      </c>
      <c r="K953" t="str">
        <f t="shared" si="101"/>
        <v>no</v>
      </c>
      <c r="L953">
        <v>14</v>
      </c>
      <c r="M953" t="str">
        <f t="shared" si="102"/>
        <v>2020-03-14</v>
      </c>
      <c r="N953" s="20">
        <f t="shared" si="103"/>
        <v>43905</v>
      </c>
      <c r="O953" t="str">
        <f t="shared" si="104"/>
        <v>2020-03-15</v>
      </c>
    </row>
    <row r="954" spans="1:15" x14ac:dyDescent="0.2">
      <c r="A954" s="21" t="str">
        <f t="shared" si="98"/>
        <v>y</v>
      </c>
      <c r="B954" s="24">
        <v>44168</v>
      </c>
      <c r="C954" t="s">
        <v>975</v>
      </c>
      <c r="D954" t="s">
        <v>13</v>
      </c>
      <c r="E954" t="s">
        <v>43</v>
      </c>
      <c r="F954" t="s">
        <v>2</v>
      </c>
      <c r="G954" t="s">
        <v>996</v>
      </c>
      <c r="H954" t="s">
        <v>1958</v>
      </c>
      <c r="I954" s="22" t="str">
        <f t="shared" si="99"/>
        <v>2020-03-12</v>
      </c>
      <c r="J954" s="23" t="str">
        <f t="shared" si="100"/>
        <v>44</v>
      </c>
      <c r="K954" t="str">
        <f t="shared" si="101"/>
        <v>yes</v>
      </c>
      <c r="L954">
        <v>44</v>
      </c>
      <c r="M954" t="str">
        <f t="shared" si="102"/>
        <v>2020-03-12</v>
      </c>
      <c r="N954" s="20">
        <f t="shared" si="103"/>
        <v>43903</v>
      </c>
      <c r="O954" t="str">
        <f t="shared" si="104"/>
        <v>2020-03-13</v>
      </c>
    </row>
    <row r="955" spans="1:15" x14ac:dyDescent="0.2">
      <c r="A955" s="21" t="str">
        <f t="shared" si="98"/>
        <v>y</v>
      </c>
      <c r="B955" s="24">
        <v>44168</v>
      </c>
      <c r="C955" t="s">
        <v>235</v>
      </c>
      <c r="D955" t="s">
        <v>13</v>
      </c>
      <c r="E955" t="s">
        <v>42</v>
      </c>
      <c r="F955" t="s">
        <v>2</v>
      </c>
      <c r="G955" t="s">
        <v>993</v>
      </c>
      <c r="H955" t="s">
        <v>1958</v>
      </c>
      <c r="I955" s="22" t="str">
        <f t="shared" si="99"/>
        <v>2020-03-12</v>
      </c>
      <c r="J955" s="23" t="str">
        <f t="shared" si="100"/>
        <v>44</v>
      </c>
      <c r="K955" t="str">
        <f t="shared" si="101"/>
        <v>yes</v>
      </c>
      <c r="L955">
        <v>44</v>
      </c>
      <c r="M955" t="str">
        <f t="shared" si="102"/>
        <v>2020-03-12</v>
      </c>
      <c r="N955" s="20">
        <f t="shared" si="103"/>
        <v>43903</v>
      </c>
      <c r="O955" t="str">
        <f t="shared" si="104"/>
        <v>2020-03-13</v>
      </c>
    </row>
    <row r="956" spans="1:15" x14ac:dyDescent="0.2">
      <c r="A956" s="21" t="str">
        <f t="shared" si="98"/>
        <v>y</v>
      </c>
      <c r="B956" s="24">
        <v>44168</v>
      </c>
      <c r="C956" t="s">
        <v>235</v>
      </c>
      <c r="D956" t="s">
        <v>13</v>
      </c>
      <c r="E956" t="s">
        <v>34</v>
      </c>
      <c r="F956" t="s">
        <v>29</v>
      </c>
      <c r="G956" t="s">
        <v>997</v>
      </c>
      <c r="H956" t="s">
        <v>1978</v>
      </c>
      <c r="I956" s="22" t="str">
        <f t="shared" si="99"/>
        <v>2020-03-12</v>
      </c>
      <c r="J956" s="23" t="str">
        <f t="shared" si="100"/>
        <v>44</v>
      </c>
      <c r="K956" t="str">
        <f t="shared" si="101"/>
        <v>yes</v>
      </c>
      <c r="L956">
        <v>44</v>
      </c>
      <c r="M956" t="str">
        <f t="shared" si="102"/>
        <v>2020-03-12</v>
      </c>
      <c r="N956" s="20" t="str">
        <f t="shared" si="103"/>
        <v>2020-03-12</v>
      </c>
      <c r="O956" t="str">
        <f t="shared" si="104"/>
        <v>2020-03-12</v>
      </c>
    </row>
    <row r="957" spans="1:15" x14ac:dyDescent="0.2">
      <c r="A957" s="21" t="str">
        <f t="shared" si="98"/>
        <v>y</v>
      </c>
      <c r="B957" s="24">
        <v>44138</v>
      </c>
      <c r="C957" t="s">
        <v>975</v>
      </c>
      <c r="D957" t="s">
        <v>13</v>
      </c>
      <c r="E957" t="s">
        <v>43</v>
      </c>
      <c r="F957" t="s">
        <v>2</v>
      </c>
      <c r="H957" t="s">
        <v>1958</v>
      </c>
      <c r="I957" s="22" t="str">
        <f t="shared" si="99"/>
        <v>2020-03-11</v>
      </c>
      <c r="J957" s="23" t="str">
        <f t="shared" si="100"/>
        <v>44</v>
      </c>
      <c r="K957" t="str">
        <f t="shared" si="101"/>
        <v>yes</v>
      </c>
      <c r="L957">
        <v>44</v>
      </c>
      <c r="M957" t="str">
        <f t="shared" si="102"/>
        <v>2020-03-11</v>
      </c>
      <c r="N957" s="20">
        <f t="shared" si="103"/>
        <v>43902</v>
      </c>
      <c r="O957" t="str">
        <f t="shared" si="104"/>
        <v>2020-03-12</v>
      </c>
    </row>
    <row r="958" spans="1:15" x14ac:dyDescent="0.2">
      <c r="A958" s="21" t="str">
        <f t="shared" si="98"/>
        <v>y</v>
      </c>
      <c r="B958" s="24">
        <v>44138</v>
      </c>
      <c r="C958" t="s">
        <v>235</v>
      </c>
      <c r="D958" t="s">
        <v>13</v>
      </c>
      <c r="E958" t="s">
        <v>42</v>
      </c>
      <c r="F958" t="s">
        <v>2</v>
      </c>
      <c r="G958" t="s">
        <v>993</v>
      </c>
      <c r="H958" t="s">
        <v>1958</v>
      </c>
      <c r="I958" s="22" t="str">
        <f t="shared" si="99"/>
        <v>2020-03-11</v>
      </c>
      <c r="J958" s="23" t="str">
        <f t="shared" si="100"/>
        <v>44</v>
      </c>
      <c r="K958" t="str">
        <f t="shared" si="101"/>
        <v>yes</v>
      </c>
      <c r="L958">
        <v>44</v>
      </c>
      <c r="M958" t="str">
        <f t="shared" si="102"/>
        <v>2020-03-11</v>
      </c>
      <c r="N958" s="20">
        <f t="shared" si="103"/>
        <v>43902</v>
      </c>
      <c r="O958" t="str">
        <f t="shared" si="104"/>
        <v>2020-03-12</v>
      </c>
    </row>
    <row r="959" spans="1:15" x14ac:dyDescent="0.2">
      <c r="A959" s="21" t="str">
        <f t="shared" si="98"/>
        <v>y</v>
      </c>
      <c r="B959" s="24">
        <v>44138</v>
      </c>
      <c r="C959" t="s">
        <v>235</v>
      </c>
      <c r="D959" t="s">
        <v>13</v>
      </c>
      <c r="E959" t="s">
        <v>34</v>
      </c>
      <c r="F959" t="s">
        <v>2</v>
      </c>
      <c r="G959" t="s">
        <v>994</v>
      </c>
      <c r="H959" t="s">
        <v>1958</v>
      </c>
      <c r="I959" s="22" t="str">
        <f t="shared" si="99"/>
        <v>2020-03-11</v>
      </c>
      <c r="J959" s="23" t="str">
        <f t="shared" si="100"/>
        <v>44</v>
      </c>
      <c r="K959" t="str">
        <f t="shared" si="101"/>
        <v>yes</v>
      </c>
      <c r="L959">
        <v>44</v>
      </c>
      <c r="M959" t="str">
        <f t="shared" si="102"/>
        <v>2020-03-11</v>
      </c>
      <c r="N959" s="20">
        <f t="shared" si="103"/>
        <v>43902</v>
      </c>
      <c r="O959" t="str">
        <f t="shared" si="104"/>
        <v>2020-03-12</v>
      </c>
    </row>
    <row r="960" spans="1:15" x14ac:dyDescent="0.2">
      <c r="A960" s="21" t="str">
        <f t="shared" si="98"/>
        <v>y</v>
      </c>
      <c r="B960" s="24">
        <v>44138</v>
      </c>
      <c r="C960" t="s">
        <v>235</v>
      </c>
      <c r="D960" t="s">
        <v>13</v>
      </c>
      <c r="E960" t="s">
        <v>34</v>
      </c>
      <c r="F960" t="s">
        <v>29</v>
      </c>
      <c r="G960" t="s">
        <v>995</v>
      </c>
      <c r="H960" t="s">
        <v>1978</v>
      </c>
      <c r="I960" s="22" t="str">
        <f t="shared" si="99"/>
        <v>2020-03-11</v>
      </c>
      <c r="J960" s="23" t="str">
        <f t="shared" si="100"/>
        <v>44</v>
      </c>
      <c r="K960" t="str">
        <f t="shared" si="101"/>
        <v>yes</v>
      </c>
      <c r="L960">
        <v>44</v>
      </c>
      <c r="M960" t="str">
        <f t="shared" si="102"/>
        <v>2020-03-11</v>
      </c>
      <c r="N960" s="20" t="str">
        <f t="shared" si="103"/>
        <v>2020-03-11</v>
      </c>
      <c r="O960" t="str">
        <f t="shared" si="104"/>
        <v>2020-03-11</v>
      </c>
    </row>
    <row r="961" spans="1:15" x14ac:dyDescent="0.2">
      <c r="A961" s="21" t="str">
        <f t="shared" si="98"/>
        <v>y</v>
      </c>
      <c r="B961" s="24">
        <v>44107</v>
      </c>
      <c r="C961" t="s">
        <v>975</v>
      </c>
      <c r="D961" t="s">
        <v>13</v>
      </c>
      <c r="E961" t="s">
        <v>43</v>
      </c>
      <c r="F961" t="s">
        <v>2</v>
      </c>
      <c r="G961" t="s">
        <v>988</v>
      </c>
      <c r="H961" t="s">
        <v>1958</v>
      </c>
      <c r="I961" s="22" t="str">
        <f t="shared" si="99"/>
        <v>2020-03-10</v>
      </c>
      <c r="J961" s="23" t="str">
        <f t="shared" si="100"/>
        <v>44</v>
      </c>
      <c r="K961" t="str">
        <f t="shared" si="101"/>
        <v>yes</v>
      </c>
      <c r="L961">
        <v>44</v>
      </c>
      <c r="M961" t="str">
        <f t="shared" si="102"/>
        <v>2020-03-10</v>
      </c>
      <c r="N961" s="20">
        <f t="shared" si="103"/>
        <v>43901</v>
      </c>
      <c r="O961" t="str">
        <f t="shared" si="104"/>
        <v>2020-03-11</v>
      </c>
    </row>
    <row r="962" spans="1:15" x14ac:dyDescent="0.2">
      <c r="A962" s="21" t="str">
        <f t="shared" si="98"/>
        <v>y</v>
      </c>
      <c r="B962" s="24">
        <v>44107</v>
      </c>
      <c r="C962" t="s">
        <v>235</v>
      </c>
      <c r="D962" t="s">
        <v>13</v>
      </c>
      <c r="E962" t="s">
        <v>34</v>
      </c>
      <c r="F962" t="s">
        <v>29</v>
      </c>
      <c r="G962" t="s">
        <v>992</v>
      </c>
      <c r="H962" t="s">
        <v>1976</v>
      </c>
      <c r="I962" s="22" t="str">
        <f t="shared" si="99"/>
        <v>2020-03-10</v>
      </c>
      <c r="J962" s="23" t="str">
        <f t="shared" si="100"/>
        <v>44</v>
      </c>
      <c r="K962" t="str">
        <f t="shared" si="101"/>
        <v>yes</v>
      </c>
      <c r="L962">
        <v>44</v>
      </c>
      <c r="M962" t="str">
        <f t="shared" si="102"/>
        <v>2020-03-10</v>
      </c>
      <c r="N962" s="20" t="str">
        <f t="shared" si="103"/>
        <v>2020-03-10</v>
      </c>
      <c r="O962" t="str">
        <f t="shared" si="104"/>
        <v>2020-03-10</v>
      </c>
    </row>
    <row r="963" spans="1:15" x14ac:dyDescent="0.2">
      <c r="A963" s="21" t="str">
        <f t="shared" si="98"/>
        <v>y</v>
      </c>
      <c r="B963" s="24">
        <v>44107</v>
      </c>
      <c r="C963" t="s">
        <v>616</v>
      </c>
      <c r="D963" t="s">
        <v>13</v>
      </c>
      <c r="E963" t="s">
        <v>34</v>
      </c>
      <c r="F963" t="s">
        <v>29</v>
      </c>
      <c r="G963" t="s">
        <v>991</v>
      </c>
      <c r="H963" t="s">
        <v>1978</v>
      </c>
      <c r="I963" s="22" t="str">
        <f t="shared" si="99"/>
        <v>2020-03-10</v>
      </c>
      <c r="J963" s="23" t="str">
        <f t="shared" si="100"/>
        <v>44</v>
      </c>
      <c r="K963" t="str">
        <f t="shared" si="101"/>
        <v>yes</v>
      </c>
      <c r="L963">
        <v>44</v>
      </c>
      <c r="M963" t="str">
        <f t="shared" si="102"/>
        <v>2020-03-10</v>
      </c>
      <c r="N963" s="20" t="str">
        <f t="shared" si="103"/>
        <v>2020-03-10</v>
      </c>
      <c r="O963" t="str">
        <f t="shared" si="104"/>
        <v>2020-03-10</v>
      </c>
    </row>
    <row r="964" spans="1:15" x14ac:dyDescent="0.2">
      <c r="A964" s="21" t="str">
        <f t="shared" ref="A964:A1027" si="105">IF(LEFT(B964,2)&gt;12,"y","-")</f>
        <v>y</v>
      </c>
      <c r="B964" s="24">
        <v>44077</v>
      </c>
      <c r="C964" t="s">
        <v>975</v>
      </c>
      <c r="D964" t="s">
        <v>13</v>
      </c>
      <c r="E964" t="s">
        <v>43</v>
      </c>
      <c r="F964" t="s">
        <v>2</v>
      </c>
      <c r="G964" t="s">
        <v>988</v>
      </c>
      <c r="H964" t="s">
        <v>1958</v>
      </c>
      <c r="I964" s="22" t="str">
        <f t="shared" ref="I964:I1027" si="106">IF(K964="yes",TEXT(B964,"YYYY-DD-MM"),TEXT(B964,"YYYY-MM-DD"))</f>
        <v>2020-03-09</v>
      </c>
      <c r="J964" s="23" t="str">
        <f t="shared" ref="J964:J1027" si="107">LEFT(B964,2)</f>
        <v>44</v>
      </c>
      <c r="K964" t="str">
        <f t="shared" ref="K964:K1027" si="108">IF(L964&gt;31,"yes","no")</f>
        <v>yes</v>
      </c>
      <c r="L964">
        <v>44</v>
      </c>
      <c r="M964" t="str">
        <f t="shared" ref="M964:M1027" si="109">I964</f>
        <v>2020-03-09</v>
      </c>
      <c r="N964" s="20">
        <f t="shared" ref="N964:N1027" si="110">IF(F964="DONE",M964,M964+1)</f>
        <v>43900</v>
      </c>
      <c r="O964" t="str">
        <f t="shared" ref="O964:O1027" si="111">TEXT(N964,"YYYY-MM-DD")</f>
        <v>2020-03-10</v>
      </c>
    </row>
    <row r="965" spans="1:15" x14ac:dyDescent="0.2">
      <c r="A965" s="21" t="str">
        <f t="shared" si="105"/>
        <v>y</v>
      </c>
      <c r="B965" s="24">
        <v>44077</v>
      </c>
      <c r="C965" t="s">
        <v>235</v>
      </c>
      <c r="D965" t="s">
        <v>13</v>
      </c>
      <c r="E965" t="s">
        <v>34</v>
      </c>
      <c r="F965" t="s">
        <v>2</v>
      </c>
      <c r="G965" t="s">
        <v>989</v>
      </c>
      <c r="H965" t="s">
        <v>1976</v>
      </c>
      <c r="I965" s="22" t="str">
        <f t="shared" si="106"/>
        <v>2020-03-09</v>
      </c>
      <c r="J965" s="23" t="str">
        <f t="shared" si="107"/>
        <v>44</v>
      </c>
      <c r="K965" t="str">
        <f t="shared" si="108"/>
        <v>yes</v>
      </c>
      <c r="L965">
        <v>44</v>
      </c>
      <c r="M965" t="str">
        <f t="shared" si="109"/>
        <v>2020-03-09</v>
      </c>
      <c r="N965" s="20">
        <f t="shared" si="110"/>
        <v>43900</v>
      </c>
      <c r="O965" t="str">
        <f t="shared" si="111"/>
        <v>2020-03-10</v>
      </c>
    </row>
    <row r="966" spans="1:15" x14ac:dyDescent="0.2">
      <c r="A966" s="21" t="str">
        <f t="shared" si="105"/>
        <v>y</v>
      </c>
      <c r="B966" s="24">
        <v>44077</v>
      </c>
      <c r="C966" t="s">
        <v>616</v>
      </c>
      <c r="D966" t="s">
        <v>13</v>
      </c>
      <c r="E966" t="s">
        <v>27</v>
      </c>
      <c r="F966" t="s">
        <v>29</v>
      </c>
      <c r="G966" t="s">
        <v>990</v>
      </c>
      <c r="H966" t="s">
        <v>2015</v>
      </c>
      <c r="I966" s="22" t="str">
        <f t="shared" si="106"/>
        <v>2020-03-09</v>
      </c>
      <c r="J966" s="23" t="str">
        <f t="shared" si="107"/>
        <v>44</v>
      </c>
      <c r="K966" t="str">
        <f t="shared" si="108"/>
        <v>yes</v>
      </c>
      <c r="L966">
        <v>44</v>
      </c>
      <c r="M966" t="str">
        <f t="shared" si="109"/>
        <v>2020-03-09</v>
      </c>
      <c r="N966" s="20" t="str">
        <f t="shared" si="110"/>
        <v>2020-03-09</v>
      </c>
      <c r="O966" t="str">
        <f t="shared" si="111"/>
        <v>2020-03-09</v>
      </c>
    </row>
    <row r="967" spans="1:15" x14ac:dyDescent="0.2">
      <c r="A967" s="21" t="str">
        <f t="shared" si="105"/>
        <v>y</v>
      </c>
      <c r="B967" s="24">
        <v>44046</v>
      </c>
      <c r="C967" t="s">
        <v>321</v>
      </c>
      <c r="D967" t="s">
        <v>14</v>
      </c>
      <c r="E967" t="s">
        <v>21</v>
      </c>
      <c r="F967" t="s">
        <v>2</v>
      </c>
      <c r="G967" t="s">
        <v>987</v>
      </c>
      <c r="H967" t="s">
        <v>1978</v>
      </c>
      <c r="I967" s="22" t="str">
        <f t="shared" si="106"/>
        <v>2020-03-08</v>
      </c>
      <c r="J967" s="23" t="str">
        <f t="shared" si="107"/>
        <v>44</v>
      </c>
      <c r="K967" t="str">
        <f t="shared" si="108"/>
        <v>yes</v>
      </c>
      <c r="L967">
        <v>44</v>
      </c>
      <c r="M967" t="str">
        <f t="shared" si="109"/>
        <v>2020-03-08</v>
      </c>
      <c r="N967" s="20">
        <f t="shared" si="110"/>
        <v>43899</v>
      </c>
      <c r="O967" t="str">
        <f t="shared" si="111"/>
        <v>2020-03-09</v>
      </c>
    </row>
    <row r="968" spans="1:15" x14ac:dyDescent="0.2">
      <c r="A968" s="21" t="str">
        <f t="shared" si="105"/>
        <v>y</v>
      </c>
      <c r="B968" s="24">
        <v>44046</v>
      </c>
      <c r="C968" t="s">
        <v>975</v>
      </c>
      <c r="D968" t="s">
        <v>13</v>
      </c>
      <c r="E968" t="s">
        <v>43</v>
      </c>
      <c r="F968" t="s">
        <v>2</v>
      </c>
      <c r="G968" t="s">
        <v>986</v>
      </c>
      <c r="H968" t="s">
        <v>1958</v>
      </c>
      <c r="I968" s="22" t="str">
        <f t="shared" si="106"/>
        <v>2020-03-08</v>
      </c>
      <c r="J968" s="23" t="str">
        <f t="shared" si="107"/>
        <v>44</v>
      </c>
      <c r="K968" t="str">
        <f t="shared" si="108"/>
        <v>yes</v>
      </c>
      <c r="L968">
        <v>44</v>
      </c>
      <c r="M968" t="str">
        <f t="shared" si="109"/>
        <v>2020-03-08</v>
      </c>
      <c r="N968" s="20">
        <f t="shared" si="110"/>
        <v>43899</v>
      </c>
      <c r="O968" t="str">
        <f t="shared" si="111"/>
        <v>2020-03-09</v>
      </c>
    </row>
    <row r="969" spans="1:15" x14ac:dyDescent="0.2">
      <c r="A969" s="21" t="str">
        <f t="shared" si="105"/>
        <v>y</v>
      </c>
      <c r="B969" s="24">
        <v>44046</v>
      </c>
      <c r="C969" t="s">
        <v>235</v>
      </c>
      <c r="D969" t="s">
        <v>13</v>
      </c>
      <c r="E969" t="s">
        <v>22</v>
      </c>
      <c r="F969" t="s">
        <v>29</v>
      </c>
      <c r="G969" t="s">
        <v>983</v>
      </c>
      <c r="H969" t="s">
        <v>1976</v>
      </c>
      <c r="I969" s="22" t="str">
        <f t="shared" si="106"/>
        <v>2020-03-08</v>
      </c>
      <c r="J969" s="23" t="str">
        <f t="shared" si="107"/>
        <v>44</v>
      </c>
      <c r="K969" t="str">
        <f t="shared" si="108"/>
        <v>yes</v>
      </c>
      <c r="L969">
        <v>44</v>
      </c>
      <c r="M969" t="str">
        <f t="shared" si="109"/>
        <v>2020-03-08</v>
      </c>
      <c r="N969" s="20" t="str">
        <f t="shared" si="110"/>
        <v>2020-03-08</v>
      </c>
      <c r="O969" t="str">
        <f t="shared" si="111"/>
        <v>2020-03-08</v>
      </c>
    </row>
    <row r="970" spans="1:15" x14ac:dyDescent="0.2">
      <c r="A970" s="21" t="str">
        <f t="shared" si="105"/>
        <v>y</v>
      </c>
      <c r="B970" s="24">
        <v>44046</v>
      </c>
      <c r="C970" t="s">
        <v>235</v>
      </c>
      <c r="D970" t="s">
        <v>13</v>
      </c>
      <c r="E970" t="s">
        <v>8</v>
      </c>
      <c r="F970" t="s">
        <v>29</v>
      </c>
      <c r="G970" t="s">
        <v>984</v>
      </c>
      <c r="H970" t="s">
        <v>1958</v>
      </c>
      <c r="I970" s="22" t="str">
        <f t="shared" si="106"/>
        <v>2020-03-08</v>
      </c>
      <c r="J970" s="23" t="str">
        <f t="shared" si="107"/>
        <v>44</v>
      </c>
      <c r="K970" t="str">
        <f t="shared" si="108"/>
        <v>yes</v>
      </c>
      <c r="L970">
        <v>44</v>
      </c>
      <c r="M970" t="str">
        <f t="shared" si="109"/>
        <v>2020-03-08</v>
      </c>
      <c r="N970" s="20" t="str">
        <f t="shared" si="110"/>
        <v>2020-03-08</v>
      </c>
      <c r="O970" t="str">
        <f t="shared" si="111"/>
        <v>2020-03-08</v>
      </c>
    </row>
    <row r="971" spans="1:15" x14ac:dyDescent="0.2">
      <c r="A971" s="21" t="str">
        <f t="shared" si="105"/>
        <v>y</v>
      </c>
      <c r="B971" s="24">
        <v>44046</v>
      </c>
      <c r="C971" t="s">
        <v>616</v>
      </c>
      <c r="D971" t="s">
        <v>13</v>
      </c>
      <c r="E971" t="s">
        <v>27</v>
      </c>
      <c r="F971" t="s">
        <v>29</v>
      </c>
      <c r="G971" t="s">
        <v>985</v>
      </c>
      <c r="H971" t="s">
        <v>2015</v>
      </c>
      <c r="I971" s="22" t="str">
        <f t="shared" si="106"/>
        <v>2020-03-08</v>
      </c>
      <c r="J971" s="23" t="str">
        <f t="shared" si="107"/>
        <v>44</v>
      </c>
      <c r="K971" t="str">
        <f t="shared" si="108"/>
        <v>yes</v>
      </c>
      <c r="L971">
        <v>44</v>
      </c>
      <c r="M971" t="str">
        <f t="shared" si="109"/>
        <v>2020-03-08</v>
      </c>
      <c r="N971" s="20" t="str">
        <f t="shared" si="110"/>
        <v>2020-03-08</v>
      </c>
      <c r="O971" t="str">
        <f t="shared" si="111"/>
        <v>2020-03-08</v>
      </c>
    </row>
    <row r="972" spans="1:15" x14ac:dyDescent="0.2">
      <c r="A972" s="21" t="str">
        <f t="shared" si="105"/>
        <v>y</v>
      </c>
      <c r="B972" s="24">
        <v>43954</v>
      </c>
      <c r="C972" t="s">
        <v>321</v>
      </c>
      <c r="D972" t="s">
        <v>14</v>
      </c>
      <c r="E972" t="s">
        <v>49</v>
      </c>
      <c r="F972" t="s">
        <v>29</v>
      </c>
      <c r="G972" t="s">
        <v>982</v>
      </c>
      <c r="H972" t="s">
        <v>1958</v>
      </c>
      <c r="I972" s="22" t="str">
        <f t="shared" si="106"/>
        <v>2020-03-05</v>
      </c>
      <c r="J972" s="23" t="str">
        <f t="shared" si="107"/>
        <v>43</v>
      </c>
      <c r="K972" t="str">
        <f t="shared" si="108"/>
        <v>yes</v>
      </c>
      <c r="L972">
        <v>43</v>
      </c>
      <c r="M972" t="str">
        <f t="shared" si="109"/>
        <v>2020-03-05</v>
      </c>
      <c r="N972" s="20" t="str">
        <f t="shared" si="110"/>
        <v>2020-03-05</v>
      </c>
      <c r="O972" t="str">
        <f t="shared" si="111"/>
        <v>2020-03-05</v>
      </c>
    </row>
    <row r="973" spans="1:15" x14ac:dyDescent="0.2">
      <c r="A973" s="21" t="str">
        <f t="shared" si="105"/>
        <v>y</v>
      </c>
      <c r="B973" s="24">
        <v>43954</v>
      </c>
      <c r="C973" t="s">
        <v>975</v>
      </c>
      <c r="D973" t="s">
        <v>13</v>
      </c>
      <c r="E973" t="s">
        <v>43</v>
      </c>
      <c r="F973" t="s">
        <v>2</v>
      </c>
      <c r="G973" t="s">
        <v>977</v>
      </c>
      <c r="H973" t="s">
        <v>1958</v>
      </c>
      <c r="I973" s="22" t="str">
        <f t="shared" si="106"/>
        <v>2020-03-05</v>
      </c>
      <c r="J973" s="23" t="str">
        <f t="shared" si="107"/>
        <v>43</v>
      </c>
      <c r="K973" t="str">
        <f t="shared" si="108"/>
        <v>yes</v>
      </c>
      <c r="L973">
        <v>43</v>
      </c>
      <c r="M973" t="str">
        <f t="shared" si="109"/>
        <v>2020-03-05</v>
      </c>
      <c r="N973" s="20">
        <f t="shared" si="110"/>
        <v>43896</v>
      </c>
      <c r="O973" t="str">
        <f t="shared" si="111"/>
        <v>2020-03-06</v>
      </c>
    </row>
    <row r="974" spans="1:15" x14ac:dyDescent="0.2">
      <c r="A974" s="21" t="str">
        <f t="shared" si="105"/>
        <v>y</v>
      </c>
      <c r="B974" s="24">
        <v>43954</v>
      </c>
      <c r="C974" t="s">
        <v>235</v>
      </c>
      <c r="D974" t="s">
        <v>13</v>
      </c>
      <c r="E974" t="s">
        <v>8</v>
      </c>
      <c r="F974" t="s">
        <v>29</v>
      </c>
      <c r="G974" t="s">
        <v>979</v>
      </c>
      <c r="H974" t="s">
        <v>1978</v>
      </c>
      <c r="I974" s="22" t="str">
        <f t="shared" si="106"/>
        <v>2020-03-05</v>
      </c>
      <c r="J974" s="23" t="str">
        <f t="shared" si="107"/>
        <v>43</v>
      </c>
      <c r="K974" t="str">
        <f t="shared" si="108"/>
        <v>yes</v>
      </c>
      <c r="L974">
        <v>43</v>
      </c>
      <c r="M974" t="str">
        <f t="shared" si="109"/>
        <v>2020-03-05</v>
      </c>
      <c r="N974" s="20" t="str">
        <f t="shared" si="110"/>
        <v>2020-03-05</v>
      </c>
      <c r="O974" t="str">
        <f t="shared" si="111"/>
        <v>2020-03-05</v>
      </c>
    </row>
    <row r="975" spans="1:15" x14ac:dyDescent="0.2">
      <c r="A975" s="21" t="str">
        <f t="shared" si="105"/>
        <v>y</v>
      </c>
      <c r="B975" s="24">
        <v>43954</v>
      </c>
      <c r="C975" t="s">
        <v>235</v>
      </c>
      <c r="D975" t="s">
        <v>13</v>
      </c>
      <c r="E975" t="s">
        <v>42</v>
      </c>
      <c r="F975" t="s">
        <v>29</v>
      </c>
      <c r="G975" t="s">
        <v>980</v>
      </c>
      <c r="H975" t="s">
        <v>2015</v>
      </c>
      <c r="I975" s="22" t="str">
        <f t="shared" si="106"/>
        <v>2020-03-05</v>
      </c>
      <c r="J975" s="23" t="str">
        <f t="shared" si="107"/>
        <v>43</v>
      </c>
      <c r="K975" t="str">
        <f t="shared" si="108"/>
        <v>yes</v>
      </c>
      <c r="L975">
        <v>43</v>
      </c>
      <c r="M975" t="str">
        <f t="shared" si="109"/>
        <v>2020-03-05</v>
      </c>
      <c r="N975" s="20" t="str">
        <f t="shared" si="110"/>
        <v>2020-03-05</v>
      </c>
      <c r="O975" t="str">
        <f t="shared" si="111"/>
        <v>2020-03-05</v>
      </c>
    </row>
    <row r="976" spans="1:15" x14ac:dyDescent="0.2">
      <c r="A976" s="21" t="str">
        <f t="shared" si="105"/>
        <v>y</v>
      </c>
      <c r="B976" s="24">
        <v>43924</v>
      </c>
      <c r="C976" t="s">
        <v>321</v>
      </c>
      <c r="D976" t="s">
        <v>14</v>
      </c>
      <c r="E976" t="s">
        <v>49</v>
      </c>
      <c r="F976" t="s">
        <v>29</v>
      </c>
      <c r="G976" t="s">
        <v>978</v>
      </c>
      <c r="H976" t="s">
        <v>1958</v>
      </c>
      <c r="I976" s="22" t="str">
        <f t="shared" si="106"/>
        <v>2020-03-04</v>
      </c>
      <c r="J976" s="23" t="str">
        <f t="shared" si="107"/>
        <v>43</v>
      </c>
      <c r="K976" t="str">
        <f t="shared" si="108"/>
        <v>yes</v>
      </c>
      <c r="L976">
        <v>43</v>
      </c>
      <c r="M976" t="str">
        <f t="shared" si="109"/>
        <v>2020-03-04</v>
      </c>
      <c r="N976" s="20" t="str">
        <f t="shared" si="110"/>
        <v>2020-03-04</v>
      </c>
      <c r="O976" t="str">
        <f t="shared" si="111"/>
        <v>2020-03-04</v>
      </c>
    </row>
    <row r="977" spans="1:15" x14ac:dyDescent="0.2">
      <c r="A977" s="21" t="str">
        <f t="shared" si="105"/>
        <v>y</v>
      </c>
      <c r="B977" s="24">
        <v>43924</v>
      </c>
      <c r="C977" t="s">
        <v>975</v>
      </c>
      <c r="D977" t="s">
        <v>13</v>
      </c>
      <c r="E977" t="s">
        <v>43</v>
      </c>
      <c r="F977" t="s">
        <v>2</v>
      </c>
      <c r="G977" t="s">
        <v>977</v>
      </c>
      <c r="H977" t="s">
        <v>1978</v>
      </c>
      <c r="I977" s="22" t="str">
        <f t="shared" si="106"/>
        <v>2020-03-04</v>
      </c>
      <c r="J977" s="23" t="str">
        <f t="shared" si="107"/>
        <v>43</v>
      </c>
      <c r="K977" t="str">
        <f t="shared" si="108"/>
        <v>yes</v>
      </c>
      <c r="L977">
        <v>43</v>
      </c>
      <c r="M977" t="str">
        <f t="shared" si="109"/>
        <v>2020-03-04</v>
      </c>
      <c r="N977" s="20">
        <f t="shared" si="110"/>
        <v>43895</v>
      </c>
      <c r="O977" t="str">
        <f t="shared" si="111"/>
        <v>2020-03-05</v>
      </c>
    </row>
    <row r="978" spans="1:15" x14ac:dyDescent="0.2">
      <c r="A978" s="21" t="str">
        <f t="shared" si="105"/>
        <v>y</v>
      </c>
      <c r="B978" s="24">
        <v>43924</v>
      </c>
      <c r="C978" t="s">
        <v>235</v>
      </c>
      <c r="D978" t="s">
        <v>13</v>
      </c>
      <c r="E978" t="s">
        <v>42</v>
      </c>
      <c r="F978" t="s">
        <v>29</v>
      </c>
      <c r="G978" t="s">
        <v>981</v>
      </c>
      <c r="H978" t="s">
        <v>2015</v>
      </c>
      <c r="I978" s="22" t="str">
        <f t="shared" si="106"/>
        <v>2020-03-04</v>
      </c>
      <c r="J978" s="23" t="str">
        <f t="shared" si="107"/>
        <v>43</v>
      </c>
      <c r="K978" t="str">
        <f t="shared" si="108"/>
        <v>yes</v>
      </c>
      <c r="L978">
        <v>43</v>
      </c>
      <c r="M978" t="str">
        <f t="shared" si="109"/>
        <v>2020-03-04</v>
      </c>
      <c r="N978" s="20" t="str">
        <f t="shared" si="110"/>
        <v>2020-03-04</v>
      </c>
      <c r="O978" t="str">
        <f t="shared" si="111"/>
        <v>2020-03-04</v>
      </c>
    </row>
    <row r="979" spans="1:15" x14ac:dyDescent="0.2">
      <c r="A979" s="21" t="str">
        <f t="shared" si="105"/>
        <v>y</v>
      </c>
      <c r="B979" s="24">
        <v>43893</v>
      </c>
      <c r="C979" t="s">
        <v>321</v>
      </c>
      <c r="D979" t="s">
        <v>14</v>
      </c>
      <c r="E979" t="s">
        <v>27</v>
      </c>
      <c r="F979" t="s">
        <v>29</v>
      </c>
      <c r="G979" t="s">
        <v>974</v>
      </c>
      <c r="H979" t="s">
        <v>1978</v>
      </c>
      <c r="I979" s="22" t="str">
        <f t="shared" si="106"/>
        <v>2020-03-03</v>
      </c>
      <c r="J979" s="23" t="str">
        <f t="shared" si="107"/>
        <v>43</v>
      </c>
      <c r="K979" t="str">
        <f t="shared" si="108"/>
        <v>yes</v>
      </c>
      <c r="L979">
        <v>43</v>
      </c>
      <c r="M979" t="str">
        <f t="shared" si="109"/>
        <v>2020-03-03</v>
      </c>
      <c r="N979" s="20" t="str">
        <f t="shared" si="110"/>
        <v>2020-03-03</v>
      </c>
      <c r="O979" t="str">
        <f t="shared" si="111"/>
        <v>2020-03-03</v>
      </c>
    </row>
    <row r="980" spans="1:15" x14ac:dyDescent="0.2">
      <c r="A980" s="21" t="str">
        <f t="shared" si="105"/>
        <v>y</v>
      </c>
      <c r="B980" s="24">
        <v>43893</v>
      </c>
      <c r="C980" t="s">
        <v>975</v>
      </c>
      <c r="D980" t="s">
        <v>13</v>
      </c>
      <c r="E980" t="s">
        <v>8</v>
      </c>
      <c r="F980" t="s">
        <v>2</v>
      </c>
      <c r="G980" t="s">
        <v>976</v>
      </c>
      <c r="H980" t="s">
        <v>2015</v>
      </c>
      <c r="I980" s="22" t="str">
        <f t="shared" si="106"/>
        <v>2020-03-03</v>
      </c>
      <c r="J980" s="23" t="str">
        <f t="shared" si="107"/>
        <v>43</v>
      </c>
      <c r="K980" t="str">
        <f t="shared" si="108"/>
        <v>yes</v>
      </c>
      <c r="L980">
        <v>43</v>
      </c>
      <c r="M980" t="str">
        <f t="shared" si="109"/>
        <v>2020-03-03</v>
      </c>
      <c r="N980" s="20">
        <f t="shared" si="110"/>
        <v>43894</v>
      </c>
      <c r="O980" t="str">
        <f t="shared" si="111"/>
        <v>2020-03-04</v>
      </c>
    </row>
    <row r="981" spans="1:15" x14ac:dyDescent="0.2">
      <c r="A981" s="21" t="str">
        <f t="shared" si="105"/>
        <v>y</v>
      </c>
      <c r="B981" s="24">
        <v>43864</v>
      </c>
      <c r="C981" t="s">
        <v>321</v>
      </c>
      <c r="D981" t="s">
        <v>14</v>
      </c>
      <c r="E981" t="s">
        <v>27</v>
      </c>
      <c r="F981" t="s">
        <v>2</v>
      </c>
      <c r="H981" t="s">
        <v>1958</v>
      </c>
      <c r="I981" s="22" t="str">
        <f t="shared" si="106"/>
        <v>2020-03-02</v>
      </c>
      <c r="J981" s="23" t="str">
        <f t="shared" si="107"/>
        <v>43</v>
      </c>
      <c r="K981" t="str">
        <f t="shared" si="108"/>
        <v>yes</v>
      </c>
      <c r="L981">
        <v>43</v>
      </c>
      <c r="M981" t="str">
        <f t="shared" si="109"/>
        <v>2020-03-02</v>
      </c>
      <c r="N981" s="20">
        <f t="shared" si="110"/>
        <v>43893</v>
      </c>
      <c r="O981" t="str">
        <f t="shared" si="111"/>
        <v>2020-03-03</v>
      </c>
    </row>
    <row r="982" spans="1:15" x14ac:dyDescent="0.2">
      <c r="A982" s="21" t="str">
        <f t="shared" si="105"/>
        <v>y</v>
      </c>
      <c r="B982" s="24">
        <v>43864</v>
      </c>
      <c r="C982" t="s">
        <v>235</v>
      </c>
      <c r="D982" t="s">
        <v>13</v>
      </c>
      <c r="E982" t="s">
        <v>8</v>
      </c>
      <c r="F982" t="s">
        <v>29</v>
      </c>
      <c r="G982" t="s">
        <v>973</v>
      </c>
      <c r="H982" t="s">
        <v>1958</v>
      </c>
      <c r="I982" s="22" t="str">
        <f t="shared" si="106"/>
        <v>2020-03-02</v>
      </c>
      <c r="J982" s="23" t="str">
        <f t="shared" si="107"/>
        <v>43</v>
      </c>
      <c r="K982" t="str">
        <f t="shared" si="108"/>
        <v>yes</v>
      </c>
      <c r="L982">
        <v>43</v>
      </c>
      <c r="M982" t="str">
        <f t="shared" si="109"/>
        <v>2020-03-02</v>
      </c>
      <c r="N982" s="20" t="str">
        <f t="shared" si="110"/>
        <v>2020-03-02</v>
      </c>
      <c r="O982" t="str">
        <f t="shared" si="111"/>
        <v>2020-03-02</v>
      </c>
    </row>
    <row r="983" spans="1:15" x14ac:dyDescent="0.2">
      <c r="A983" s="21" t="str">
        <f t="shared" si="105"/>
        <v>y</v>
      </c>
      <c r="B983" s="24">
        <v>43864</v>
      </c>
      <c r="C983" t="s">
        <v>235</v>
      </c>
      <c r="D983" t="s">
        <v>13</v>
      </c>
      <c r="E983" t="s">
        <v>8</v>
      </c>
      <c r="F983" t="s">
        <v>2</v>
      </c>
      <c r="G983" t="s">
        <v>972</v>
      </c>
      <c r="H983" t="s">
        <v>2015</v>
      </c>
      <c r="I983" s="22" t="str">
        <f t="shared" si="106"/>
        <v>2020-03-02</v>
      </c>
      <c r="J983" s="23" t="str">
        <f t="shared" si="107"/>
        <v>43</v>
      </c>
      <c r="K983" t="str">
        <f t="shared" si="108"/>
        <v>yes</v>
      </c>
      <c r="L983">
        <v>43</v>
      </c>
      <c r="M983" t="str">
        <f t="shared" si="109"/>
        <v>2020-03-02</v>
      </c>
      <c r="N983" s="20">
        <f t="shared" si="110"/>
        <v>43893</v>
      </c>
      <c r="O983" t="str">
        <f t="shared" si="111"/>
        <v>2020-03-03</v>
      </c>
    </row>
    <row r="984" spans="1:15" x14ac:dyDescent="0.2">
      <c r="A984" s="21" t="str">
        <f t="shared" si="105"/>
        <v>y</v>
      </c>
      <c r="B984" s="24">
        <v>43833</v>
      </c>
      <c r="C984" t="s">
        <v>321</v>
      </c>
      <c r="D984" t="s">
        <v>14</v>
      </c>
      <c r="E984" t="s">
        <v>27</v>
      </c>
      <c r="F984" t="s">
        <v>2</v>
      </c>
      <c r="G984" t="s">
        <v>969</v>
      </c>
      <c r="H984" t="s">
        <v>1962</v>
      </c>
      <c r="I984" s="22" t="str">
        <f t="shared" si="106"/>
        <v>2020-03-01</v>
      </c>
      <c r="J984" s="23" t="str">
        <f t="shared" si="107"/>
        <v>43</v>
      </c>
      <c r="K984" t="str">
        <f t="shared" si="108"/>
        <v>yes</v>
      </c>
      <c r="L984">
        <v>43</v>
      </c>
      <c r="M984" t="str">
        <f t="shared" si="109"/>
        <v>2020-03-01</v>
      </c>
      <c r="N984" s="20">
        <f t="shared" si="110"/>
        <v>43892</v>
      </c>
      <c r="O984" t="str">
        <f t="shared" si="111"/>
        <v>2020-03-02</v>
      </c>
    </row>
    <row r="985" spans="1:15" x14ac:dyDescent="0.2">
      <c r="A985" s="21" t="str">
        <f t="shared" si="105"/>
        <v>y</v>
      </c>
      <c r="B985" s="24">
        <v>43833</v>
      </c>
      <c r="C985" t="s">
        <v>964</v>
      </c>
      <c r="D985" t="s">
        <v>13</v>
      </c>
      <c r="E985" t="s">
        <v>27</v>
      </c>
      <c r="F985" t="s">
        <v>29</v>
      </c>
      <c r="G985" t="s">
        <v>970</v>
      </c>
      <c r="H985" t="s">
        <v>1958</v>
      </c>
      <c r="I985" s="22" t="str">
        <f t="shared" si="106"/>
        <v>2020-03-01</v>
      </c>
      <c r="J985" s="23" t="str">
        <f t="shared" si="107"/>
        <v>43</v>
      </c>
      <c r="K985" t="str">
        <f t="shared" si="108"/>
        <v>yes</v>
      </c>
      <c r="L985">
        <v>43</v>
      </c>
      <c r="M985" t="str">
        <f t="shared" si="109"/>
        <v>2020-03-01</v>
      </c>
      <c r="N985" s="20" t="str">
        <f t="shared" si="110"/>
        <v>2020-03-01</v>
      </c>
      <c r="O985" t="str">
        <f t="shared" si="111"/>
        <v>2020-03-01</v>
      </c>
    </row>
    <row r="986" spans="1:15" x14ac:dyDescent="0.2">
      <c r="A986" s="21" t="str">
        <f t="shared" si="105"/>
        <v>y</v>
      </c>
      <c r="B986" s="24">
        <v>43833</v>
      </c>
      <c r="C986" t="s">
        <v>235</v>
      </c>
      <c r="D986" t="s">
        <v>13</v>
      </c>
      <c r="E986" t="s">
        <v>8</v>
      </c>
      <c r="F986" t="s">
        <v>2</v>
      </c>
      <c r="H986" t="s">
        <v>1976</v>
      </c>
      <c r="I986" s="22" t="str">
        <f t="shared" si="106"/>
        <v>2020-03-01</v>
      </c>
      <c r="J986" s="23" t="str">
        <f t="shared" si="107"/>
        <v>43</v>
      </c>
      <c r="K986" t="str">
        <f t="shared" si="108"/>
        <v>yes</v>
      </c>
      <c r="L986">
        <v>43</v>
      </c>
      <c r="M986" t="str">
        <f t="shared" si="109"/>
        <v>2020-03-01</v>
      </c>
      <c r="N986" s="20">
        <f t="shared" si="110"/>
        <v>43892</v>
      </c>
      <c r="O986" t="str">
        <f t="shared" si="111"/>
        <v>2020-03-02</v>
      </c>
    </row>
    <row r="987" spans="1:15" x14ac:dyDescent="0.2">
      <c r="A987" s="21" t="str">
        <f t="shared" si="105"/>
        <v>y</v>
      </c>
      <c r="B987" s="24">
        <v>43833</v>
      </c>
      <c r="C987" t="s">
        <v>616</v>
      </c>
      <c r="D987" t="s">
        <v>13</v>
      </c>
      <c r="E987" t="s">
        <v>8</v>
      </c>
      <c r="F987" t="s">
        <v>29</v>
      </c>
      <c r="G987" t="s">
        <v>971</v>
      </c>
      <c r="H987" t="s">
        <v>2013</v>
      </c>
      <c r="I987" s="22" t="str">
        <f t="shared" si="106"/>
        <v>2020-03-01</v>
      </c>
      <c r="J987" s="23" t="str">
        <f t="shared" si="107"/>
        <v>43</v>
      </c>
      <c r="K987" t="str">
        <f t="shared" si="108"/>
        <v>yes</v>
      </c>
      <c r="L987">
        <v>43</v>
      </c>
      <c r="M987" t="str">
        <f t="shared" si="109"/>
        <v>2020-03-01</v>
      </c>
      <c r="N987" s="20" t="str">
        <f t="shared" si="110"/>
        <v>2020-03-01</v>
      </c>
      <c r="O987" t="str">
        <f t="shared" si="111"/>
        <v>2020-03-01</v>
      </c>
    </row>
    <row r="988" spans="1:15" x14ac:dyDescent="0.2">
      <c r="A988" s="21" t="str">
        <f t="shared" si="105"/>
        <v>y</v>
      </c>
      <c r="B988" s="24" t="s">
        <v>1747</v>
      </c>
      <c r="C988" t="s">
        <v>321</v>
      </c>
      <c r="D988" t="s">
        <v>14</v>
      </c>
      <c r="E988" t="s">
        <v>27</v>
      </c>
      <c r="F988" t="s">
        <v>2</v>
      </c>
      <c r="H988" t="s">
        <v>2016</v>
      </c>
      <c r="I988" s="22" t="str">
        <f t="shared" si="106"/>
        <v>2020-02-27</v>
      </c>
      <c r="J988" s="23" t="str">
        <f t="shared" si="107"/>
        <v>27</v>
      </c>
      <c r="K988" t="str">
        <f t="shared" si="108"/>
        <v>no</v>
      </c>
      <c r="L988">
        <v>27</v>
      </c>
      <c r="M988" t="str">
        <f t="shared" si="109"/>
        <v>2020-02-27</v>
      </c>
      <c r="N988" s="20">
        <f t="shared" si="110"/>
        <v>43889</v>
      </c>
      <c r="O988" t="str">
        <f t="shared" si="111"/>
        <v>2020-02-28</v>
      </c>
    </row>
    <row r="989" spans="1:15" x14ac:dyDescent="0.2">
      <c r="A989" s="21" t="str">
        <f t="shared" si="105"/>
        <v>y</v>
      </c>
      <c r="B989" s="24" t="s">
        <v>1747</v>
      </c>
      <c r="C989" t="s">
        <v>235</v>
      </c>
      <c r="D989" t="s">
        <v>13</v>
      </c>
      <c r="E989" t="s">
        <v>4</v>
      </c>
      <c r="F989" t="s">
        <v>29</v>
      </c>
      <c r="G989" t="s">
        <v>965</v>
      </c>
      <c r="H989" t="s">
        <v>1988</v>
      </c>
      <c r="I989" s="22" t="str">
        <f t="shared" si="106"/>
        <v>2020-02-27</v>
      </c>
      <c r="J989" s="23" t="str">
        <f t="shared" si="107"/>
        <v>27</v>
      </c>
      <c r="K989" t="str">
        <f t="shared" si="108"/>
        <v>no</v>
      </c>
      <c r="L989">
        <v>27</v>
      </c>
      <c r="M989" t="str">
        <f t="shared" si="109"/>
        <v>2020-02-27</v>
      </c>
      <c r="N989" s="20" t="str">
        <f t="shared" si="110"/>
        <v>2020-02-27</v>
      </c>
      <c r="O989" t="str">
        <f t="shared" si="111"/>
        <v>2020-02-27</v>
      </c>
    </row>
    <row r="990" spans="1:15" x14ac:dyDescent="0.2">
      <c r="A990" s="21" t="str">
        <f t="shared" si="105"/>
        <v>y</v>
      </c>
      <c r="B990" s="24" t="s">
        <v>1747</v>
      </c>
      <c r="C990" t="s">
        <v>964</v>
      </c>
      <c r="D990" t="s">
        <v>13</v>
      </c>
      <c r="E990" t="s">
        <v>43</v>
      </c>
      <c r="F990" t="s">
        <v>2</v>
      </c>
      <c r="G990" t="s">
        <v>966</v>
      </c>
      <c r="H990" t="s">
        <v>1958</v>
      </c>
      <c r="I990" s="22" t="str">
        <f t="shared" si="106"/>
        <v>2020-02-27</v>
      </c>
      <c r="J990" s="23" t="str">
        <f t="shared" si="107"/>
        <v>27</v>
      </c>
      <c r="K990" t="str">
        <f t="shared" si="108"/>
        <v>no</v>
      </c>
      <c r="L990">
        <v>27</v>
      </c>
      <c r="M990" t="str">
        <f t="shared" si="109"/>
        <v>2020-02-27</v>
      </c>
      <c r="N990" s="20">
        <f t="shared" si="110"/>
        <v>43889</v>
      </c>
      <c r="O990" t="str">
        <f t="shared" si="111"/>
        <v>2020-02-28</v>
      </c>
    </row>
    <row r="991" spans="1:15" x14ac:dyDescent="0.2">
      <c r="A991" s="21" t="str">
        <f t="shared" si="105"/>
        <v>y</v>
      </c>
      <c r="B991" s="24" t="s">
        <v>1747</v>
      </c>
      <c r="C991" t="s">
        <v>616</v>
      </c>
      <c r="D991" t="s">
        <v>13</v>
      </c>
      <c r="E991" t="s">
        <v>64</v>
      </c>
      <c r="F991" t="s">
        <v>29</v>
      </c>
      <c r="G991" t="s">
        <v>967</v>
      </c>
      <c r="H991" t="s">
        <v>1962</v>
      </c>
      <c r="I991" s="22" t="str">
        <f t="shared" si="106"/>
        <v>2020-02-27</v>
      </c>
      <c r="J991" s="23" t="str">
        <f t="shared" si="107"/>
        <v>27</v>
      </c>
      <c r="K991" t="str">
        <f t="shared" si="108"/>
        <v>no</v>
      </c>
      <c r="L991">
        <v>27</v>
      </c>
      <c r="M991" t="str">
        <f t="shared" si="109"/>
        <v>2020-02-27</v>
      </c>
      <c r="N991" s="20" t="str">
        <f t="shared" si="110"/>
        <v>2020-02-27</v>
      </c>
      <c r="O991" t="str">
        <f t="shared" si="111"/>
        <v>2020-02-27</v>
      </c>
    </row>
    <row r="992" spans="1:15" x14ac:dyDescent="0.2">
      <c r="A992" s="21" t="str">
        <f t="shared" si="105"/>
        <v>y</v>
      </c>
      <c r="B992" s="24" t="s">
        <v>1747</v>
      </c>
      <c r="C992" t="s">
        <v>151</v>
      </c>
      <c r="D992" t="s">
        <v>13</v>
      </c>
      <c r="E992" t="s">
        <v>64</v>
      </c>
      <c r="F992" t="s">
        <v>29</v>
      </c>
      <c r="G992" t="s">
        <v>968</v>
      </c>
      <c r="H992" t="s">
        <v>2013</v>
      </c>
      <c r="I992" s="22" t="str">
        <f t="shared" si="106"/>
        <v>2020-02-27</v>
      </c>
      <c r="J992" s="23" t="str">
        <f t="shared" si="107"/>
        <v>27</v>
      </c>
      <c r="K992" t="str">
        <f t="shared" si="108"/>
        <v>no</v>
      </c>
      <c r="L992">
        <v>27</v>
      </c>
      <c r="M992" t="str">
        <f t="shared" si="109"/>
        <v>2020-02-27</v>
      </c>
      <c r="N992" s="20" t="str">
        <f t="shared" si="110"/>
        <v>2020-02-27</v>
      </c>
      <c r="O992" t="str">
        <f t="shared" si="111"/>
        <v>2020-02-27</v>
      </c>
    </row>
    <row r="993" spans="1:15" x14ac:dyDescent="0.2">
      <c r="A993" s="21" t="str">
        <f t="shared" si="105"/>
        <v>y</v>
      </c>
      <c r="B993" s="24" t="s">
        <v>1748</v>
      </c>
      <c r="C993" t="s">
        <v>321</v>
      </c>
      <c r="D993" t="s">
        <v>14</v>
      </c>
      <c r="E993" t="s">
        <v>27</v>
      </c>
      <c r="F993" t="s">
        <v>2</v>
      </c>
      <c r="G993" t="s">
        <v>963</v>
      </c>
      <c r="H993" t="s">
        <v>1958</v>
      </c>
      <c r="I993" s="22" t="str">
        <f t="shared" si="106"/>
        <v>2020-02-26</v>
      </c>
      <c r="J993" s="23" t="str">
        <f t="shared" si="107"/>
        <v>26</v>
      </c>
      <c r="K993" t="str">
        <f t="shared" si="108"/>
        <v>no</v>
      </c>
      <c r="L993">
        <v>26</v>
      </c>
      <c r="M993" t="str">
        <f t="shared" si="109"/>
        <v>2020-02-26</v>
      </c>
      <c r="N993" s="20">
        <f t="shared" si="110"/>
        <v>43888</v>
      </c>
      <c r="O993" t="str">
        <f t="shared" si="111"/>
        <v>2020-02-27</v>
      </c>
    </row>
    <row r="994" spans="1:15" x14ac:dyDescent="0.2">
      <c r="A994" s="21" t="str">
        <f t="shared" si="105"/>
        <v>y</v>
      </c>
      <c r="B994" s="24" t="s">
        <v>1748</v>
      </c>
      <c r="C994" t="s">
        <v>235</v>
      </c>
      <c r="D994" t="s">
        <v>13</v>
      </c>
      <c r="E994" t="s">
        <v>34</v>
      </c>
      <c r="F994" t="s">
        <v>2</v>
      </c>
      <c r="H994" t="s">
        <v>1962</v>
      </c>
      <c r="I994" s="22" t="str">
        <f t="shared" si="106"/>
        <v>2020-02-26</v>
      </c>
      <c r="J994" s="23" t="str">
        <f t="shared" si="107"/>
        <v>26</v>
      </c>
      <c r="K994" t="str">
        <f t="shared" si="108"/>
        <v>no</v>
      </c>
      <c r="L994">
        <v>26</v>
      </c>
      <c r="M994" t="str">
        <f t="shared" si="109"/>
        <v>2020-02-26</v>
      </c>
      <c r="N994" s="20">
        <f t="shared" si="110"/>
        <v>43888</v>
      </c>
      <c r="O994" t="str">
        <f t="shared" si="111"/>
        <v>2020-02-27</v>
      </c>
    </row>
    <row r="995" spans="1:15" x14ac:dyDescent="0.2">
      <c r="A995" s="21" t="str">
        <f t="shared" si="105"/>
        <v>y</v>
      </c>
      <c r="B995" s="24" t="s">
        <v>1748</v>
      </c>
      <c r="C995" t="s">
        <v>964</v>
      </c>
      <c r="D995" t="s">
        <v>13</v>
      </c>
      <c r="E995" t="s">
        <v>43</v>
      </c>
      <c r="F995" t="s">
        <v>2</v>
      </c>
      <c r="H995" t="s">
        <v>2017</v>
      </c>
      <c r="I995" s="22" t="str">
        <f t="shared" si="106"/>
        <v>2020-02-26</v>
      </c>
      <c r="J995" s="23" t="str">
        <f t="shared" si="107"/>
        <v>26</v>
      </c>
      <c r="K995" t="str">
        <f t="shared" si="108"/>
        <v>no</v>
      </c>
      <c r="L995">
        <v>26</v>
      </c>
      <c r="M995" t="str">
        <f t="shared" si="109"/>
        <v>2020-02-26</v>
      </c>
      <c r="N995" s="20">
        <f t="shared" si="110"/>
        <v>43888</v>
      </c>
      <c r="O995" t="str">
        <f t="shared" si="111"/>
        <v>2020-02-27</v>
      </c>
    </row>
    <row r="996" spans="1:15" x14ac:dyDescent="0.2">
      <c r="A996" s="21" t="str">
        <f t="shared" si="105"/>
        <v>y</v>
      </c>
      <c r="B996" s="24" t="s">
        <v>1749</v>
      </c>
      <c r="C996" t="s">
        <v>235</v>
      </c>
      <c r="D996" t="s">
        <v>13</v>
      </c>
      <c r="E996" t="s">
        <v>34</v>
      </c>
      <c r="F996" t="s">
        <v>29</v>
      </c>
      <c r="G996" t="s">
        <v>959</v>
      </c>
      <c r="H996" t="s">
        <v>2018</v>
      </c>
      <c r="I996" s="22" t="str">
        <f t="shared" si="106"/>
        <v>2020-02-25</v>
      </c>
      <c r="J996" s="23" t="str">
        <f t="shared" si="107"/>
        <v>25</v>
      </c>
      <c r="K996" t="str">
        <f t="shared" si="108"/>
        <v>no</v>
      </c>
      <c r="L996">
        <v>25</v>
      </c>
      <c r="M996" t="str">
        <f t="shared" si="109"/>
        <v>2020-02-25</v>
      </c>
      <c r="N996" s="20" t="str">
        <f t="shared" si="110"/>
        <v>2020-02-25</v>
      </c>
      <c r="O996" t="str">
        <f t="shared" si="111"/>
        <v>2020-02-25</v>
      </c>
    </row>
    <row r="997" spans="1:15" x14ac:dyDescent="0.2">
      <c r="A997" s="21" t="str">
        <f t="shared" si="105"/>
        <v>y</v>
      </c>
      <c r="B997" s="24" t="s">
        <v>1749</v>
      </c>
      <c r="C997" t="s">
        <v>687</v>
      </c>
      <c r="D997" t="s">
        <v>13</v>
      </c>
      <c r="E997" t="s">
        <v>27</v>
      </c>
      <c r="F997" t="s">
        <v>29</v>
      </c>
      <c r="G997" t="s">
        <v>958</v>
      </c>
      <c r="H997" t="s">
        <v>2019</v>
      </c>
      <c r="I997" s="22" t="str">
        <f t="shared" si="106"/>
        <v>2020-02-25</v>
      </c>
      <c r="J997" s="23" t="str">
        <f t="shared" si="107"/>
        <v>25</v>
      </c>
      <c r="K997" t="str">
        <f t="shared" si="108"/>
        <v>no</v>
      </c>
      <c r="L997">
        <v>25</v>
      </c>
      <c r="M997" t="str">
        <f t="shared" si="109"/>
        <v>2020-02-25</v>
      </c>
      <c r="N997" s="20" t="str">
        <f t="shared" si="110"/>
        <v>2020-02-25</v>
      </c>
      <c r="O997" t="str">
        <f t="shared" si="111"/>
        <v>2020-02-25</v>
      </c>
    </row>
    <row r="998" spans="1:15" x14ac:dyDescent="0.2">
      <c r="A998" s="21" t="str">
        <f t="shared" si="105"/>
        <v>y</v>
      </c>
      <c r="B998" s="24" t="s">
        <v>1749</v>
      </c>
      <c r="C998" t="s">
        <v>32</v>
      </c>
      <c r="D998" t="s">
        <v>13</v>
      </c>
      <c r="E998" t="s">
        <v>42</v>
      </c>
      <c r="F998" t="s">
        <v>29</v>
      </c>
      <c r="G998" t="s">
        <v>960</v>
      </c>
      <c r="H998" t="s">
        <v>2016</v>
      </c>
      <c r="I998" s="22" t="str">
        <f t="shared" si="106"/>
        <v>2020-02-25</v>
      </c>
      <c r="J998" s="23" t="str">
        <f t="shared" si="107"/>
        <v>25</v>
      </c>
      <c r="K998" t="str">
        <f t="shared" si="108"/>
        <v>no</v>
      </c>
      <c r="L998">
        <v>25</v>
      </c>
      <c r="M998" t="str">
        <f t="shared" si="109"/>
        <v>2020-02-25</v>
      </c>
      <c r="N998" s="20" t="str">
        <f t="shared" si="110"/>
        <v>2020-02-25</v>
      </c>
      <c r="O998" t="str">
        <f t="shared" si="111"/>
        <v>2020-02-25</v>
      </c>
    </row>
    <row r="999" spans="1:15" x14ac:dyDescent="0.2">
      <c r="A999" s="21" t="str">
        <f t="shared" si="105"/>
        <v>y</v>
      </c>
      <c r="B999" s="24" t="s">
        <v>1749</v>
      </c>
      <c r="C999" t="s">
        <v>616</v>
      </c>
      <c r="D999" t="s">
        <v>13</v>
      </c>
      <c r="E999" t="s">
        <v>64</v>
      </c>
      <c r="F999" t="s">
        <v>29</v>
      </c>
      <c r="G999" t="s">
        <v>961</v>
      </c>
      <c r="H999" t="s">
        <v>2013</v>
      </c>
      <c r="I999" s="22" t="str">
        <f t="shared" si="106"/>
        <v>2020-02-25</v>
      </c>
      <c r="J999" s="23" t="str">
        <f t="shared" si="107"/>
        <v>25</v>
      </c>
      <c r="K999" t="str">
        <f t="shared" si="108"/>
        <v>no</v>
      </c>
      <c r="L999">
        <v>25</v>
      </c>
      <c r="M999" t="str">
        <f t="shared" si="109"/>
        <v>2020-02-25</v>
      </c>
      <c r="N999" s="20" t="str">
        <f t="shared" si="110"/>
        <v>2020-02-25</v>
      </c>
      <c r="O999" t="str">
        <f t="shared" si="111"/>
        <v>2020-02-25</v>
      </c>
    </row>
    <row r="1000" spans="1:15" x14ac:dyDescent="0.2">
      <c r="A1000" s="21" t="str">
        <f t="shared" si="105"/>
        <v>y</v>
      </c>
      <c r="B1000" s="24" t="s">
        <v>1749</v>
      </c>
      <c r="C1000" t="s">
        <v>321</v>
      </c>
      <c r="D1000" t="s">
        <v>14</v>
      </c>
      <c r="E1000" t="s">
        <v>27</v>
      </c>
      <c r="F1000" t="s">
        <v>29</v>
      </c>
      <c r="G1000" t="s">
        <v>962</v>
      </c>
      <c r="H1000" t="s">
        <v>2020</v>
      </c>
      <c r="I1000" s="22" t="str">
        <f t="shared" si="106"/>
        <v>2020-02-25</v>
      </c>
      <c r="J1000" s="23" t="str">
        <f t="shared" si="107"/>
        <v>25</v>
      </c>
      <c r="K1000" t="str">
        <f t="shared" si="108"/>
        <v>no</v>
      </c>
      <c r="L1000">
        <v>25</v>
      </c>
      <c r="M1000" t="str">
        <f t="shared" si="109"/>
        <v>2020-02-25</v>
      </c>
      <c r="N1000" s="20" t="str">
        <f t="shared" si="110"/>
        <v>2020-02-25</v>
      </c>
      <c r="O1000" t="str">
        <f t="shared" si="111"/>
        <v>2020-02-25</v>
      </c>
    </row>
    <row r="1001" spans="1:15" x14ac:dyDescent="0.2">
      <c r="A1001" s="21" t="str">
        <f t="shared" si="105"/>
        <v>y</v>
      </c>
      <c r="B1001" s="24" t="s">
        <v>1750</v>
      </c>
      <c r="C1001" t="s">
        <v>901</v>
      </c>
      <c r="D1001" t="s">
        <v>13</v>
      </c>
      <c r="E1001" t="s">
        <v>27</v>
      </c>
      <c r="F1001" t="s">
        <v>29</v>
      </c>
      <c r="G1001" t="s">
        <v>957</v>
      </c>
      <c r="H1001" t="s">
        <v>1988</v>
      </c>
      <c r="I1001" s="22" t="str">
        <f t="shared" si="106"/>
        <v>2020-02-24</v>
      </c>
      <c r="J1001" s="23" t="str">
        <f t="shared" si="107"/>
        <v>24</v>
      </c>
      <c r="K1001" t="str">
        <f t="shared" si="108"/>
        <v>no</v>
      </c>
      <c r="L1001">
        <v>24</v>
      </c>
      <c r="M1001" t="str">
        <f t="shared" si="109"/>
        <v>2020-02-24</v>
      </c>
      <c r="N1001" s="20" t="str">
        <f t="shared" si="110"/>
        <v>2020-02-24</v>
      </c>
      <c r="O1001" t="str">
        <f t="shared" si="111"/>
        <v>2020-02-24</v>
      </c>
    </row>
    <row r="1002" spans="1:15" x14ac:dyDescent="0.2">
      <c r="A1002" s="21" t="str">
        <f t="shared" si="105"/>
        <v>y</v>
      </c>
      <c r="B1002" s="24" t="s">
        <v>1750</v>
      </c>
      <c r="C1002" t="s">
        <v>151</v>
      </c>
      <c r="D1002" t="s">
        <v>13</v>
      </c>
      <c r="E1002" t="s">
        <v>64</v>
      </c>
      <c r="F1002" t="s">
        <v>29</v>
      </c>
      <c r="G1002" t="s">
        <v>955</v>
      </c>
      <c r="H1002" t="s">
        <v>2021</v>
      </c>
      <c r="I1002" s="22" t="str">
        <f t="shared" si="106"/>
        <v>2020-02-24</v>
      </c>
      <c r="J1002" s="23" t="str">
        <f t="shared" si="107"/>
        <v>24</v>
      </c>
      <c r="K1002" t="str">
        <f t="shared" si="108"/>
        <v>no</v>
      </c>
      <c r="L1002">
        <v>24</v>
      </c>
      <c r="M1002" t="str">
        <f t="shared" si="109"/>
        <v>2020-02-24</v>
      </c>
      <c r="N1002" s="20" t="str">
        <f t="shared" si="110"/>
        <v>2020-02-24</v>
      </c>
      <c r="O1002" t="str">
        <f t="shared" si="111"/>
        <v>2020-02-24</v>
      </c>
    </row>
    <row r="1003" spans="1:15" x14ac:dyDescent="0.2">
      <c r="A1003" s="21" t="str">
        <f t="shared" si="105"/>
        <v>y</v>
      </c>
      <c r="B1003" s="24" t="s">
        <v>1750</v>
      </c>
      <c r="C1003" t="s">
        <v>780</v>
      </c>
      <c r="D1003" t="s">
        <v>13</v>
      </c>
      <c r="E1003" t="s">
        <v>8</v>
      </c>
      <c r="F1003" t="s">
        <v>29</v>
      </c>
      <c r="G1003" t="s">
        <v>956</v>
      </c>
      <c r="H1003" t="s">
        <v>2017</v>
      </c>
      <c r="I1003" s="22" t="str">
        <f t="shared" si="106"/>
        <v>2020-02-24</v>
      </c>
      <c r="J1003" s="23" t="str">
        <f t="shared" si="107"/>
        <v>24</v>
      </c>
      <c r="K1003" t="str">
        <f t="shared" si="108"/>
        <v>no</v>
      </c>
      <c r="L1003">
        <v>24</v>
      </c>
      <c r="M1003" t="str">
        <f t="shared" si="109"/>
        <v>2020-02-24</v>
      </c>
      <c r="N1003" s="20" t="str">
        <f t="shared" si="110"/>
        <v>2020-02-24</v>
      </c>
      <c r="O1003" t="str">
        <f t="shared" si="111"/>
        <v>2020-02-24</v>
      </c>
    </row>
    <row r="1004" spans="1:15" x14ac:dyDescent="0.2">
      <c r="A1004" s="21" t="str">
        <f t="shared" si="105"/>
        <v>y</v>
      </c>
      <c r="B1004" s="24" t="s">
        <v>1750</v>
      </c>
      <c r="C1004" t="s">
        <v>235</v>
      </c>
      <c r="D1004" t="s">
        <v>13</v>
      </c>
      <c r="E1004" t="s">
        <v>34</v>
      </c>
      <c r="F1004" t="s">
        <v>2</v>
      </c>
      <c r="H1004" t="s">
        <v>2013</v>
      </c>
      <c r="I1004" s="22" t="str">
        <f t="shared" si="106"/>
        <v>2020-02-24</v>
      </c>
      <c r="J1004" s="23" t="str">
        <f t="shared" si="107"/>
        <v>24</v>
      </c>
      <c r="K1004" t="str">
        <f t="shared" si="108"/>
        <v>no</v>
      </c>
      <c r="L1004">
        <v>24</v>
      </c>
      <c r="M1004" t="str">
        <f t="shared" si="109"/>
        <v>2020-02-24</v>
      </c>
      <c r="N1004" s="20">
        <f t="shared" si="110"/>
        <v>43886</v>
      </c>
      <c r="O1004" t="str">
        <f t="shared" si="111"/>
        <v>2020-02-25</v>
      </c>
    </row>
    <row r="1005" spans="1:15" x14ac:dyDescent="0.2">
      <c r="A1005" s="21" t="str">
        <f t="shared" si="105"/>
        <v>y</v>
      </c>
      <c r="B1005" s="24" t="s">
        <v>1751</v>
      </c>
      <c r="C1005" t="s">
        <v>321</v>
      </c>
      <c r="D1005" t="s">
        <v>14</v>
      </c>
      <c r="E1005" t="s">
        <v>27</v>
      </c>
      <c r="F1005" t="s">
        <v>29</v>
      </c>
      <c r="G1005" t="s">
        <v>951</v>
      </c>
      <c r="H1005" t="s">
        <v>2017</v>
      </c>
      <c r="I1005" s="22" t="str">
        <f t="shared" si="106"/>
        <v>2020-02-23</v>
      </c>
      <c r="J1005" s="23" t="str">
        <f t="shared" si="107"/>
        <v>23</v>
      </c>
      <c r="K1005" t="str">
        <f t="shared" si="108"/>
        <v>no</v>
      </c>
      <c r="L1005">
        <v>23</v>
      </c>
      <c r="M1005" t="str">
        <f t="shared" si="109"/>
        <v>2020-02-23</v>
      </c>
      <c r="N1005" s="20" t="str">
        <f t="shared" si="110"/>
        <v>2020-02-23</v>
      </c>
      <c r="O1005" t="str">
        <f t="shared" si="111"/>
        <v>2020-02-23</v>
      </c>
    </row>
    <row r="1006" spans="1:15" x14ac:dyDescent="0.2">
      <c r="A1006" s="21" t="str">
        <f t="shared" si="105"/>
        <v>y</v>
      </c>
      <c r="B1006" s="24" t="s">
        <v>1751</v>
      </c>
      <c r="C1006" t="s">
        <v>235</v>
      </c>
      <c r="D1006" t="s">
        <v>13</v>
      </c>
      <c r="E1006" t="s">
        <v>34</v>
      </c>
      <c r="F1006" t="s">
        <v>29</v>
      </c>
      <c r="G1006" t="s">
        <v>954</v>
      </c>
      <c r="H1006" t="s">
        <v>1973</v>
      </c>
      <c r="I1006" s="22" t="str">
        <f t="shared" si="106"/>
        <v>2020-02-23</v>
      </c>
      <c r="J1006" s="23" t="str">
        <f t="shared" si="107"/>
        <v>23</v>
      </c>
      <c r="K1006" t="str">
        <f t="shared" si="108"/>
        <v>no</v>
      </c>
      <c r="L1006">
        <v>23</v>
      </c>
      <c r="M1006" t="str">
        <f t="shared" si="109"/>
        <v>2020-02-23</v>
      </c>
      <c r="N1006" s="20" t="str">
        <f t="shared" si="110"/>
        <v>2020-02-23</v>
      </c>
      <c r="O1006" t="str">
        <f t="shared" si="111"/>
        <v>2020-02-23</v>
      </c>
    </row>
    <row r="1007" spans="1:15" x14ac:dyDescent="0.2">
      <c r="A1007" s="21" t="str">
        <f t="shared" si="105"/>
        <v>y</v>
      </c>
      <c r="B1007" s="24" t="s">
        <v>1751</v>
      </c>
      <c r="C1007" t="s">
        <v>891</v>
      </c>
      <c r="D1007" t="s">
        <v>13</v>
      </c>
      <c r="E1007" t="s">
        <v>64</v>
      </c>
      <c r="F1007" t="s">
        <v>29</v>
      </c>
      <c r="G1007" t="s">
        <v>952</v>
      </c>
      <c r="H1007" t="s">
        <v>1988</v>
      </c>
      <c r="I1007" s="22" t="str">
        <f t="shared" si="106"/>
        <v>2020-02-23</v>
      </c>
      <c r="J1007" s="23" t="str">
        <f t="shared" si="107"/>
        <v>23</v>
      </c>
      <c r="K1007" t="str">
        <f t="shared" si="108"/>
        <v>no</v>
      </c>
      <c r="L1007">
        <v>23</v>
      </c>
      <c r="M1007" t="str">
        <f t="shared" si="109"/>
        <v>2020-02-23</v>
      </c>
      <c r="N1007" s="20" t="str">
        <f t="shared" si="110"/>
        <v>2020-02-23</v>
      </c>
      <c r="O1007" t="str">
        <f t="shared" si="111"/>
        <v>2020-02-23</v>
      </c>
    </row>
    <row r="1008" spans="1:15" x14ac:dyDescent="0.2">
      <c r="A1008" s="21" t="str">
        <f t="shared" si="105"/>
        <v>y</v>
      </c>
      <c r="B1008" s="24" t="s">
        <v>1751</v>
      </c>
      <c r="C1008" t="s">
        <v>901</v>
      </c>
      <c r="D1008" t="s">
        <v>13</v>
      </c>
      <c r="E1008" t="s">
        <v>27</v>
      </c>
      <c r="F1008" t="s">
        <v>2</v>
      </c>
      <c r="H1008" t="s">
        <v>2016</v>
      </c>
      <c r="I1008" s="22" t="str">
        <f t="shared" si="106"/>
        <v>2020-02-23</v>
      </c>
      <c r="J1008" s="23" t="str">
        <f t="shared" si="107"/>
        <v>23</v>
      </c>
      <c r="K1008" t="str">
        <f t="shared" si="108"/>
        <v>no</v>
      </c>
      <c r="L1008">
        <v>23</v>
      </c>
      <c r="M1008" t="str">
        <f t="shared" si="109"/>
        <v>2020-02-23</v>
      </c>
      <c r="N1008" s="20">
        <f t="shared" si="110"/>
        <v>43885</v>
      </c>
      <c r="O1008" t="str">
        <f t="shared" si="111"/>
        <v>2020-02-24</v>
      </c>
    </row>
    <row r="1009" spans="1:15" x14ac:dyDescent="0.2">
      <c r="A1009" s="21" t="str">
        <f t="shared" si="105"/>
        <v>y</v>
      </c>
      <c r="B1009" s="24" t="s">
        <v>1751</v>
      </c>
      <c r="C1009" t="s">
        <v>151</v>
      </c>
      <c r="D1009" t="s">
        <v>13</v>
      </c>
      <c r="E1009" t="s">
        <v>64</v>
      </c>
      <c r="F1009" t="s">
        <v>2</v>
      </c>
      <c r="H1009" t="s">
        <v>2020</v>
      </c>
      <c r="I1009" s="22" t="str">
        <f t="shared" si="106"/>
        <v>2020-02-23</v>
      </c>
      <c r="J1009" s="23" t="str">
        <f t="shared" si="107"/>
        <v>23</v>
      </c>
      <c r="K1009" t="str">
        <f t="shared" si="108"/>
        <v>no</v>
      </c>
      <c r="L1009">
        <v>23</v>
      </c>
      <c r="M1009" t="str">
        <f t="shared" si="109"/>
        <v>2020-02-23</v>
      </c>
      <c r="N1009" s="20">
        <f t="shared" si="110"/>
        <v>43885</v>
      </c>
      <c r="O1009" t="str">
        <f t="shared" si="111"/>
        <v>2020-02-24</v>
      </c>
    </row>
    <row r="1010" spans="1:15" x14ac:dyDescent="0.2">
      <c r="A1010" s="21" t="str">
        <f t="shared" si="105"/>
        <v>y</v>
      </c>
      <c r="B1010" s="24" t="s">
        <v>1751</v>
      </c>
      <c r="C1010" t="s">
        <v>616</v>
      </c>
      <c r="D1010" t="s">
        <v>13</v>
      </c>
      <c r="E1010" t="s">
        <v>34</v>
      </c>
      <c r="F1010" t="s">
        <v>29</v>
      </c>
      <c r="G1010" t="s">
        <v>953</v>
      </c>
      <c r="H1010" t="s">
        <v>2013</v>
      </c>
      <c r="I1010" s="22" t="str">
        <f t="shared" si="106"/>
        <v>2020-02-23</v>
      </c>
      <c r="J1010" s="23" t="str">
        <f t="shared" si="107"/>
        <v>23</v>
      </c>
      <c r="K1010" t="str">
        <f t="shared" si="108"/>
        <v>no</v>
      </c>
      <c r="L1010">
        <v>23</v>
      </c>
      <c r="M1010" t="str">
        <f t="shared" si="109"/>
        <v>2020-02-23</v>
      </c>
      <c r="N1010" s="20" t="str">
        <f t="shared" si="110"/>
        <v>2020-02-23</v>
      </c>
      <c r="O1010" t="str">
        <f t="shared" si="111"/>
        <v>2020-02-23</v>
      </c>
    </row>
    <row r="1011" spans="1:15" x14ac:dyDescent="0.2">
      <c r="A1011" s="21" t="str">
        <f t="shared" si="105"/>
        <v>y</v>
      </c>
      <c r="B1011" s="24" t="s">
        <v>1752</v>
      </c>
      <c r="C1011" t="s">
        <v>321</v>
      </c>
      <c r="D1011" t="s">
        <v>14</v>
      </c>
      <c r="E1011" t="s">
        <v>27</v>
      </c>
      <c r="F1011" t="s">
        <v>2</v>
      </c>
      <c r="G1011" t="s">
        <v>950</v>
      </c>
      <c r="H1011" t="s">
        <v>2017</v>
      </c>
      <c r="I1011" s="22" t="str">
        <f t="shared" si="106"/>
        <v>2020-02-22</v>
      </c>
      <c r="J1011" s="23" t="str">
        <f t="shared" si="107"/>
        <v>22</v>
      </c>
      <c r="K1011" t="str">
        <f t="shared" si="108"/>
        <v>no</v>
      </c>
      <c r="L1011">
        <v>22</v>
      </c>
      <c r="M1011" t="str">
        <f t="shared" si="109"/>
        <v>2020-02-22</v>
      </c>
      <c r="N1011" s="20">
        <f t="shared" si="110"/>
        <v>43884</v>
      </c>
      <c r="O1011" t="str">
        <f t="shared" si="111"/>
        <v>2020-02-23</v>
      </c>
    </row>
    <row r="1012" spans="1:15" x14ac:dyDescent="0.2">
      <c r="A1012" s="21" t="str">
        <f t="shared" si="105"/>
        <v>y</v>
      </c>
      <c r="B1012" s="24" t="s">
        <v>1752</v>
      </c>
      <c r="C1012" t="s">
        <v>235</v>
      </c>
      <c r="D1012" t="s">
        <v>13</v>
      </c>
      <c r="E1012" t="s">
        <v>43</v>
      </c>
      <c r="F1012" t="s">
        <v>2</v>
      </c>
      <c r="H1012" t="s">
        <v>1973</v>
      </c>
      <c r="I1012" s="22" t="str">
        <f t="shared" si="106"/>
        <v>2020-02-22</v>
      </c>
      <c r="J1012" s="23" t="str">
        <f t="shared" si="107"/>
        <v>22</v>
      </c>
      <c r="K1012" t="str">
        <f t="shared" si="108"/>
        <v>no</v>
      </c>
      <c r="L1012">
        <v>22</v>
      </c>
      <c r="M1012" t="str">
        <f t="shared" si="109"/>
        <v>2020-02-22</v>
      </c>
      <c r="N1012" s="20">
        <f t="shared" si="110"/>
        <v>43884</v>
      </c>
      <c r="O1012" t="str">
        <f t="shared" si="111"/>
        <v>2020-02-23</v>
      </c>
    </row>
    <row r="1013" spans="1:15" x14ac:dyDescent="0.2">
      <c r="A1013" s="21" t="str">
        <f t="shared" si="105"/>
        <v>y</v>
      </c>
      <c r="B1013" s="24" t="s">
        <v>1752</v>
      </c>
      <c r="C1013" t="s">
        <v>891</v>
      </c>
      <c r="D1013" t="s">
        <v>13</v>
      </c>
      <c r="E1013" t="s">
        <v>64</v>
      </c>
      <c r="F1013" t="s">
        <v>2</v>
      </c>
      <c r="G1013" t="s">
        <v>947</v>
      </c>
      <c r="H1013" t="s">
        <v>2020</v>
      </c>
      <c r="I1013" s="22" t="str">
        <f t="shared" si="106"/>
        <v>2020-02-22</v>
      </c>
      <c r="J1013" s="23" t="str">
        <f t="shared" si="107"/>
        <v>22</v>
      </c>
      <c r="K1013" t="str">
        <f t="shared" si="108"/>
        <v>no</v>
      </c>
      <c r="L1013">
        <v>22</v>
      </c>
      <c r="M1013" t="str">
        <f t="shared" si="109"/>
        <v>2020-02-22</v>
      </c>
      <c r="N1013" s="20">
        <f t="shared" si="110"/>
        <v>43884</v>
      </c>
      <c r="O1013" t="str">
        <f t="shared" si="111"/>
        <v>2020-02-23</v>
      </c>
    </row>
    <row r="1014" spans="1:15" x14ac:dyDescent="0.2">
      <c r="A1014" s="21" t="str">
        <f t="shared" si="105"/>
        <v>y</v>
      </c>
      <c r="B1014" s="24" t="s">
        <v>1752</v>
      </c>
      <c r="C1014" t="s">
        <v>901</v>
      </c>
      <c r="D1014" t="s">
        <v>13</v>
      </c>
      <c r="E1014" t="s">
        <v>8</v>
      </c>
      <c r="F1014" t="s">
        <v>2</v>
      </c>
      <c r="H1014" t="s">
        <v>2013</v>
      </c>
      <c r="I1014" s="22" t="str">
        <f t="shared" si="106"/>
        <v>2020-02-22</v>
      </c>
      <c r="J1014" s="23" t="str">
        <f t="shared" si="107"/>
        <v>22</v>
      </c>
      <c r="K1014" t="str">
        <f t="shared" si="108"/>
        <v>no</v>
      </c>
      <c r="L1014">
        <v>22</v>
      </c>
      <c r="M1014" t="str">
        <f t="shared" si="109"/>
        <v>2020-02-22</v>
      </c>
      <c r="N1014" s="20">
        <f t="shared" si="110"/>
        <v>43884</v>
      </c>
      <c r="O1014" t="str">
        <f t="shared" si="111"/>
        <v>2020-02-23</v>
      </c>
    </row>
    <row r="1015" spans="1:15" x14ac:dyDescent="0.2">
      <c r="A1015" s="21" t="str">
        <f t="shared" si="105"/>
        <v>y</v>
      </c>
      <c r="B1015" s="24" t="s">
        <v>1753</v>
      </c>
      <c r="C1015" t="s">
        <v>321</v>
      </c>
      <c r="D1015" t="s">
        <v>14</v>
      </c>
      <c r="E1015" t="s">
        <v>27</v>
      </c>
      <c r="F1015" t="s">
        <v>29</v>
      </c>
      <c r="G1015" t="s">
        <v>949</v>
      </c>
      <c r="H1015" t="s">
        <v>2017</v>
      </c>
      <c r="I1015" s="22" t="str">
        <f t="shared" si="106"/>
        <v>2020-02-20</v>
      </c>
      <c r="J1015" s="23" t="str">
        <f t="shared" si="107"/>
        <v>20</v>
      </c>
      <c r="K1015" t="str">
        <f t="shared" si="108"/>
        <v>no</v>
      </c>
      <c r="L1015">
        <v>20</v>
      </c>
      <c r="M1015" t="str">
        <f t="shared" si="109"/>
        <v>2020-02-20</v>
      </c>
      <c r="N1015" s="20" t="str">
        <f t="shared" si="110"/>
        <v>2020-02-20</v>
      </c>
      <c r="O1015" t="str">
        <f t="shared" si="111"/>
        <v>2020-02-20</v>
      </c>
    </row>
    <row r="1016" spans="1:15" x14ac:dyDescent="0.2">
      <c r="A1016" s="21" t="str">
        <f t="shared" si="105"/>
        <v>y</v>
      </c>
      <c r="B1016" s="24" t="s">
        <v>1753</v>
      </c>
      <c r="C1016" t="s">
        <v>235</v>
      </c>
      <c r="D1016" t="s">
        <v>13</v>
      </c>
      <c r="E1016" t="s">
        <v>43</v>
      </c>
      <c r="F1016" t="s">
        <v>2</v>
      </c>
      <c r="H1016" t="s">
        <v>1973</v>
      </c>
      <c r="I1016" s="22" t="str">
        <f t="shared" si="106"/>
        <v>2020-02-20</v>
      </c>
      <c r="J1016" s="23" t="str">
        <f t="shared" si="107"/>
        <v>20</v>
      </c>
      <c r="K1016" t="str">
        <f t="shared" si="108"/>
        <v>no</v>
      </c>
      <c r="L1016">
        <v>20</v>
      </c>
      <c r="M1016" t="str">
        <f t="shared" si="109"/>
        <v>2020-02-20</v>
      </c>
      <c r="N1016" s="20">
        <f t="shared" si="110"/>
        <v>43882</v>
      </c>
      <c r="O1016" t="str">
        <f t="shared" si="111"/>
        <v>2020-02-21</v>
      </c>
    </row>
    <row r="1017" spans="1:15" x14ac:dyDescent="0.2">
      <c r="A1017" s="21" t="str">
        <f t="shared" si="105"/>
        <v>y</v>
      </c>
      <c r="B1017" s="24" t="s">
        <v>1753</v>
      </c>
      <c r="C1017" t="s">
        <v>891</v>
      </c>
      <c r="D1017" t="s">
        <v>13</v>
      </c>
      <c r="E1017" t="s">
        <v>64</v>
      </c>
      <c r="F1017" t="s">
        <v>2</v>
      </c>
      <c r="G1017" t="s">
        <v>947</v>
      </c>
      <c r="H1017" t="s">
        <v>2020</v>
      </c>
      <c r="I1017" s="22" t="str">
        <f t="shared" si="106"/>
        <v>2020-02-20</v>
      </c>
      <c r="J1017" s="23" t="str">
        <f t="shared" si="107"/>
        <v>20</v>
      </c>
      <c r="K1017" t="str">
        <f t="shared" si="108"/>
        <v>no</v>
      </c>
      <c r="L1017">
        <v>20</v>
      </c>
      <c r="M1017" t="str">
        <f t="shared" si="109"/>
        <v>2020-02-20</v>
      </c>
      <c r="N1017" s="20">
        <f t="shared" si="110"/>
        <v>43882</v>
      </c>
      <c r="O1017" t="str">
        <f t="shared" si="111"/>
        <v>2020-02-21</v>
      </c>
    </row>
    <row r="1018" spans="1:15" x14ac:dyDescent="0.2">
      <c r="A1018" s="21" t="str">
        <f t="shared" si="105"/>
        <v>y</v>
      </c>
      <c r="B1018" s="24" t="s">
        <v>1753</v>
      </c>
      <c r="C1018" t="s">
        <v>901</v>
      </c>
      <c r="D1018" t="s">
        <v>13</v>
      </c>
      <c r="E1018" t="s">
        <v>8</v>
      </c>
      <c r="F1018" t="s">
        <v>29</v>
      </c>
      <c r="G1018" t="s">
        <v>948</v>
      </c>
      <c r="H1018" t="s">
        <v>2013</v>
      </c>
      <c r="I1018" s="22" t="str">
        <f t="shared" si="106"/>
        <v>2020-02-20</v>
      </c>
      <c r="J1018" s="23" t="str">
        <f t="shared" si="107"/>
        <v>20</v>
      </c>
      <c r="K1018" t="str">
        <f t="shared" si="108"/>
        <v>no</v>
      </c>
      <c r="L1018">
        <v>20</v>
      </c>
      <c r="M1018" t="str">
        <f t="shared" si="109"/>
        <v>2020-02-20</v>
      </c>
      <c r="N1018" s="20" t="str">
        <f t="shared" si="110"/>
        <v>2020-02-20</v>
      </c>
      <c r="O1018" t="str">
        <f t="shared" si="111"/>
        <v>2020-02-20</v>
      </c>
    </row>
    <row r="1019" spans="1:15" x14ac:dyDescent="0.2">
      <c r="A1019" s="21" t="str">
        <f t="shared" si="105"/>
        <v>y</v>
      </c>
      <c r="B1019" s="24" t="s">
        <v>1754</v>
      </c>
      <c r="C1019" t="s">
        <v>321</v>
      </c>
      <c r="D1019" t="s">
        <v>14</v>
      </c>
      <c r="E1019" t="s">
        <v>27</v>
      </c>
      <c r="F1019" t="s">
        <v>2</v>
      </c>
      <c r="G1019" t="s">
        <v>946</v>
      </c>
      <c r="H1019" t="s">
        <v>1973</v>
      </c>
      <c r="I1019" s="22" t="str">
        <f t="shared" si="106"/>
        <v>2020-02-19</v>
      </c>
      <c r="J1019" s="23" t="str">
        <f t="shared" si="107"/>
        <v>19</v>
      </c>
      <c r="K1019" t="str">
        <f t="shared" si="108"/>
        <v>no</v>
      </c>
      <c r="L1019">
        <v>19</v>
      </c>
      <c r="M1019" t="str">
        <f t="shared" si="109"/>
        <v>2020-02-19</v>
      </c>
      <c r="N1019" s="20">
        <f t="shared" si="110"/>
        <v>43881</v>
      </c>
      <c r="O1019" t="str">
        <f t="shared" si="111"/>
        <v>2020-02-20</v>
      </c>
    </row>
    <row r="1020" spans="1:15" x14ac:dyDescent="0.2">
      <c r="A1020" s="21" t="str">
        <f t="shared" si="105"/>
        <v>y</v>
      </c>
      <c r="B1020" s="24" t="s">
        <v>1754</v>
      </c>
      <c r="C1020" t="s">
        <v>891</v>
      </c>
      <c r="D1020" t="s">
        <v>13</v>
      </c>
      <c r="E1020" t="s">
        <v>64</v>
      </c>
      <c r="F1020" t="s">
        <v>29</v>
      </c>
      <c r="G1020" t="s">
        <v>945</v>
      </c>
      <c r="H1020" t="s">
        <v>2013</v>
      </c>
      <c r="I1020" s="22" t="str">
        <f t="shared" si="106"/>
        <v>2020-02-19</v>
      </c>
      <c r="J1020" s="23" t="str">
        <f t="shared" si="107"/>
        <v>19</v>
      </c>
      <c r="K1020" t="str">
        <f t="shared" si="108"/>
        <v>no</v>
      </c>
      <c r="L1020">
        <v>19</v>
      </c>
      <c r="M1020" t="str">
        <f t="shared" si="109"/>
        <v>2020-02-19</v>
      </c>
      <c r="N1020" s="20" t="str">
        <f t="shared" si="110"/>
        <v>2020-02-19</v>
      </c>
      <c r="O1020" t="str">
        <f t="shared" si="111"/>
        <v>2020-02-19</v>
      </c>
    </row>
    <row r="1021" spans="1:15" x14ac:dyDescent="0.2">
      <c r="A1021" s="21" t="str">
        <f t="shared" si="105"/>
        <v>y</v>
      </c>
      <c r="B1021" s="24" t="s">
        <v>1755</v>
      </c>
      <c r="C1021" t="s">
        <v>616</v>
      </c>
      <c r="D1021" t="s">
        <v>13</v>
      </c>
      <c r="E1021" t="s">
        <v>34</v>
      </c>
      <c r="F1021" t="s">
        <v>29</v>
      </c>
      <c r="G1021" t="s">
        <v>942</v>
      </c>
      <c r="H1021" t="s">
        <v>2016</v>
      </c>
      <c r="I1021" s="22" t="str">
        <f t="shared" si="106"/>
        <v>2020-02-18</v>
      </c>
      <c r="J1021" s="23" t="str">
        <f t="shared" si="107"/>
        <v>18</v>
      </c>
      <c r="K1021" t="str">
        <f t="shared" si="108"/>
        <v>no</v>
      </c>
      <c r="L1021">
        <v>18</v>
      </c>
      <c r="M1021" t="str">
        <f t="shared" si="109"/>
        <v>2020-02-18</v>
      </c>
      <c r="N1021" s="20" t="str">
        <f t="shared" si="110"/>
        <v>2020-02-18</v>
      </c>
      <c r="O1021" t="str">
        <f t="shared" si="111"/>
        <v>2020-02-18</v>
      </c>
    </row>
    <row r="1022" spans="1:15" x14ac:dyDescent="0.2">
      <c r="A1022" s="21" t="str">
        <f t="shared" si="105"/>
        <v>y</v>
      </c>
      <c r="B1022" s="24" t="s">
        <v>1755</v>
      </c>
      <c r="C1022" t="s">
        <v>321</v>
      </c>
      <c r="D1022" t="s">
        <v>14</v>
      </c>
      <c r="E1022" t="s">
        <v>43</v>
      </c>
      <c r="F1022" t="s">
        <v>2</v>
      </c>
      <c r="G1022" t="s">
        <v>943</v>
      </c>
      <c r="H1022" t="s">
        <v>1988</v>
      </c>
      <c r="I1022" s="22" t="str">
        <f t="shared" si="106"/>
        <v>2020-02-18</v>
      </c>
      <c r="J1022" s="23" t="str">
        <f t="shared" si="107"/>
        <v>18</v>
      </c>
      <c r="K1022" t="str">
        <f t="shared" si="108"/>
        <v>no</v>
      </c>
      <c r="L1022">
        <v>18</v>
      </c>
      <c r="M1022" t="str">
        <f t="shared" si="109"/>
        <v>2020-02-18</v>
      </c>
      <c r="N1022" s="20">
        <f t="shared" si="110"/>
        <v>43880</v>
      </c>
      <c r="O1022" t="str">
        <f t="shared" si="111"/>
        <v>2020-02-19</v>
      </c>
    </row>
    <row r="1023" spans="1:15" x14ac:dyDescent="0.2">
      <c r="A1023" s="21" t="str">
        <f t="shared" si="105"/>
        <v>y</v>
      </c>
      <c r="B1023" s="24" t="s">
        <v>1755</v>
      </c>
      <c r="C1023" t="s">
        <v>151</v>
      </c>
      <c r="D1023" t="s">
        <v>13</v>
      </c>
      <c r="E1023" t="s">
        <v>64</v>
      </c>
      <c r="F1023" t="s">
        <v>29</v>
      </c>
      <c r="G1023" t="s">
        <v>944</v>
      </c>
      <c r="H1023" t="s">
        <v>2013</v>
      </c>
      <c r="I1023" s="22" t="str">
        <f t="shared" si="106"/>
        <v>2020-02-18</v>
      </c>
      <c r="J1023" s="23" t="str">
        <f t="shared" si="107"/>
        <v>18</v>
      </c>
      <c r="K1023" t="str">
        <f t="shared" si="108"/>
        <v>no</v>
      </c>
      <c r="L1023">
        <v>18</v>
      </c>
      <c r="M1023" t="str">
        <f t="shared" si="109"/>
        <v>2020-02-18</v>
      </c>
      <c r="N1023" s="20" t="str">
        <f t="shared" si="110"/>
        <v>2020-02-18</v>
      </c>
      <c r="O1023" t="str">
        <f t="shared" si="111"/>
        <v>2020-02-18</v>
      </c>
    </row>
    <row r="1024" spans="1:15" x14ac:dyDescent="0.2">
      <c r="A1024" s="21" t="str">
        <f t="shared" si="105"/>
        <v>y</v>
      </c>
      <c r="B1024" s="24" t="s">
        <v>1756</v>
      </c>
      <c r="C1024" t="s">
        <v>616</v>
      </c>
      <c r="D1024" t="s">
        <v>13</v>
      </c>
      <c r="E1024" t="s">
        <v>34</v>
      </c>
      <c r="F1024" t="s">
        <v>2</v>
      </c>
      <c r="H1024" t="s">
        <v>2016</v>
      </c>
      <c r="I1024" s="22" t="str">
        <f t="shared" si="106"/>
        <v>2020-02-17</v>
      </c>
      <c r="J1024" s="23" t="str">
        <f t="shared" si="107"/>
        <v>17</v>
      </c>
      <c r="K1024" t="str">
        <f t="shared" si="108"/>
        <v>no</v>
      </c>
      <c r="L1024">
        <v>17</v>
      </c>
      <c r="M1024" t="str">
        <f t="shared" si="109"/>
        <v>2020-02-17</v>
      </c>
      <c r="N1024" s="20">
        <f t="shared" si="110"/>
        <v>43879</v>
      </c>
      <c r="O1024" t="str">
        <f t="shared" si="111"/>
        <v>2020-02-18</v>
      </c>
    </row>
    <row r="1025" spans="1:15" x14ac:dyDescent="0.2">
      <c r="A1025" s="21" t="str">
        <f t="shared" si="105"/>
        <v>y</v>
      </c>
      <c r="B1025" s="24" t="s">
        <v>1756</v>
      </c>
      <c r="C1025" t="s">
        <v>321</v>
      </c>
      <c r="D1025" t="s">
        <v>14</v>
      </c>
      <c r="E1025" t="s">
        <v>43</v>
      </c>
      <c r="F1025" t="s">
        <v>2</v>
      </c>
      <c r="H1025" t="s">
        <v>2017</v>
      </c>
      <c r="I1025" s="22" t="str">
        <f t="shared" si="106"/>
        <v>2020-02-17</v>
      </c>
      <c r="J1025" s="23" t="str">
        <f t="shared" si="107"/>
        <v>17</v>
      </c>
      <c r="K1025" t="str">
        <f t="shared" si="108"/>
        <v>no</v>
      </c>
      <c r="L1025">
        <v>17</v>
      </c>
      <c r="M1025" t="str">
        <f t="shared" si="109"/>
        <v>2020-02-17</v>
      </c>
      <c r="N1025" s="20">
        <f t="shared" si="110"/>
        <v>43879</v>
      </c>
      <c r="O1025" t="str">
        <f t="shared" si="111"/>
        <v>2020-02-18</v>
      </c>
    </row>
    <row r="1026" spans="1:15" x14ac:dyDescent="0.2">
      <c r="A1026" s="21" t="str">
        <f t="shared" si="105"/>
        <v>y</v>
      </c>
      <c r="B1026" s="24" t="s">
        <v>1756</v>
      </c>
      <c r="C1026" t="s">
        <v>235</v>
      </c>
      <c r="D1026" t="s">
        <v>13</v>
      </c>
      <c r="E1026" t="s">
        <v>43</v>
      </c>
      <c r="F1026" t="s">
        <v>29</v>
      </c>
      <c r="G1026" t="s">
        <v>940</v>
      </c>
      <c r="H1026" t="s">
        <v>2017</v>
      </c>
      <c r="I1026" s="22" t="str">
        <f t="shared" si="106"/>
        <v>2020-02-17</v>
      </c>
      <c r="J1026" s="23" t="str">
        <f t="shared" si="107"/>
        <v>17</v>
      </c>
      <c r="K1026" t="str">
        <f t="shared" si="108"/>
        <v>no</v>
      </c>
      <c r="L1026">
        <v>17</v>
      </c>
      <c r="M1026" t="str">
        <f t="shared" si="109"/>
        <v>2020-02-17</v>
      </c>
      <c r="N1026" s="20" t="str">
        <f t="shared" si="110"/>
        <v>2020-02-17</v>
      </c>
      <c r="O1026" t="str">
        <f t="shared" si="111"/>
        <v>2020-02-17</v>
      </c>
    </row>
    <row r="1027" spans="1:15" x14ac:dyDescent="0.2">
      <c r="A1027" s="21" t="str">
        <f t="shared" si="105"/>
        <v>y</v>
      </c>
      <c r="B1027" s="24" t="s">
        <v>1756</v>
      </c>
      <c r="C1027" t="s">
        <v>38</v>
      </c>
      <c r="D1027" t="s">
        <v>13</v>
      </c>
      <c r="E1027" t="s">
        <v>49</v>
      </c>
      <c r="F1027" t="s">
        <v>29</v>
      </c>
      <c r="G1027" t="s">
        <v>941</v>
      </c>
      <c r="H1027" t="s">
        <v>2016</v>
      </c>
      <c r="I1027" s="22" t="str">
        <f t="shared" si="106"/>
        <v>2020-02-17</v>
      </c>
      <c r="J1027" s="23" t="str">
        <f t="shared" si="107"/>
        <v>17</v>
      </c>
      <c r="K1027" t="str">
        <f t="shared" si="108"/>
        <v>no</v>
      </c>
      <c r="L1027">
        <v>17</v>
      </c>
      <c r="M1027" t="str">
        <f t="shared" si="109"/>
        <v>2020-02-17</v>
      </c>
      <c r="N1027" s="20" t="str">
        <f t="shared" si="110"/>
        <v>2020-02-17</v>
      </c>
      <c r="O1027" t="str">
        <f t="shared" si="111"/>
        <v>2020-02-17</v>
      </c>
    </row>
    <row r="1028" spans="1:15" x14ac:dyDescent="0.2">
      <c r="A1028" s="21" t="str">
        <f t="shared" ref="A1028:A1091" si="112">IF(LEFT(B1028,2)&gt;12,"y","-")</f>
        <v>y</v>
      </c>
      <c r="B1028" s="24" t="s">
        <v>1757</v>
      </c>
      <c r="C1028" t="s">
        <v>616</v>
      </c>
      <c r="D1028" t="s">
        <v>13</v>
      </c>
      <c r="E1028" t="s">
        <v>8</v>
      </c>
      <c r="F1028" t="s">
        <v>29</v>
      </c>
      <c r="G1028" t="s">
        <v>935</v>
      </c>
      <c r="H1028" t="s">
        <v>2022</v>
      </c>
      <c r="I1028" s="22" t="str">
        <f t="shared" ref="I1028:I1091" si="113">IF(K1028="yes",TEXT(B1028,"YYYY-DD-MM"),TEXT(B1028,"YYYY-MM-DD"))</f>
        <v>2020-02-16</v>
      </c>
      <c r="J1028" s="23" t="str">
        <f t="shared" ref="J1028:J1091" si="114">LEFT(B1028,2)</f>
        <v>16</v>
      </c>
      <c r="K1028" t="str">
        <f t="shared" ref="K1028:K1091" si="115">IF(L1028&gt;31,"yes","no")</f>
        <v>no</v>
      </c>
      <c r="L1028">
        <v>16</v>
      </c>
      <c r="M1028" t="str">
        <f t="shared" ref="M1028:M1091" si="116">I1028</f>
        <v>2020-02-16</v>
      </c>
      <c r="N1028" s="20" t="str">
        <f t="shared" ref="N1028:N1091" si="117">IF(F1028="DONE",M1028,M1028+1)</f>
        <v>2020-02-16</v>
      </c>
      <c r="O1028" t="str">
        <f t="shared" ref="O1028:O1091" si="118">TEXT(N1028,"YYYY-MM-DD")</f>
        <v>2020-02-16</v>
      </c>
    </row>
    <row r="1029" spans="1:15" x14ac:dyDescent="0.2">
      <c r="A1029" s="21" t="str">
        <f t="shared" si="112"/>
        <v>y</v>
      </c>
      <c r="B1029" s="24" t="s">
        <v>1757</v>
      </c>
      <c r="C1029" t="s">
        <v>616</v>
      </c>
      <c r="D1029" t="s">
        <v>13</v>
      </c>
      <c r="E1029" t="s">
        <v>21</v>
      </c>
      <c r="F1029" t="s">
        <v>29</v>
      </c>
      <c r="G1029" t="s">
        <v>933</v>
      </c>
      <c r="H1029" t="s">
        <v>2013</v>
      </c>
      <c r="I1029" s="22" t="str">
        <f t="shared" si="113"/>
        <v>2020-02-16</v>
      </c>
      <c r="J1029" s="23" t="str">
        <f t="shared" si="114"/>
        <v>16</v>
      </c>
      <c r="K1029" t="str">
        <f t="shared" si="115"/>
        <v>no</v>
      </c>
      <c r="L1029">
        <v>16</v>
      </c>
      <c r="M1029" t="str">
        <f t="shared" si="116"/>
        <v>2020-02-16</v>
      </c>
      <c r="N1029" s="20" t="str">
        <f t="shared" si="117"/>
        <v>2020-02-16</v>
      </c>
      <c r="O1029" t="str">
        <f t="shared" si="118"/>
        <v>2020-02-16</v>
      </c>
    </row>
    <row r="1030" spans="1:15" x14ac:dyDescent="0.2">
      <c r="A1030" s="21" t="str">
        <f t="shared" si="112"/>
        <v>y</v>
      </c>
      <c r="B1030" s="24" t="s">
        <v>1757</v>
      </c>
      <c r="C1030" t="s">
        <v>616</v>
      </c>
      <c r="D1030" t="s">
        <v>13</v>
      </c>
      <c r="E1030" t="s">
        <v>34</v>
      </c>
      <c r="F1030" t="s">
        <v>2</v>
      </c>
      <c r="G1030" t="s">
        <v>937</v>
      </c>
      <c r="H1030" t="s">
        <v>2018</v>
      </c>
      <c r="I1030" s="22" t="str">
        <f t="shared" si="113"/>
        <v>2020-02-16</v>
      </c>
      <c r="J1030" s="23" t="str">
        <f t="shared" si="114"/>
        <v>16</v>
      </c>
      <c r="K1030" t="str">
        <f t="shared" si="115"/>
        <v>no</v>
      </c>
      <c r="L1030">
        <v>16</v>
      </c>
      <c r="M1030" t="str">
        <f t="shared" si="116"/>
        <v>2020-02-16</v>
      </c>
      <c r="N1030" s="20">
        <f t="shared" si="117"/>
        <v>43878</v>
      </c>
      <c r="O1030" t="str">
        <f t="shared" si="118"/>
        <v>2020-02-17</v>
      </c>
    </row>
    <row r="1031" spans="1:15" x14ac:dyDescent="0.2">
      <c r="A1031" s="21" t="str">
        <f t="shared" si="112"/>
        <v>y</v>
      </c>
      <c r="B1031" s="24" t="s">
        <v>1757</v>
      </c>
      <c r="C1031" t="s">
        <v>930</v>
      </c>
      <c r="D1031" t="s">
        <v>13</v>
      </c>
      <c r="E1031" t="s">
        <v>27</v>
      </c>
      <c r="F1031" t="s">
        <v>29</v>
      </c>
      <c r="G1031" t="s">
        <v>936</v>
      </c>
      <c r="H1031" t="s">
        <v>2023</v>
      </c>
      <c r="I1031" s="22" t="str">
        <f t="shared" si="113"/>
        <v>2020-02-16</v>
      </c>
      <c r="J1031" s="23" t="str">
        <f t="shared" si="114"/>
        <v>16</v>
      </c>
      <c r="K1031" t="str">
        <f t="shared" si="115"/>
        <v>no</v>
      </c>
      <c r="L1031">
        <v>16</v>
      </c>
      <c r="M1031" t="str">
        <f t="shared" si="116"/>
        <v>2020-02-16</v>
      </c>
      <c r="N1031" s="20" t="str">
        <f t="shared" si="117"/>
        <v>2020-02-16</v>
      </c>
      <c r="O1031" t="str">
        <f t="shared" si="118"/>
        <v>2020-02-16</v>
      </c>
    </row>
    <row r="1032" spans="1:15" x14ac:dyDescent="0.2">
      <c r="A1032" s="21" t="str">
        <f t="shared" si="112"/>
        <v>y</v>
      </c>
      <c r="B1032" s="24" t="s">
        <v>1757</v>
      </c>
      <c r="C1032" t="s">
        <v>321</v>
      </c>
      <c r="D1032" t="s">
        <v>14</v>
      </c>
      <c r="E1032" t="s">
        <v>43</v>
      </c>
      <c r="F1032" t="s">
        <v>2</v>
      </c>
      <c r="H1032" t="s">
        <v>2016</v>
      </c>
      <c r="I1032" s="22" t="str">
        <f t="shared" si="113"/>
        <v>2020-02-16</v>
      </c>
      <c r="J1032" s="23" t="str">
        <f t="shared" si="114"/>
        <v>16</v>
      </c>
      <c r="K1032" t="str">
        <f t="shared" si="115"/>
        <v>no</v>
      </c>
      <c r="L1032">
        <v>16</v>
      </c>
      <c r="M1032" t="str">
        <f t="shared" si="116"/>
        <v>2020-02-16</v>
      </c>
      <c r="N1032" s="20">
        <f t="shared" si="117"/>
        <v>43878</v>
      </c>
      <c r="O1032" t="str">
        <f t="shared" si="118"/>
        <v>2020-02-17</v>
      </c>
    </row>
    <row r="1033" spans="1:15" x14ac:dyDescent="0.2">
      <c r="A1033" s="21" t="str">
        <f t="shared" si="112"/>
        <v>y</v>
      </c>
      <c r="B1033" s="24" t="s">
        <v>1757</v>
      </c>
      <c r="C1033" t="s">
        <v>687</v>
      </c>
      <c r="D1033" t="s">
        <v>13</v>
      </c>
      <c r="E1033" t="s">
        <v>64</v>
      </c>
      <c r="F1033" t="s">
        <v>2</v>
      </c>
      <c r="H1033" t="s">
        <v>2016</v>
      </c>
      <c r="I1033" s="22" t="str">
        <f t="shared" si="113"/>
        <v>2020-02-16</v>
      </c>
      <c r="J1033" s="23" t="str">
        <f t="shared" si="114"/>
        <v>16</v>
      </c>
      <c r="K1033" t="str">
        <f t="shared" si="115"/>
        <v>no</v>
      </c>
      <c r="L1033">
        <v>16</v>
      </c>
      <c r="M1033" t="str">
        <f t="shared" si="116"/>
        <v>2020-02-16</v>
      </c>
      <c r="N1033" s="20">
        <f t="shared" si="117"/>
        <v>43878</v>
      </c>
      <c r="O1033" t="str">
        <f t="shared" si="118"/>
        <v>2020-02-17</v>
      </c>
    </row>
    <row r="1034" spans="1:15" x14ac:dyDescent="0.2">
      <c r="A1034" s="21" t="str">
        <f t="shared" si="112"/>
        <v>y</v>
      </c>
      <c r="B1034" s="24" t="s">
        <v>1757</v>
      </c>
      <c r="C1034" t="s">
        <v>901</v>
      </c>
      <c r="D1034" t="s">
        <v>13</v>
      </c>
      <c r="E1034" t="s">
        <v>8</v>
      </c>
      <c r="F1034" t="s">
        <v>29</v>
      </c>
      <c r="G1034" t="s">
        <v>934</v>
      </c>
      <c r="H1034" t="s">
        <v>2017</v>
      </c>
      <c r="I1034" s="22" t="str">
        <f t="shared" si="113"/>
        <v>2020-02-16</v>
      </c>
      <c r="J1034" s="23" t="str">
        <f t="shared" si="114"/>
        <v>16</v>
      </c>
      <c r="K1034" t="str">
        <f t="shared" si="115"/>
        <v>no</v>
      </c>
      <c r="L1034">
        <v>16</v>
      </c>
      <c r="M1034" t="str">
        <f t="shared" si="116"/>
        <v>2020-02-16</v>
      </c>
      <c r="N1034" s="20" t="str">
        <f t="shared" si="117"/>
        <v>2020-02-16</v>
      </c>
      <c r="O1034" t="str">
        <f t="shared" si="118"/>
        <v>2020-02-16</v>
      </c>
    </row>
    <row r="1035" spans="1:15" x14ac:dyDescent="0.2">
      <c r="A1035" s="21" t="str">
        <f t="shared" si="112"/>
        <v>y</v>
      </c>
      <c r="B1035" s="24" t="s">
        <v>1757</v>
      </c>
      <c r="C1035" t="s">
        <v>235</v>
      </c>
      <c r="D1035" t="s">
        <v>13</v>
      </c>
      <c r="E1035" t="s">
        <v>43</v>
      </c>
      <c r="F1035" t="s">
        <v>2</v>
      </c>
      <c r="G1035" t="s">
        <v>939</v>
      </c>
      <c r="H1035" t="s">
        <v>2016</v>
      </c>
      <c r="I1035" s="22" t="str">
        <f t="shared" si="113"/>
        <v>2020-02-16</v>
      </c>
      <c r="J1035" s="23" t="str">
        <f t="shared" si="114"/>
        <v>16</v>
      </c>
      <c r="K1035" t="str">
        <f t="shared" si="115"/>
        <v>no</v>
      </c>
      <c r="L1035">
        <v>16</v>
      </c>
      <c r="M1035" t="str">
        <f t="shared" si="116"/>
        <v>2020-02-16</v>
      </c>
      <c r="N1035" s="20">
        <f t="shared" si="117"/>
        <v>43878</v>
      </c>
      <c r="O1035" t="str">
        <f t="shared" si="118"/>
        <v>2020-02-17</v>
      </c>
    </row>
    <row r="1036" spans="1:15" x14ac:dyDescent="0.2">
      <c r="A1036" s="21" t="str">
        <f t="shared" si="112"/>
        <v>y</v>
      </c>
      <c r="B1036" s="24" t="s">
        <v>1758</v>
      </c>
      <c r="C1036" t="s">
        <v>616</v>
      </c>
      <c r="D1036" t="s">
        <v>13</v>
      </c>
      <c r="E1036" t="s">
        <v>8</v>
      </c>
      <c r="F1036" t="s">
        <v>2</v>
      </c>
      <c r="G1036" t="s">
        <v>932</v>
      </c>
      <c r="H1036" t="s">
        <v>2013</v>
      </c>
      <c r="I1036" s="22" t="str">
        <f t="shared" si="113"/>
        <v>2020-02-15</v>
      </c>
      <c r="J1036" s="23" t="str">
        <f t="shared" si="114"/>
        <v>15</v>
      </c>
      <c r="K1036" t="str">
        <f t="shared" si="115"/>
        <v>no</v>
      </c>
      <c r="L1036">
        <v>15</v>
      </c>
      <c r="M1036" t="str">
        <f t="shared" si="116"/>
        <v>2020-02-15</v>
      </c>
      <c r="N1036" s="20">
        <f t="shared" si="117"/>
        <v>43877</v>
      </c>
      <c r="O1036" t="str">
        <f t="shared" si="118"/>
        <v>2020-02-16</v>
      </c>
    </row>
    <row r="1037" spans="1:15" x14ac:dyDescent="0.2">
      <c r="A1037" s="21" t="str">
        <f t="shared" si="112"/>
        <v>y</v>
      </c>
      <c r="B1037" s="24" t="s">
        <v>1758</v>
      </c>
      <c r="C1037" t="s">
        <v>930</v>
      </c>
      <c r="D1037" t="s">
        <v>13</v>
      </c>
      <c r="E1037" t="s">
        <v>43</v>
      </c>
      <c r="F1037" t="s">
        <v>2</v>
      </c>
      <c r="G1037" t="s">
        <v>938</v>
      </c>
      <c r="H1037" t="s">
        <v>2018</v>
      </c>
      <c r="I1037" s="22" t="str">
        <f t="shared" si="113"/>
        <v>2020-02-15</v>
      </c>
      <c r="J1037" s="23" t="str">
        <f t="shared" si="114"/>
        <v>15</v>
      </c>
      <c r="K1037" t="str">
        <f t="shared" si="115"/>
        <v>no</v>
      </c>
      <c r="L1037">
        <v>15</v>
      </c>
      <c r="M1037" t="str">
        <f t="shared" si="116"/>
        <v>2020-02-15</v>
      </c>
      <c r="N1037" s="20">
        <f t="shared" si="117"/>
        <v>43877</v>
      </c>
      <c r="O1037" t="str">
        <f t="shared" si="118"/>
        <v>2020-02-16</v>
      </c>
    </row>
    <row r="1038" spans="1:15" x14ac:dyDescent="0.2">
      <c r="A1038" s="21" t="str">
        <f t="shared" si="112"/>
        <v>y</v>
      </c>
      <c r="B1038" s="24" t="s">
        <v>1758</v>
      </c>
      <c r="C1038" t="s">
        <v>321</v>
      </c>
      <c r="D1038" t="s">
        <v>14</v>
      </c>
      <c r="E1038" t="s">
        <v>43</v>
      </c>
      <c r="F1038" t="s">
        <v>2</v>
      </c>
      <c r="H1038" t="s">
        <v>2022</v>
      </c>
      <c r="I1038" s="22" t="str">
        <f t="shared" si="113"/>
        <v>2020-02-15</v>
      </c>
      <c r="J1038" s="23" t="str">
        <f t="shared" si="114"/>
        <v>15</v>
      </c>
      <c r="K1038" t="str">
        <f t="shared" si="115"/>
        <v>no</v>
      </c>
      <c r="L1038">
        <v>15</v>
      </c>
      <c r="M1038" t="str">
        <f t="shared" si="116"/>
        <v>2020-02-15</v>
      </c>
      <c r="N1038" s="20">
        <f t="shared" si="117"/>
        <v>43877</v>
      </c>
      <c r="O1038" t="str">
        <f t="shared" si="118"/>
        <v>2020-02-16</v>
      </c>
    </row>
    <row r="1039" spans="1:15" x14ac:dyDescent="0.2">
      <c r="A1039" s="21" t="str">
        <f t="shared" si="112"/>
        <v>y</v>
      </c>
      <c r="B1039" s="24" t="s">
        <v>1758</v>
      </c>
      <c r="C1039" t="s">
        <v>687</v>
      </c>
      <c r="D1039" t="s">
        <v>13</v>
      </c>
      <c r="E1039" t="s">
        <v>64</v>
      </c>
      <c r="F1039" t="s">
        <v>2</v>
      </c>
      <c r="H1039" t="s">
        <v>2017</v>
      </c>
      <c r="I1039" s="22" t="str">
        <f t="shared" si="113"/>
        <v>2020-02-15</v>
      </c>
      <c r="J1039" s="23" t="str">
        <f t="shared" si="114"/>
        <v>15</v>
      </c>
      <c r="K1039" t="str">
        <f t="shared" si="115"/>
        <v>no</v>
      </c>
      <c r="L1039">
        <v>15</v>
      </c>
      <c r="M1039" t="str">
        <f t="shared" si="116"/>
        <v>2020-02-15</v>
      </c>
      <c r="N1039" s="20">
        <f t="shared" si="117"/>
        <v>43877</v>
      </c>
      <c r="O1039" t="str">
        <f t="shared" si="118"/>
        <v>2020-02-16</v>
      </c>
    </row>
    <row r="1040" spans="1:15" x14ac:dyDescent="0.2">
      <c r="A1040" s="21" t="str">
        <f t="shared" si="112"/>
        <v>y</v>
      </c>
      <c r="B1040" s="24" t="s">
        <v>1759</v>
      </c>
      <c r="C1040" t="s">
        <v>616</v>
      </c>
      <c r="D1040" t="s">
        <v>13</v>
      </c>
      <c r="E1040" t="s">
        <v>8</v>
      </c>
      <c r="F1040" t="s">
        <v>2</v>
      </c>
      <c r="H1040" t="s">
        <v>2016</v>
      </c>
      <c r="I1040" s="22" t="str">
        <f t="shared" si="113"/>
        <v>2020-02-13</v>
      </c>
      <c r="J1040" s="23" t="str">
        <f t="shared" si="114"/>
        <v>13</v>
      </c>
      <c r="K1040" t="str">
        <f t="shared" si="115"/>
        <v>no</v>
      </c>
      <c r="L1040">
        <v>13</v>
      </c>
      <c r="M1040" t="str">
        <f t="shared" si="116"/>
        <v>2020-02-13</v>
      </c>
      <c r="N1040" s="20">
        <f t="shared" si="117"/>
        <v>43875</v>
      </c>
      <c r="O1040" t="str">
        <f t="shared" si="118"/>
        <v>2020-02-14</v>
      </c>
    </row>
    <row r="1041" spans="1:15" x14ac:dyDescent="0.2">
      <c r="A1041" s="21" t="str">
        <f t="shared" si="112"/>
        <v>y</v>
      </c>
      <c r="B1041" s="24" t="s">
        <v>1759</v>
      </c>
      <c r="C1041" t="s">
        <v>235</v>
      </c>
      <c r="D1041" t="s">
        <v>13</v>
      </c>
      <c r="E1041" t="s">
        <v>42</v>
      </c>
      <c r="F1041" t="s">
        <v>2</v>
      </c>
      <c r="H1041" t="s">
        <v>2016</v>
      </c>
      <c r="I1041" s="22" t="str">
        <f t="shared" si="113"/>
        <v>2020-02-13</v>
      </c>
      <c r="J1041" s="23" t="str">
        <f t="shared" si="114"/>
        <v>13</v>
      </c>
      <c r="K1041" t="str">
        <f t="shared" si="115"/>
        <v>no</v>
      </c>
      <c r="L1041">
        <v>13</v>
      </c>
      <c r="M1041" t="str">
        <f t="shared" si="116"/>
        <v>2020-02-13</v>
      </c>
      <c r="N1041" s="20">
        <f t="shared" si="117"/>
        <v>43875</v>
      </c>
      <c r="O1041" t="str">
        <f t="shared" si="118"/>
        <v>2020-02-14</v>
      </c>
    </row>
    <row r="1042" spans="1:15" x14ac:dyDescent="0.2">
      <c r="A1042" s="21" t="str">
        <f t="shared" si="112"/>
        <v>y</v>
      </c>
      <c r="B1042" s="24" t="s">
        <v>1759</v>
      </c>
      <c r="C1042" t="s">
        <v>616</v>
      </c>
      <c r="D1042" t="s">
        <v>13</v>
      </c>
      <c r="E1042" t="s">
        <v>4</v>
      </c>
      <c r="F1042" t="s">
        <v>29</v>
      </c>
      <c r="G1042" t="s">
        <v>929</v>
      </c>
      <c r="H1042" t="s">
        <v>2022</v>
      </c>
      <c r="I1042" s="22" t="str">
        <f t="shared" si="113"/>
        <v>2020-02-13</v>
      </c>
      <c r="J1042" s="23" t="str">
        <f t="shared" si="114"/>
        <v>13</v>
      </c>
      <c r="K1042" t="str">
        <f t="shared" si="115"/>
        <v>no</v>
      </c>
      <c r="L1042">
        <v>13</v>
      </c>
      <c r="M1042" t="str">
        <f t="shared" si="116"/>
        <v>2020-02-13</v>
      </c>
      <c r="N1042" s="20" t="str">
        <f t="shared" si="117"/>
        <v>2020-02-13</v>
      </c>
      <c r="O1042" t="str">
        <f t="shared" si="118"/>
        <v>2020-02-13</v>
      </c>
    </row>
    <row r="1043" spans="1:15" x14ac:dyDescent="0.2">
      <c r="A1043" s="21" t="str">
        <f t="shared" si="112"/>
        <v>y</v>
      </c>
      <c r="B1043" s="24" t="s">
        <v>1759</v>
      </c>
      <c r="C1043" t="s">
        <v>930</v>
      </c>
      <c r="D1043" t="s">
        <v>13</v>
      </c>
      <c r="E1043" t="s">
        <v>43</v>
      </c>
      <c r="F1043" t="s">
        <v>2</v>
      </c>
      <c r="G1043" t="s">
        <v>931</v>
      </c>
      <c r="H1043" t="s">
        <v>2016</v>
      </c>
      <c r="I1043" s="22" t="str">
        <f t="shared" si="113"/>
        <v>2020-02-13</v>
      </c>
      <c r="J1043" s="23" t="str">
        <f t="shared" si="114"/>
        <v>13</v>
      </c>
      <c r="K1043" t="str">
        <f t="shared" si="115"/>
        <v>no</v>
      </c>
      <c r="L1043">
        <v>13</v>
      </c>
      <c r="M1043" t="str">
        <f t="shared" si="116"/>
        <v>2020-02-13</v>
      </c>
      <c r="N1043" s="20">
        <f t="shared" si="117"/>
        <v>43875</v>
      </c>
      <c r="O1043" t="str">
        <f t="shared" si="118"/>
        <v>2020-02-14</v>
      </c>
    </row>
    <row r="1044" spans="1:15" x14ac:dyDescent="0.2">
      <c r="A1044" s="21" t="str">
        <f t="shared" si="112"/>
        <v>y</v>
      </c>
      <c r="B1044" s="24">
        <v>44167</v>
      </c>
      <c r="C1044" t="s">
        <v>616</v>
      </c>
      <c r="D1044" t="s">
        <v>13</v>
      </c>
      <c r="E1044" t="s">
        <v>34</v>
      </c>
      <c r="F1044" t="s">
        <v>29</v>
      </c>
      <c r="G1044" t="s">
        <v>926</v>
      </c>
      <c r="H1044" t="s">
        <v>2017</v>
      </c>
      <c r="I1044" s="22" t="str">
        <f t="shared" si="113"/>
        <v>2020-02-12</v>
      </c>
      <c r="J1044" s="23" t="str">
        <f t="shared" si="114"/>
        <v>44</v>
      </c>
      <c r="K1044" t="str">
        <f t="shared" si="115"/>
        <v>yes</v>
      </c>
      <c r="L1044">
        <v>44</v>
      </c>
      <c r="M1044" t="str">
        <f t="shared" si="116"/>
        <v>2020-02-12</v>
      </c>
      <c r="N1044" s="20" t="str">
        <f t="shared" si="117"/>
        <v>2020-02-12</v>
      </c>
      <c r="O1044" t="str">
        <f t="shared" si="118"/>
        <v>2020-02-12</v>
      </c>
    </row>
    <row r="1045" spans="1:15" x14ac:dyDescent="0.2">
      <c r="A1045" s="21" t="str">
        <f t="shared" si="112"/>
        <v>y</v>
      </c>
      <c r="B1045" s="24">
        <v>44167</v>
      </c>
      <c r="C1045" t="s">
        <v>235</v>
      </c>
      <c r="D1045" t="s">
        <v>13</v>
      </c>
      <c r="E1045" t="s">
        <v>42</v>
      </c>
      <c r="F1045" t="s">
        <v>29</v>
      </c>
      <c r="G1045" t="s">
        <v>925</v>
      </c>
      <c r="H1045" t="s">
        <v>1988</v>
      </c>
      <c r="I1045" s="22" t="str">
        <f t="shared" si="113"/>
        <v>2020-02-12</v>
      </c>
      <c r="J1045" s="23" t="str">
        <f t="shared" si="114"/>
        <v>44</v>
      </c>
      <c r="K1045" t="str">
        <f t="shared" si="115"/>
        <v>yes</v>
      </c>
      <c r="L1045">
        <v>44</v>
      </c>
      <c r="M1045" t="str">
        <f t="shared" si="116"/>
        <v>2020-02-12</v>
      </c>
      <c r="N1045" s="20" t="str">
        <f t="shared" si="117"/>
        <v>2020-02-12</v>
      </c>
      <c r="O1045" t="str">
        <f t="shared" si="118"/>
        <v>2020-02-12</v>
      </c>
    </row>
    <row r="1046" spans="1:15" x14ac:dyDescent="0.2">
      <c r="A1046" s="21" t="str">
        <f t="shared" si="112"/>
        <v>y</v>
      </c>
      <c r="B1046" s="24">
        <v>44167</v>
      </c>
      <c r="C1046" t="s">
        <v>235</v>
      </c>
      <c r="D1046" t="s">
        <v>13</v>
      </c>
      <c r="E1046" t="s">
        <v>34</v>
      </c>
      <c r="F1046" t="s">
        <v>29</v>
      </c>
      <c r="G1046" t="s">
        <v>928</v>
      </c>
      <c r="H1046" t="s">
        <v>2017</v>
      </c>
      <c r="I1046" s="22" t="str">
        <f t="shared" si="113"/>
        <v>2020-02-12</v>
      </c>
      <c r="J1046" s="23" t="str">
        <f t="shared" si="114"/>
        <v>44</v>
      </c>
      <c r="K1046" t="str">
        <f t="shared" si="115"/>
        <v>yes</v>
      </c>
      <c r="L1046">
        <v>44</v>
      </c>
      <c r="M1046" t="str">
        <f t="shared" si="116"/>
        <v>2020-02-12</v>
      </c>
      <c r="N1046" s="20" t="str">
        <f t="shared" si="117"/>
        <v>2020-02-12</v>
      </c>
      <c r="O1046" t="str">
        <f t="shared" si="118"/>
        <v>2020-02-12</v>
      </c>
    </row>
    <row r="1047" spans="1:15" x14ac:dyDescent="0.2">
      <c r="A1047" s="21" t="str">
        <f t="shared" si="112"/>
        <v>y</v>
      </c>
      <c r="B1047" s="24">
        <v>44167</v>
      </c>
      <c r="C1047" t="s">
        <v>151</v>
      </c>
      <c r="D1047" t="s">
        <v>13</v>
      </c>
      <c r="E1047" t="s">
        <v>64</v>
      </c>
      <c r="F1047" t="s">
        <v>29</v>
      </c>
      <c r="G1047" t="s">
        <v>927</v>
      </c>
      <c r="H1047" t="s">
        <v>2016</v>
      </c>
      <c r="I1047" s="22" t="str">
        <f t="shared" si="113"/>
        <v>2020-02-12</v>
      </c>
      <c r="J1047" s="23" t="str">
        <f t="shared" si="114"/>
        <v>44</v>
      </c>
      <c r="K1047" t="str">
        <f t="shared" si="115"/>
        <v>yes</v>
      </c>
      <c r="L1047">
        <v>44</v>
      </c>
      <c r="M1047" t="str">
        <f t="shared" si="116"/>
        <v>2020-02-12</v>
      </c>
      <c r="N1047" s="20" t="str">
        <f t="shared" si="117"/>
        <v>2020-02-12</v>
      </c>
      <c r="O1047" t="str">
        <f t="shared" si="118"/>
        <v>2020-02-12</v>
      </c>
    </row>
    <row r="1048" spans="1:15" x14ac:dyDescent="0.2">
      <c r="A1048" s="21" t="str">
        <f t="shared" si="112"/>
        <v>y</v>
      </c>
      <c r="B1048" s="24">
        <v>44137</v>
      </c>
      <c r="C1048" t="s">
        <v>616</v>
      </c>
      <c r="D1048" t="s">
        <v>13</v>
      </c>
      <c r="E1048" t="s">
        <v>34</v>
      </c>
      <c r="F1048" t="s">
        <v>29</v>
      </c>
      <c r="G1048" t="s">
        <v>919</v>
      </c>
      <c r="H1048" t="s">
        <v>2024</v>
      </c>
      <c r="I1048" s="22" t="str">
        <f t="shared" si="113"/>
        <v>2020-02-11</v>
      </c>
      <c r="J1048" s="23" t="str">
        <f t="shared" si="114"/>
        <v>44</v>
      </c>
      <c r="K1048" t="str">
        <f t="shared" si="115"/>
        <v>yes</v>
      </c>
      <c r="L1048">
        <v>44</v>
      </c>
      <c r="M1048" t="str">
        <f t="shared" si="116"/>
        <v>2020-02-11</v>
      </c>
      <c r="N1048" s="20" t="str">
        <f t="shared" si="117"/>
        <v>2020-02-11</v>
      </c>
      <c r="O1048" t="str">
        <f t="shared" si="118"/>
        <v>2020-02-11</v>
      </c>
    </row>
    <row r="1049" spans="1:15" x14ac:dyDescent="0.2">
      <c r="A1049" s="21" t="str">
        <f t="shared" si="112"/>
        <v>y</v>
      </c>
      <c r="B1049" s="24">
        <v>44137</v>
      </c>
      <c r="C1049" t="s">
        <v>891</v>
      </c>
      <c r="D1049" t="s">
        <v>13</v>
      </c>
      <c r="E1049" t="s">
        <v>34</v>
      </c>
      <c r="F1049" t="s">
        <v>29</v>
      </c>
      <c r="G1049" t="s">
        <v>924</v>
      </c>
      <c r="H1049" t="s">
        <v>2017</v>
      </c>
      <c r="I1049" s="22" t="str">
        <f t="shared" si="113"/>
        <v>2020-02-11</v>
      </c>
      <c r="J1049" s="23" t="str">
        <f t="shared" si="114"/>
        <v>44</v>
      </c>
      <c r="K1049" t="str">
        <f t="shared" si="115"/>
        <v>yes</v>
      </c>
      <c r="L1049">
        <v>44</v>
      </c>
      <c r="M1049" t="str">
        <f t="shared" si="116"/>
        <v>2020-02-11</v>
      </c>
      <c r="N1049" s="20" t="str">
        <f t="shared" si="117"/>
        <v>2020-02-11</v>
      </c>
      <c r="O1049" t="str">
        <f t="shared" si="118"/>
        <v>2020-02-11</v>
      </c>
    </row>
    <row r="1050" spans="1:15" x14ac:dyDescent="0.2">
      <c r="A1050" s="21" t="str">
        <f t="shared" si="112"/>
        <v>y</v>
      </c>
      <c r="B1050" s="24">
        <v>44137</v>
      </c>
      <c r="C1050" t="s">
        <v>235</v>
      </c>
      <c r="D1050" t="s">
        <v>13</v>
      </c>
      <c r="E1050" t="s">
        <v>34</v>
      </c>
      <c r="F1050" t="s">
        <v>2</v>
      </c>
      <c r="G1050" t="s">
        <v>923</v>
      </c>
      <c r="H1050" t="s">
        <v>2017</v>
      </c>
      <c r="I1050" s="22" t="str">
        <f t="shared" si="113"/>
        <v>2020-02-11</v>
      </c>
      <c r="J1050" s="23" t="str">
        <f t="shared" si="114"/>
        <v>44</v>
      </c>
      <c r="K1050" t="str">
        <f t="shared" si="115"/>
        <v>yes</v>
      </c>
      <c r="L1050">
        <v>44</v>
      </c>
      <c r="M1050" t="str">
        <f t="shared" si="116"/>
        <v>2020-02-11</v>
      </c>
      <c r="N1050" s="20">
        <f t="shared" si="117"/>
        <v>43873</v>
      </c>
      <c r="O1050" t="str">
        <f t="shared" si="118"/>
        <v>2020-02-12</v>
      </c>
    </row>
    <row r="1051" spans="1:15" x14ac:dyDescent="0.2">
      <c r="A1051" s="21" t="str">
        <f t="shared" si="112"/>
        <v>y</v>
      </c>
      <c r="B1051" s="24">
        <v>44137</v>
      </c>
      <c r="C1051" t="s">
        <v>235</v>
      </c>
      <c r="D1051" t="s">
        <v>13</v>
      </c>
      <c r="E1051" t="s">
        <v>42</v>
      </c>
      <c r="F1051" t="s">
        <v>29</v>
      </c>
      <c r="G1051" t="s">
        <v>922</v>
      </c>
      <c r="H1051" t="s">
        <v>2017</v>
      </c>
      <c r="I1051" s="22" t="str">
        <f t="shared" si="113"/>
        <v>2020-02-11</v>
      </c>
      <c r="J1051" s="23" t="str">
        <f t="shared" si="114"/>
        <v>44</v>
      </c>
      <c r="K1051" t="str">
        <f t="shared" si="115"/>
        <v>yes</v>
      </c>
      <c r="L1051">
        <v>44</v>
      </c>
      <c r="M1051" t="str">
        <f t="shared" si="116"/>
        <v>2020-02-11</v>
      </c>
      <c r="N1051" s="20" t="str">
        <f t="shared" si="117"/>
        <v>2020-02-11</v>
      </c>
      <c r="O1051" t="str">
        <f t="shared" si="118"/>
        <v>2020-02-11</v>
      </c>
    </row>
    <row r="1052" spans="1:15" x14ac:dyDescent="0.2">
      <c r="A1052" s="21" t="str">
        <f t="shared" si="112"/>
        <v>y</v>
      </c>
      <c r="B1052" s="24">
        <v>44137</v>
      </c>
      <c r="C1052" t="s">
        <v>235</v>
      </c>
      <c r="D1052" t="s">
        <v>13</v>
      </c>
      <c r="E1052" t="s">
        <v>42</v>
      </c>
      <c r="F1052" t="s">
        <v>29</v>
      </c>
      <c r="G1052" t="s">
        <v>920</v>
      </c>
      <c r="H1052" t="s">
        <v>2017</v>
      </c>
      <c r="I1052" s="22" t="str">
        <f t="shared" si="113"/>
        <v>2020-02-11</v>
      </c>
      <c r="J1052" s="23" t="str">
        <f t="shared" si="114"/>
        <v>44</v>
      </c>
      <c r="K1052" t="str">
        <f t="shared" si="115"/>
        <v>yes</v>
      </c>
      <c r="L1052">
        <v>44</v>
      </c>
      <c r="M1052" t="str">
        <f t="shared" si="116"/>
        <v>2020-02-11</v>
      </c>
      <c r="N1052" s="20" t="str">
        <f t="shared" si="117"/>
        <v>2020-02-11</v>
      </c>
      <c r="O1052" t="str">
        <f t="shared" si="118"/>
        <v>2020-02-11</v>
      </c>
    </row>
    <row r="1053" spans="1:15" x14ac:dyDescent="0.2">
      <c r="A1053" s="21" t="str">
        <f t="shared" si="112"/>
        <v>y</v>
      </c>
      <c r="B1053" s="24">
        <v>44137</v>
      </c>
      <c r="C1053" t="s">
        <v>235</v>
      </c>
      <c r="D1053" t="s">
        <v>13</v>
      </c>
      <c r="E1053" t="s">
        <v>22</v>
      </c>
      <c r="F1053" t="s">
        <v>29</v>
      </c>
      <c r="G1053" t="s">
        <v>921</v>
      </c>
      <c r="H1053" t="s">
        <v>2016</v>
      </c>
      <c r="I1053" s="22" t="str">
        <f t="shared" si="113"/>
        <v>2020-02-11</v>
      </c>
      <c r="J1053" s="23" t="str">
        <f t="shared" si="114"/>
        <v>44</v>
      </c>
      <c r="K1053" t="str">
        <f t="shared" si="115"/>
        <v>yes</v>
      </c>
      <c r="L1053">
        <v>44</v>
      </c>
      <c r="M1053" t="str">
        <f t="shared" si="116"/>
        <v>2020-02-11</v>
      </c>
      <c r="N1053" s="20" t="str">
        <f t="shared" si="117"/>
        <v>2020-02-11</v>
      </c>
      <c r="O1053" t="str">
        <f t="shared" si="118"/>
        <v>2020-02-11</v>
      </c>
    </row>
    <row r="1054" spans="1:15" x14ac:dyDescent="0.2">
      <c r="A1054" s="21" t="str">
        <f t="shared" si="112"/>
        <v>y</v>
      </c>
      <c r="B1054" s="24">
        <v>44106</v>
      </c>
      <c r="C1054" t="s">
        <v>616</v>
      </c>
      <c r="D1054" t="s">
        <v>13</v>
      </c>
      <c r="E1054" t="s">
        <v>34</v>
      </c>
      <c r="F1054" t="s">
        <v>2</v>
      </c>
      <c r="G1054" t="s">
        <v>911</v>
      </c>
      <c r="H1054" t="s">
        <v>2025</v>
      </c>
      <c r="I1054" s="22" t="str">
        <f t="shared" si="113"/>
        <v>2020-02-10</v>
      </c>
      <c r="J1054" s="23" t="str">
        <f t="shared" si="114"/>
        <v>44</v>
      </c>
      <c r="K1054" t="str">
        <f t="shared" si="115"/>
        <v>yes</v>
      </c>
      <c r="L1054">
        <v>44</v>
      </c>
      <c r="M1054" t="str">
        <f t="shared" si="116"/>
        <v>2020-02-10</v>
      </c>
      <c r="N1054" s="20">
        <f t="shared" si="117"/>
        <v>43872</v>
      </c>
      <c r="O1054" t="str">
        <f t="shared" si="118"/>
        <v>2020-02-11</v>
      </c>
    </row>
    <row r="1055" spans="1:15" x14ac:dyDescent="0.2">
      <c r="A1055" s="21" t="str">
        <f t="shared" si="112"/>
        <v>y</v>
      </c>
      <c r="B1055" s="24">
        <v>44106</v>
      </c>
      <c r="C1055" t="s">
        <v>578</v>
      </c>
      <c r="D1055" t="s">
        <v>14</v>
      </c>
      <c r="E1055" t="s">
        <v>27</v>
      </c>
      <c r="F1055" t="s">
        <v>2</v>
      </c>
      <c r="H1055" t="s">
        <v>2024</v>
      </c>
      <c r="I1055" s="22" t="str">
        <f t="shared" si="113"/>
        <v>2020-02-10</v>
      </c>
      <c r="J1055" s="23" t="str">
        <f t="shared" si="114"/>
        <v>44</v>
      </c>
      <c r="K1055" t="str">
        <f t="shared" si="115"/>
        <v>yes</v>
      </c>
      <c r="L1055">
        <v>44</v>
      </c>
      <c r="M1055" t="str">
        <f t="shared" si="116"/>
        <v>2020-02-10</v>
      </c>
      <c r="N1055" s="20">
        <f t="shared" si="117"/>
        <v>43872</v>
      </c>
      <c r="O1055" t="str">
        <f t="shared" si="118"/>
        <v>2020-02-11</v>
      </c>
    </row>
    <row r="1056" spans="1:15" x14ac:dyDescent="0.2">
      <c r="A1056" s="21" t="str">
        <f t="shared" si="112"/>
        <v>y</v>
      </c>
      <c r="B1056" s="24">
        <v>44106</v>
      </c>
      <c r="C1056" t="s">
        <v>891</v>
      </c>
      <c r="D1056" t="s">
        <v>13</v>
      </c>
      <c r="E1056" t="s">
        <v>34</v>
      </c>
      <c r="F1056" t="s">
        <v>2</v>
      </c>
      <c r="G1056" t="s">
        <v>917</v>
      </c>
      <c r="H1056" t="s">
        <v>2001</v>
      </c>
      <c r="I1056" s="22" t="str">
        <f t="shared" si="113"/>
        <v>2020-02-10</v>
      </c>
      <c r="J1056" s="23" t="str">
        <f t="shared" si="114"/>
        <v>44</v>
      </c>
      <c r="K1056" t="str">
        <f t="shared" si="115"/>
        <v>yes</v>
      </c>
      <c r="L1056">
        <v>44</v>
      </c>
      <c r="M1056" t="str">
        <f t="shared" si="116"/>
        <v>2020-02-10</v>
      </c>
      <c r="N1056" s="20">
        <f t="shared" si="117"/>
        <v>43872</v>
      </c>
      <c r="O1056" t="str">
        <f t="shared" si="118"/>
        <v>2020-02-11</v>
      </c>
    </row>
    <row r="1057" spans="1:15" x14ac:dyDescent="0.2">
      <c r="A1057" s="21" t="str">
        <f t="shared" si="112"/>
        <v>y</v>
      </c>
      <c r="B1057" s="24">
        <v>44106</v>
      </c>
      <c r="C1057" t="s">
        <v>891</v>
      </c>
      <c r="D1057" t="s">
        <v>13</v>
      </c>
      <c r="E1057" t="s">
        <v>8</v>
      </c>
      <c r="F1057" t="s">
        <v>29</v>
      </c>
      <c r="G1057" t="s">
        <v>917</v>
      </c>
      <c r="H1057" t="s">
        <v>2017</v>
      </c>
      <c r="I1057" s="22" t="str">
        <f t="shared" si="113"/>
        <v>2020-02-10</v>
      </c>
      <c r="J1057" s="23" t="str">
        <f t="shared" si="114"/>
        <v>44</v>
      </c>
      <c r="K1057" t="str">
        <f t="shared" si="115"/>
        <v>yes</v>
      </c>
      <c r="L1057">
        <v>44</v>
      </c>
      <c r="M1057" t="str">
        <f t="shared" si="116"/>
        <v>2020-02-10</v>
      </c>
      <c r="N1057" s="20" t="str">
        <f t="shared" si="117"/>
        <v>2020-02-10</v>
      </c>
      <c r="O1057" t="str">
        <f t="shared" si="118"/>
        <v>2020-02-10</v>
      </c>
    </row>
    <row r="1058" spans="1:15" x14ac:dyDescent="0.2">
      <c r="A1058" s="21" t="str">
        <f t="shared" si="112"/>
        <v>y</v>
      </c>
      <c r="B1058" s="24">
        <v>44106</v>
      </c>
      <c r="C1058" t="s">
        <v>832</v>
      </c>
      <c r="D1058" t="s">
        <v>13</v>
      </c>
      <c r="E1058" t="s">
        <v>27</v>
      </c>
      <c r="F1058" t="s">
        <v>29</v>
      </c>
      <c r="G1058" t="s">
        <v>916</v>
      </c>
      <c r="H1058" t="s">
        <v>2024</v>
      </c>
      <c r="I1058" s="22" t="str">
        <f t="shared" si="113"/>
        <v>2020-02-10</v>
      </c>
      <c r="J1058" s="23" t="str">
        <f t="shared" si="114"/>
        <v>44</v>
      </c>
      <c r="K1058" t="str">
        <f t="shared" si="115"/>
        <v>yes</v>
      </c>
      <c r="L1058">
        <v>44</v>
      </c>
      <c r="M1058" t="str">
        <f t="shared" si="116"/>
        <v>2020-02-10</v>
      </c>
      <c r="N1058" s="20" t="str">
        <f t="shared" si="117"/>
        <v>2020-02-10</v>
      </c>
      <c r="O1058" t="str">
        <f t="shared" si="118"/>
        <v>2020-02-10</v>
      </c>
    </row>
    <row r="1059" spans="1:15" x14ac:dyDescent="0.2">
      <c r="A1059" s="21" t="str">
        <f t="shared" si="112"/>
        <v>y</v>
      </c>
      <c r="B1059" s="24">
        <v>44106</v>
      </c>
      <c r="C1059" t="s">
        <v>235</v>
      </c>
      <c r="D1059" t="s">
        <v>13</v>
      </c>
      <c r="E1059" t="s">
        <v>8</v>
      </c>
      <c r="F1059" t="s">
        <v>29</v>
      </c>
      <c r="G1059" t="s">
        <v>918</v>
      </c>
      <c r="H1059" t="s">
        <v>2017</v>
      </c>
      <c r="I1059" s="22" t="str">
        <f t="shared" si="113"/>
        <v>2020-02-10</v>
      </c>
      <c r="J1059" s="23" t="str">
        <f t="shared" si="114"/>
        <v>44</v>
      </c>
      <c r="K1059" t="str">
        <f t="shared" si="115"/>
        <v>yes</v>
      </c>
      <c r="L1059">
        <v>44</v>
      </c>
      <c r="M1059" t="str">
        <f t="shared" si="116"/>
        <v>2020-02-10</v>
      </c>
      <c r="N1059" s="20" t="str">
        <f t="shared" si="117"/>
        <v>2020-02-10</v>
      </c>
      <c r="O1059" t="str">
        <f t="shared" si="118"/>
        <v>2020-02-10</v>
      </c>
    </row>
    <row r="1060" spans="1:15" x14ac:dyDescent="0.2">
      <c r="A1060" s="21" t="str">
        <f t="shared" si="112"/>
        <v>y</v>
      </c>
      <c r="B1060" s="24">
        <v>44076</v>
      </c>
      <c r="C1060" t="s">
        <v>235</v>
      </c>
      <c r="D1060" t="s">
        <v>13</v>
      </c>
      <c r="E1060" t="s">
        <v>42</v>
      </c>
      <c r="F1060" t="s">
        <v>29</v>
      </c>
      <c r="G1060" t="s">
        <v>913</v>
      </c>
      <c r="H1060" t="s">
        <v>2016</v>
      </c>
      <c r="I1060" s="22" t="str">
        <f t="shared" si="113"/>
        <v>2020-02-09</v>
      </c>
      <c r="J1060" s="23" t="str">
        <f t="shared" si="114"/>
        <v>44</v>
      </c>
      <c r="K1060" t="str">
        <f t="shared" si="115"/>
        <v>yes</v>
      </c>
      <c r="L1060">
        <v>44</v>
      </c>
      <c r="M1060" t="str">
        <f t="shared" si="116"/>
        <v>2020-02-09</v>
      </c>
      <c r="N1060" s="20" t="str">
        <f t="shared" si="117"/>
        <v>2020-02-09</v>
      </c>
      <c r="O1060" t="str">
        <f t="shared" si="118"/>
        <v>2020-02-09</v>
      </c>
    </row>
    <row r="1061" spans="1:15" x14ac:dyDescent="0.2">
      <c r="A1061" s="21" t="str">
        <f t="shared" si="112"/>
        <v>y</v>
      </c>
      <c r="B1061" s="24">
        <v>44076</v>
      </c>
      <c r="C1061" t="s">
        <v>616</v>
      </c>
      <c r="D1061" t="s">
        <v>13</v>
      </c>
      <c r="E1061" t="s">
        <v>34</v>
      </c>
      <c r="F1061" t="s">
        <v>2</v>
      </c>
      <c r="G1061" t="s">
        <v>911</v>
      </c>
      <c r="H1061" t="s">
        <v>2025</v>
      </c>
      <c r="I1061" s="22" t="str">
        <f t="shared" si="113"/>
        <v>2020-02-09</v>
      </c>
      <c r="J1061" s="23" t="str">
        <f t="shared" si="114"/>
        <v>44</v>
      </c>
      <c r="K1061" t="str">
        <f t="shared" si="115"/>
        <v>yes</v>
      </c>
      <c r="L1061">
        <v>44</v>
      </c>
      <c r="M1061" t="str">
        <f t="shared" si="116"/>
        <v>2020-02-09</v>
      </c>
      <c r="N1061" s="20">
        <f t="shared" si="117"/>
        <v>43871</v>
      </c>
      <c r="O1061" t="str">
        <f t="shared" si="118"/>
        <v>2020-02-10</v>
      </c>
    </row>
    <row r="1062" spans="1:15" x14ac:dyDescent="0.2">
      <c r="A1062" s="21" t="str">
        <f t="shared" si="112"/>
        <v>y</v>
      </c>
      <c r="B1062" s="24">
        <v>44076</v>
      </c>
      <c r="C1062" t="s">
        <v>578</v>
      </c>
      <c r="D1062" t="s">
        <v>14</v>
      </c>
      <c r="E1062" t="s">
        <v>27</v>
      </c>
      <c r="F1062" t="s">
        <v>2</v>
      </c>
      <c r="G1062" t="s">
        <v>912</v>
      </c>
      <c r="H1062" t="s">
        <v>1988</v>
      </c>
      <c r="I1062" s="22" t="str">
        <f t="shared" si="113"/>
        <v>2020-02-09</v>
      </c>
      <c r="J1062" s="23" t="str">
        <f t="shared" si="114"/>
        <v>44</v>
      </c>
      <c r="K1062" t="str">
        <f t="shared" si="115"/>
        <v>yes</v>
      </c>
      <c r="L1062">
        <v>44</v>
      </c>
      <c r="M1062" t="str">
        <f t="shared" si="116"/>
        <v>2020-02-09</v>
      </c>
      <c r="N1062" s="20">
        <f t="shared" si="117"/>
        <v>43871</v>
      </c>
      <c r="O1062" t="str">
        <f t="shared" si="118"/>
        <v>2020-02-10</v>
      </c>
    </row>
    <row r="1063" spans="1:15" x14ac:dyDescent="0.2">
      <c r="A1063" s="21" t="str">
        <f t="shared" si="112"/>
        <v>y</v>
      </c>
      <c r="B1063" s="24">
        <v>44076</v>
      </c>
      <c r="C1063" t="s">
        <v>151</v>
      </c>
      <c r="D1063" t="s">
        <v>13</v>
      </c>
      <c r="E1063" t="s">
        <v>64</v>
      </c>
      <c r="F1063" t="s">
        <v>29</v>
      </c>
      <c r="G1063" t="s">
        <v>914</v>
      </c>
      <c r="H1063" t="s">
        <v>2024</v>
      </c>
      <c r="I1063" s="22" t="str">
        <f t="shared" si="113"/>
        <v>2020-02-09</v>
      </c>
      <c r="J1063" s="23" t="str">
        <f t="shared" si="114"/>
        <v>44</v>
      </c>
      <c r="K1063" t="str">
        <f t="shared" si="115"/>
        <v>yes</v>
      </c>
      <c r="L1063">
        <v>44</v>
      </c>
      <c r="M1063" t="str">
        <f t="shared" si="116"/>
        <v>2020-02-09</v>
      </c>
      <c r="N1063" s="20" t="str">
        <f t="shared" si="117"/>
        <v>2020-02-09</v>
      </c>
      <c r="O1063" t="str">
        <f t="shared" si="118"/>
        <v>2020-02-09</v>
      </c>
    </row>
    <row r="1064" spans="1:15" x14ac:dyDescent="0.2">
      <c r="A1064" s="21" t="str">
        <f t="shared" si="112"/>
        <v>y</v>
      </c>
      <c r="B1064" s="24">
        <v>44076</v>
      </c>
      <c r="C1064" t="s">
        <v>891</v>
      </c>
      <c r="D1064" t="s">
        <v>13</v>
      </c>
      <c r="E1064" t="s">
        <v>49</v>
      </c>
      <c r="F1064" t="s">
        <v>29</v>
      </c>
      <c r="G1064" t="s">
        <v>915</v>
      </c>
      <c r="H1064" t="s">
        <v>2017</v>
      </c>
      <c r="I1064" s="22" t="str">
        <f t="shared" si="113"/>
        <v>2020-02-09</v>
      </c>
      <c r="J1064" s="23" t="str">
        <f t="shared" si="114"/>
        <v>44</v>
      </c>
      <c r="K1064" t="str">
        <f t="shared" si="115"/>
        <v>yes</v>
      </c>
      <c r="L1064">
        <v>44</v>
      </c>
      <c r="M1064" t="str">
        <f t="shared" si="116"/>
        <v>2020-02-09</v>
      </c>
      <c r="N1064" s="20" t="str">
        <f t="shared" si="117"/>
        <v>2020-02-09</v>
      </c>
      <c r="O1064" t="str">
        <f t="shared" si="118"/>
        <v>2020-02-09</v>
      </c>
    </row>
    <row r="1065" spans="1:15" x14ac:dyDescent="0.2">
      <c r="A1065" s="21" t="str">
        <f t="shared" si="112"/>
        <v>y</v>
      </c>
      <c r="B1065" s="24">
        <v>44045</v>
      </c>
      <c r="C1065" t="s">
        <v>235</v>
      </c>
      <c r="D1065" t="s">
        <v>13</v>
      </c>
      <c r="E1065" t="s">
        <v>42</v>
      </c>
      <c r="F1065" t="s">
        <v>2</v>
      </c>
      <c r="G1065" t="s">
        <v>910</v>
      </c>
      <c r="H1065" t="s">
        <v>2016</v>
      </c>
      <c r="I1065" s="22" t="str">
        <f t="shared" si="113"/>
        <v>2020-02-08</v>
      </c>
      <c r="J1065" s="23" t="str">
        <f t="shared" si="114"/>
        <v>44</v>
      </c>
      <c r="K1065" t="str">
        <f t="shared" si="115"/>
        <v>yes</v>
      </c>
      <c r="L1065">
        <v>44</v>
      </c>
      <c r="M1065" t="str">
        <f t="shared" si="116"/>
        <v>2020-02-08</v>
      </c>
      <c r="N1065" s="20">
        <f t="shared" si="117"/>
        <v>43870</v>
      </c>
      <c r="O1065" t="str">
        <f t="shared" si="118"/>
        <v>2020-02-09</v>
      </c>
    </row>
    <row r="1066" spans="1:15" x14ac:dyDescent="0.2">
      <c r="A1066" s="21" t="str">
        <f t="shared" si="112"/>
        <v>y</v>
      </c>
      <c r="B1066" s="24">
        <v>44045</v>
      </c>
      <c r="C1066" t="s">
        <v>616</v>
      </c>
      <c r="D1066" t="s">
        <v>13</v>
      </c>
      <c r="E1066" t="s">
        <v>34</v>
      </c>
      <c r="F1066" t="s">
        <v>2</v>
      </c>
      <c r="H1066" t="s">
        <v>2025</v>
      </c>
      <c r="I1066" s="22" t="str">
        <f t="shared" si="113"/>
        <v>2020-02-08</v>
      </c>
      <c r="J1066" s="23" t="str">
        <f t="shared" si="114"/>
        <v>44</v>
      </c>
      <c r="K1066" t="str">
        <f t="shared" si="115"/>
        <v>yes</v>
      </c>
      <c r="L1066">
        <v>44</v>
      </c>
      <c r="M1066" t="str">
        <f t="shared" si="116"/>
        <v>2020-02-08</v>
      </c>
      <c r="N1066" s="20">
        <f t="shared" si="117"/>
        <v>43870</v>
      </c>
      <c r="O1066" t="str">
        <f t="shared" si="118"/>
        <v>2020-02-09</v>
      </c>
    </row>
    <row r="1067" spans="1:15" x14ac:dyDescent="0.2">
      <c r="A1067" s="21" t="str">
        <f t="shared" si="112"/>
        <v>y</v>
      </c>
      <c r="B1067" s="24">
        <v>44045</v>
      </c>
      <c r="C1067" t="s">
        <v>578</v>
      </c>
      <c r="D1067" t="s">
        <v>14</v>
      </c>
      <c r="E1067" t="s">
        <v>27</v>
      </c>
      <c r="F1067" t="s">
        <v>2</v>
      </c>
      <c r="H1067" t="s">
        <v>2017</v>
      </c>
      <c r="I1067" s="22" t="str">
        <f t="shared" si="113"/>
        <v>2020-02-08</v>
      </c>
      <c r="J1067" s="23" t="str">
        <f t="shared" si="114"/>
        <v>44</v>
      </c>
      <c r="K1067" t="str">
        <f t="shared" si="115"/>
        <v>yes</v>
      </c>
      <c r="L1067">
        <v>44</v>
      </c>
      <c r="M1067" t="str">
        <f t="shared" si="116"/>
        <v>2020-02-08</v>
      </c>
      <c r="N1067" s="20">
        <f t="shared" si="117"/>
        <v>43870</v>
      </c>
      <c r="O1067" t="str">
        <f t="shared" si="118"/>
        <v>2020-02-09</v>
      </c>
    </row>
    <row r="1068" spans="1:15" x14ac:dyDescent="0.2">
      <c r="A1068" s="21" t="str">
        <f t="shared" si="112"/>
        <v>y</v>
      </c>
      <c r="B1068" s="24">
        <v>43984</v>
      </c>
      <c r="C1068" t="s">
        <v>235</v>
      </c>
      <c r="D1068" t="s">
        <v>13</v>
      </c>
      <c r="E1068" t="s">
        <v>42</v>
      </c>
      <c r="F1068" t="s">
        <v>2</v>
      </c>
      <c r="G1068" t="s">
        <v>909</v>
      </c>
      <c r="H1068" t="s">
        <v>2016</v>
      </c>
      <c r="I1068" s="22" t="str">
        <f t="shared" si="113"/>
        <v>2020-02-06</v>
      </c>
      <c r="J1068" s="23" t="str">
        <f t="shared" si="114"/>
        <v>43</v>
      </c>
      <c r="K1068" t="str">
        <f t="shared" si="115"/>
        <v>yes</v>
      </c>
      <c r="L1068">
        <v>43</v>
      </c>
      <c r="M1068" t="str">
        <f t="shared" si="116"/>
        <v>2020-02-06</v>
      </c>
      <c r="N1068" s="20">
        <f t="shared" si="117"/>
        <v>43868</v>
      </c>
      <c r="O1068" t="str">
        <f t="shared" si="118"/>
        <v>2020-02-07</v>
      </c>
    </row>
    <row r="1069" spans="1:15" x14ac:dyDescent="0.2">
      <c r="A1069" s="21" t="str">
        <f t="shared" si="112"/>
        <v>y</v>
      </c>
      <c r="B1069" s="24">
        <v>43984</v>
      </c>
      <c r="C1069" t="s">
        <v>616</v>
      </c>
      <c r="D1069" t="s">
        <v>13</v>
      </c>
      <c r="E1069" t="s">
        <v>34</v>
      </c>
      <c r="F1069" t="s">
        <v>2</v>
      </c>
      <c r="H1069" t="s">
        <v>2026</v>
      </c>
      <c r="I1069" s="22" t="str">
        <f t="shared" si="113"/>
        <v>2020-02-06</v>
      </c>
      <c r="J1069" s="23" t="str">
        <f t="shared" si="114"/>
        <v>43</v>
      </c>
      <c r="K1069" t="str">
        <f t="shared" si="115"/>
        <v>yes</v>
      </c>
      <c r="L1069">
        <v>43</v>
      </c>
      <c r="M1069" t="str">
        <f t="shared" si="116"/>
        <v>2020-02-06</v>
      </c>
      <c r="N1069" s="20">
        <f t="shared" si="117"/>
        <v>43868</v>
      </c>
      <c r="O1069" t="str">
        <f t="shared" si="118"/>
        <v>2020-02-07</v>
      </c>
    </row>
    <row r="1070" spans="1:15" x14ac:dyDescent="0.2">
      <c r="A1070" s="21" t="str">
        <f t="shared" si="112"/>
        <v>y</v>
      </c>
      <c r="B1070" s="24">
        <v>43984</v>
      </c>
      <c r="C1070" t="s">
        <v>891</v>
      </c>
      <c r="D1070" t="s">
        <v>13</v>
      </c>
      <c r="E1070" t="s">
        <v>27</v>
      </c>
      <c r="F1070" t="s">
        <v>2</v>
      </c>
      <c r="H1070" t="s">
        <v>2024</v>
      </c>
      <c r="I1070" s="22" t="str">
        <f t="shared" si="113"/>
        <v>2020-02-06</v>
      </c>
      <c r="J1070" s="23" t="str">
        <f t="shared" si="114"/>
        <v>43</v>
      </c>
      <c r="K1070" t="str">
        <f t="shared" si="115"/>
        <v>yes</v>
      </c>
      <c r="L1070">
        <v>43</v>
      </c>
      <c r="M1070" t="str">
        <f t="shared" si="116"/>
        <v>2020-02-06</v>
      </c>
      <c r="N1070" s="20">
        <f t="shared" si="117"/>
        <v>43868</v>
      </c>
      <c r="O1070" t="str">
        <f t="shared" si="118"/>
        <v>2020-02-07</v>
      </c>
    </row>
    <row r="1071" spans="1:15" x14ac:dyDescent="0.2">
      <c r="A1071" s="21" t="str">
        <f t="shared" si="112"/>
        <v>y</v>
      </c>
      <c r="B1071" s="24">
        <v>43984</v>
      </c>
      <c r="C1071" t="s">
        <v>65</v>
      </c>
      <c r="D1071" t="s">
        <v>14</v>
      </c>
      <c r="E1071" t="s">
        <v>27</v>
      </c>
      <c r="F1071" t="s">
        <v>2</v>
      </c>
      <c r="H1071" t="s">
        <v>2016</v>
      </c>
      <c r="I1071" s="22" t="str">
        <f t="shared" si="113"/>
        <v>2020-02-06</v>
      </c>
      <c r="J1071" s="23" t="str">
        <f t="shared" si="114"/>
        <v>43</v>
      </c>
      <c r="K1071" t="str">
        <f t="shared" si="115"/>
        <v>yes</v>
      </c>
      <c r="L1071">
        <v>43</v>
      </c>
      <c r="M1071" t="str">
        <f t="shared" si="116"/>
        <v>2020-02-06</v>
      </c>
      <c r="N1071" s="20">
        <f t="shared" si="117"/>
        <v>43868</v>
      </c>
      <c r="O1071" t="str">
        <f t="shared" si="118"/>
        <v>2020-02-07</v>
      </c>
    </row>
    <row r="1072" spans="1:15" x14ac:dyDescent="0.2">
      <c r="A1072" s="21" t="str">
        <f t="shared" si="112"/>
        <v>y</v>
      </c>
      <c r="B1072" s="24">
        <v>43953</v>
      </c>
      <c r="C1072" t="s">
        <v>616</v>
      </c>
      <c r="D1072" t="s">
        <v>13</v>
      </c>
      <c r="E1072" t="s">
        <v>8</v>
      </c>
      <c r="F1072" t="s">
        <v>2</v>
      </c>
      <c r="H1072" t="s">
        <v>1988</v>
      </c>
      <c r="I1072" s="22" t="str">
        <f t="shared" si="113"/>
        <v>2020-02-05</v>
      </c>
      <c r="J1072" s="23" t="str">
        <f t="shared" si="114"/>
        <v>43</v>
      </c>
      <c r="K1072" t="str">
        <f t="shared" si="115"/>
        <v>yes</v>
      </c>
      <c r="L1072">
        <v>43</v>
      </c>
      <c r="M1072" t="str">
        <f t="shared" si="116"/>
        <v>2020-02-05</v>
      </c>
      <c r="N1072" s="20">
        <f t="shared" si="117"/>
        <v>43867</v>
      </c>
      <c r="O1072" t="str">
        <f t="shared" si="118"/>
        <v>2020-02-06</v>
      </c>
    </row>
    <row r="1073" spans="1:15" x14ac:dyDescent="0.2">
      <c r="A1073" s="21" t="str">
        <f t="shared" si="112"/>
        <v>y</v>
      </c>
      <c r="B1073" s="24">
        <v>43953</v>
      </c>
      <c r="C1073" t="s">
        <v>151</v>
      </c>
      <c r="D1073" t="s">
        <v>13</v>
      </c>
      <c r="E1073" t="s">
        <v>27</v>
      </c>
      <c r="F1073" t="s">
        <v>29</v>
      </c>
      <c r="G1073" t="s">
        <v>905</v>
      </c>
      <c r="H1073" t="s">
        <v>2017</v>
      </c>
      <c r="I1073" s="22" t="str">
        <f t="shared" si="113"/>
        <v>2020-02-05</v>
      </c>
      <c r="J1073" s="23" t="str">
        <f t="shared" si="114"/>
        <v>43</v>
      </c>
      <c r="K1073" t="str">
        <f t="shared" si="115"/>
        <v>yes</v>
      </c>
      <c r="L1073">
        <v>43</v>
      </c>
      <c r="M1073" t="str">
        <f t="shared" si="116"/>
        <v>2020-02-05</v>
      </c>
      <c r="N1073" s="20" t="str">
        <f t="shared" si="117"/>
        <v>2020-02-05</v>
      </c>
      <c r="O1073" t="str">
        <f t="shared" si="118"/>
        <v>2020-02-05</v>
      </c>
    </row>
    <row r="1074" spans="1:15" x14ac:dyDescent="0.2">
      <c r="A1074" s="21" t="str">
        <f t="shared" si="112"/>
        <v>y</v>
      </c>
      <c r="B1074" s="24">
        <v>43953</v>
      </c>
      <c r="C1074" t="s">
        <v>235</v>
      </c>
      <c r="D1074" t="s">
        <v>13</v>
      </c>
      <c r="E1074" t="s">
        <v>42</v>
      </c>
      <c r="F1074" t="s">
        <v>2</v>
      </c>
      <c r="G1074" t="s">
        <v>906</v>
      </c>
      <c r="H1074" t="s">
        <v>2016</v>
      </c>
      <c r="I1074" s="22" t="str">
        <f t="shared" si="113"/>
        <v>2020-02-05</v>
      </c>
      <c r="J1074" s="23" t="str">
        <f t="shared" si="114"/>
        <v>43</v>
      </c>
      <c r="K1074" t="str">
        <f t="shared" si="115"/>
        <v>yes</v>
      </c>
      <c r="L1074">
        <v>43</v>
      </c>
      <c r="M1074" t="str">
        <f t="shared" si="116"/>
        <v>2020-02-05</v>
      </c>
      <c r="N1074" s="20">
        <f t="shared" si="117"/>
        <v>43867</v>
      </c>
      <c r="O1074" t="str">
        <f t="shared" si="118"/>
        <v>2020-02-06</v>
      </c>
    </row>
    <row r="1075" spans="1:15" x14ac:dyDescent="0.2">
      <c r="A1075" s="21" t="str">
        <f t="shared" si="112"/>
        <v>y</v>
      </c>
      <c r="B1075" s="24">
        <v>43953</v>
      </c>
      <c r="C1075" t="s">
        <v>891</v>
      </c>
      <c r="D1075" t="s">
        <v>13</v>
      </c>
      <c r="E1075" t="s">
        <v>27</v>
      </c>
      <c r="F1075" t="s">
        <v>29</v>
      </c>
      <c r="G1075" t="s">
        <v>907</v>
      </c>
      <c r="H1075" t="s">
        <v>2024</v>
      </c>
      <c r="I1075" s="22" t="str">
        <f t="shared" si="113"/>
        <v>2020-02-05</v>
      </c>
      <c r="J1075" s="23" t="str">
        <f t="shared" si="114"/>
        <v>43</v>
      </c>
      <c r="K1075" t="str">
        <f t="shared" si="115"/>
        <v>yes</v>
      </c>
      <c r="L1075">
        <v>43</v>
      </c>
      <c r="M1075" t="str">
        <f t="shared" si="116"/>
        <v>2020-02-05</v>
      </c>
      <c r="N1075" s="20" t="str">
        <f t="shared" si="117"/>
        <v>2020-02-05</v>
      </c>
      <c r="O1075" t="str">
        <f t="shared" si="118"/>
        <v>2020-02-05</v>
      </c>
    </row>
    <row r="1076" spans="1:15" x14ac:dyDescent="0.2">
      <c r="A1076" s="21" t="str">
        <f t="shared" si="112"/>
        <v>y</v>
      </c>
      <c r="B1076" s="24">
        <v>43953</v>
      </c>
      <c r="C1076" t="s">
        <v>616</v>
      </c>
      <c r="D1076" t="s">
        <v>13</v>
      </c>
      <c r="E1076" t="s">
        <v>34</v>
      </c>
      <c r="F1076" t="s">
        <v>2</v>
      </c>
      <c r="G1076" t="s">
        <v>908</v>
      </c>
      <c r="H1076" t="s">
        <v>2017</v>
      </c>
      <c r="I1076" s="22" t="str">
        <f t="shared" si="113"/>
        <v>2020-02-05</v>
      </c>
      <c r="J1076" s="23" t="str">
        <f t="shared" si="114"/>
        <v>43</v>
      </c>
      <c r="K1076" t="str">
        <f t="shared" si="115"/>
        <v>yes</v>
      </c>
      <c r="L1076">
        <v>43</v>
      </c>
      <c r="M1076" t="str">
        <f t="shared" si="116"/>
        <v>2020-02-05</v>
      </c>
      <c r="N1076" s="20">
        <f t="shared" si="117"/>
        <v>43867</v>
      </c>
      <c r="O1076" t="str">
        <f t="shared" si="118"/>
        <v>2020-02-06</v>
      </c>
    </row>
    <row r="1077" spans="1:15" x14ac:dyDescent="0.2">
      <c r="A1077" s="21" t="str">
        <f t="shared" si="112"/>
        <v>y</v>
      </c>
      <c r="B1077" s="24">
        <v>43923</v>
      </c>
      <c r="C1077" t="s">
        <v>235</v>
      </c>
      <c r="D1077" t="s">
        <v>13</v>
      </c>
      <c r="E1077" t="s">
        <v>43</v>
      </c>
      <c r="F1077" t="s">
        <v>29</v>
      </c>
      <c r="G1077" t="s">
        <v>903</v>
      </c>
      <c r="H1077" t="s">
        <v>2016</v>
      </c>
      <c r="I1077" s="22" t="str">
        <f t="shared" si="113"/>
        <v>2020-02-04</v>
      </c>
      <c r="J1077" s="23" t="str">
        <f t="shared" si="114"/>
        <v>43</v>
      </c>
      <c r="K1077" t="str">
        <f t="shared" si="115"/>
        <v>yes</v>
      </c>
      <c r="L1077">
        <v>43</v>
      </c>
      <c r="M1077" t="str">
        <f t="shared" si="116"/>
        <v>2020-02-04</v>
      </c>
      <c r="N1077" s="20" t="str">
        <f t="shared" si="117"/>
        <v>2020-02-04</v>
      </c>
      <c r="O1077" t="str">
        <f t="shared" si="118"/>
        <v>2020-02-04</v>
      </c>
    </row>
    <row r="1078" spans="1:15" x14ac:dyDescent="0.2">
      <c r="A1078" s="21" t="str">
        <f t="shared" si="112"/>
        <v>y</v>
      </c>
      <c r="B1078" s="24">
        <v>43923</v>
      </c>
      <c r="C1078" t="s">
        <v>616</v>
      </c>
      <c r="D1078" t="s">
        <v>13</v>
      </c>
      <c r="E1078" t="s">
        <v>49</v>
      </c>
      <c r="F1078" t="s">
        <v>2</v>
      </c>
      <c r="G1078" t="s">
        <v>904</v>
      </c>
      <c r="H1078" t="s">
        <v>2017</v>
      </c>
      <c r="I1078" s="22" t="str">
        <f t="shared" si="113"/>
        <v>2020-02-04</v>
      </c>
      <c r="J1078" s="23" t="str">
        <f t="shared" si="114"/>
        <v>43</v>
      </c>
      <c r="K1078" t="str">
        <f t="shared" si="115"/>
        <v>yes</v>
      </c>
      <c r="L1078">
        <v>43</v>
      </c>
      <c r="M1078" t="str">
        <f t="shared" si="116"/>
        <v>2020-02-04</v>
      </c>
      <c r="N1078" s="20">
        <f t="shared" si="117"/>
        <v>43866</v>
      </c>
      <c r="O1078" t="str">
        <f t="shared" si="118"/>
        <v>2020-02-05</v>
      </c>
    </row>
    <row r="1079" spans="1:15" x14ac:dyDescent="0.2">
      <c r="A1079" s="21" t="str">
        <f t="shared" si="112"/>
        <v>y</v>
      </c>
      <c r="B1079" s="24">
        <v>43892</v>
      </c>
      <c r="C1079" t="s">
        <v>235</v>
      </c>
      <c r="D1079" t="s">
        <v>13</v>
      </c>
      <c r="E1079" t="s">
        <v>49</v>
      </c>
      <c r="F1079" t="s">
        <v>2</v>
      </c>
      <c r="H1079" t="s">
        <v>2016</v>
      </c>
      <c r="I1079" s="22" t="str">
        <f t="shared" si="113"/>
        <v>2020-02-03</v>
      </c>
      <c r="J1079" s="23" t="str">
        <f t="shared" si="114"/>
        <v>43</v>
      </c>
      <c r="K1079" t="str">
        <f t="shared" si="115"/>
        <v>yes</v>
      </c>
      <c r="L1079">
        <v>43</v>
      </c>
      <c r="M1079" t="str">
        <f t="shared" si="116"/>
        <v>2020-02-03</v>
      </c>
      <c r="N1079" s="20">
        <f t="shared" si="117"/>
        <v>43865</v>
      </c>
      <c r="O1079" t="str">
        <f t="shared" si="118"/>
        <v>2020-02-04</v>
      </c>
    </row>
    <row r="1080" spans="1:15" x14ac:dyDescent="0.2">
      <c r="A1080" s="21" t="str">
        <f t="shared" si="112"/>
        <v>y</v>
      </c>
      <c r="B1080" s="24">
        <v>43892</v>
      </c>
      <c r="C1080" t="s">
        <v>616</v>
      </c>
      <c r="D1080" t="s">
        <v>13</v>
      </c>
      <c r="E1080" t="s">
        <v>49</v>
      </c>
      <c r="F1080" t="s">
        <v>29</v>
      </c>
      <c r="G1080" t="s">
        <v>902</v>
      </c>
      <c r="H1080" t="s">
        <v>2017</v>
      </c>
      <c r="I1080" s="22" t="str">
        <f t="shared" si="113"/>
        <v>2020-02-03</v>
      </c>
      <c r="J1080" s="23" t="str">
        <f t="shared" si="114"/>
        <v>43</v>
      </c>
      <c r="K1080" t="str">
        <f t="shared" si="115"/>
        <v>yes</v>
      </c>
      <c r="L1080">
        <v>43</v>
      </c>
      <c r="M1080" t="str">
        <f t="shared" si="116"/>
        <v>2020-02-03</v>
      </c>
      <c r="N1080" s="20" t="str">
        <f t="shared" si="117"/>
        <v>2020-02-03</v>
      </c>
      <c r="O1080" t="str">
        <f t="shared" si="118"/>
        <v>2020-02-03</v>
      </c>
    </row>
    <row r="1081" spans="1:15" x14ac:dyDescent="0.2">
      <c r="A1081" s="21" t="str">
        <f t="shared" si="112"/>
        <v>y</v>
      </c>
      <c r="B1081" s="24">
        <v>43863</v>
      </c>
      <c r="C1081" t="s">
        <v>235</v>
      </c>
      <c r="D1081" t="s">
        <v>13</v>
      </c>
      <c r="E1081" t="s">
        <v>49</v>
      </c>
      <c r="F1081" t="s">
        <v>2</v>
      </c>
      <c r="G1081" t="s">
        <v>898</v>
      </c>
      <c r="H1081" t="s">
        <v>2016</v>
      </c>
      <c r="I1081" s="22" t="str">
        <f t="shared" si="113"/>
        <v>2020-02-02</v>
      </c>
      <c r="J1081" s="23" t="str">
        <f t="shared" si="114"/>
        <v>43</v>
      </c>
      <c r="K1081" t="str">
        <f t="shared" si="115"/>
        <v>yes</v>
      </c>
      <c r="L1081">
        <v>43</v>
      </c>
      <c r="M1081" t="str">
        <f t="shared" si="116"/>
        <v>2020-02-02</v>
      </c>
      <c r="N1081" s="20">
        <f t="shared" si="117"/>
        <v>43864</v>
      </c>
      <c r="O1081" t="str">
        <f t="shared" si="118"/>
        <v>2020-02-03</v>
      </c>
    </row>
    <row r="1082" spans="1:15" x14ac:dyDescent="0.2">
      <c r="A1082" s="21" t="str">
        <f t="shared" si="112"/>
        <v>y</v>
      </c>
      <c r="B1082" s="24">
        <v>43863</v>
      </c>
      <c r="C1082" t="s">
        <v>235</v>
      </c>
      <c r="D1082" t="s">
        <v>13</v>
      </c>
      <c r="E1082" t="s">
        <v>22</v>
      </c>
      <c r="F1082" t="s">
        <v>29</v>
      </c>
      <c r="G1082" t="s">
        <v>899</v>
      </c>
      <c r="H1082" t="s">
        <v>2017</v>
      </c>
      <c r="I1082" s="22" t="str">
        <f t="shared" si="113"/>
        <v>2020-02-02</v>
      </c>
      <c r="J1082" s="23" t="str">
        <f t="shared" si="114"/>
        <v>43</v>
      </c>
      <c r="K1082" t="str">
        <f t="shared" si="115"/>
        <v>yes</v>
      </c>
      <c r="L1082">
        <v>43</v>
      </c>
      <c r="M1082" t="str">
        <f t="shared" si="116"/>
        <v>2020-02-02</v>
      </c>
      <c r="N1082" s="20" t="str">
        <f t="shared" si="117"/>
        <v>2020-02-02</v>
      </c>
      <c r="O1082" t="str">
        <f t="shared" si="118"/>
        <v>2020-02-02</v>
      </c>
    </row>
    <row r="1083" spans="1:15" x14ac:dyDescent="0.2">
      <c r="A1083" s="21" t="str">
        <f t="shared" si="112"/>
        <v>y</v>
      </c>
      <c r="B1083" s="24">
        <v>43863</v>
      </c>
      <c r="C1083" t="s">
        <v>616</v>
      </c>
      <c r="D1083" t="s">
        <v>13</v>
      </c>
      <c r="E1083" t="s">
        <v>8</v>
      </c>
      <c r="F1083" t="s">
        <v>29</v>
      </c>
      <c r="G1083" t="s">
        <v>897</v>
      </c>
      <c r="H1083" t="s">
        <v>2023</v>
      </c>
      <c r="I1083" s="22" t="str">
        <f t="shared" si="113"/>
        <v>2020-02-02</v>
      </c>
      <c r="J1083" s="23" t="str">
        <f t="shared" si="114"/>
        <v>43</v>
      </c>
      <c r="K1083" t="str">
        <f t="shared" si="115"/>
        <v>yes</v>
      </c>
      <c r="L1083">
        <v>43</v>
      </c>
      <c r="M1083" t="str">
        <f t="shared" si="116"/>
        <v>2020-02-02</v>
      </c>
      <c r="N1083" s="20" t="str">
        <f t="shared" si="117"/>
        <v>2020-02-02</v>
      </c>
      <c r="O1083" t="str">
        <f t="shared" si="118"/>
        <v>2020-02-02</v>
      </c>
    </row>
    <row r="1084" spans="1:15" x14ac:dyDescent="0.2">
      <c r="A1084" s="21" t="str">
        <f t="shared" si="112"/>
        <v>y</v>
      </c>
      <c r="B1084" s="24">
        <v>43863</v>
      </c>
      <c r="C1084" t="s">
        <v>901</v>
      </c>
      <c r="D1084" t="s">
        <v>13</v>
      </c>
      <c r="E1084" t="s">
        <v>8</v>
      </c>
      <c r="F1084" t="s">
        <v>29</v>
      </c>
      <c r="G1084" t="s">
        <v>900</v>
      </c>
      <c r="H1084" t="s">
        <v>2017</v>
      </c>
      <c r="I1084" s="22" t="str">
        <f t="shared" si="113"/>
        <v>2020-02-02</v>
      </c>
      <c r="J1084" s="23" t="str">
        <f t="shared" si="114"/>
        <v>43</v>
      </c>
      <c r="K1084" t="str">
        <f t="shared" si="115"/>
        <v>yes</v>
      </c>
      <c r="L1084">
        <v>43</v>
      </c>
      <c r="M1084" t="str">
        <f t="shared" si="116"/>
        <v>2020-02-02</v>
      </c>
      <c r="N1084" s="20" t="str">
        <f t="shared" si="117"/>
        <v>2020-02-02</v>
      </c>
      <c r="O1084" t="str">
        <f t="shared" si="118"/>
        <v>2020-02-02</v>
      </c>
    </row>
    <row r="1085" spans="1:15" x14ac:dyDescent="0.2">
      <c r="A1085" s="21" t="str">
        <f t="shared" si="112"/>
        <v>y</v>
      </c>
      <c r="B1085" s="24">
        <v>43832</v>
      </c>
      <c r="C1085" t="s">
        <v>235</v>
      </c>
      <c r="D1085" t="s">
        <v>13</v>
      </c>
      <c r="E1085" t="s">
        <v>21</v>
      </c>
      <c r="F1085" t="s">
        <v>29</v>
      </c>
      <c r="G1085" t="s">
        <v>896</v>
      </c>
      <c r="H1085" t="s">
        <v>2017</v>
      </c>
      <c r="I1085" s="22" t="str">
        <f t="shared" si="113"/>
        <v>2020-02-01</v>
      </c>
      <c r="J1085" s="23" t="str">
        <f t="shared" si="114"/>
        <v>43</v>
      </c>
      <c r="K1085" t="str">
        <f t="shared" si="115"/>
        <v>yes</v>
      </c>
      <c r="L1085">
        <v>43</v>
      </c>
      <c r="M1085" t="str">
        <f t="shared" si="116"/>
        <v>2020-02-01</v>
      </c>
      <c r="N1085" s="20" t="str">
        <f t="shared" si="117"/>
        <v>2020-02-01</v>
      </c>
      <c r="O1085" t="str">
        <f t="shared" si="118"/>
        <v>2020-02-01</v>
      </c>
    </row>
    <row r="1086" spans="1:15" x14ac:dyDescent="0.2">
      <c r="A1086" s="21" t="str">
        <f t="shared" si="112"/>
        <v>y</v>
      </c>
      <c r="B1086" s="24">
        <v>43832</v>
      </c>
      <c r="C1086" t="s">
        <v>235</v>
      </c>
      <c r="D1086" t="s">
        <v>13</v>
      </c>
      <c r="E1086" t="s">
        <v>31</v>
      </c>
      <c r="F1086" t="s">
        <v>2</v>
      </c>
      <c r="H1086" t="s">
        <v>2017</v>
      </c>
      <c r="I1086" s="22" t="str">
        <f t="shared" si="113"/>
        <v>2020-02-01</v>
      </c>
      <c r="J1086" s="23" t="str">
        <f t="shared" si="114"/>
        <v>43</v>
      </c>
      <c r="K1086" t="str">
        <f t="shared" si="115"/>
        <v>yes</v>
      </c>
      <c r="L1086">
        <v>43</v>
      </c>
      <c r="M1086" t="str">
        <f t="shared" si="116"/>
        <v>2020-02-01</v>
      </c>
      <c r="N1086" s="20">
        <f t="shared" si="117"/>
        <v>43863</v>
      </c>
      <c r="O1086" t="str">
        <f t="shared" si="118"/>
        <v>2020-02-02</v>
      </c>
    </row>
    <row r="1087" spans="1:15" x14ac:dyDescent="0.2">
      <c r="A1087" s="21" t="str">
        <f t="shared" si="112"/>
        <v>y</v>
      </c>
      <c r="B1087" s="24" t="s">
        <v>1760</v>
      </c>
      <c r="C1087" t="s">
        <v>235</v>
      </c>
      <c r="D1087" t="s">
        <v>13</v>
      </c>
      <c r="E1087" t="s">
        <v>34</v>
      </c>
      <c r="F1087" t="s">
        <v>2</v>
      </c>
      <c r="G1087" t="s">
        <v>894</v>
      </c>
      <c r="H1087" t="s">
        <v>2017</v>
      </c>
      <c r="I1087" s="22" t="str">
        <f t="shared" si="113"/>
        <v>2020-01-30</v>
      </c>
      <c r="J1087" s="23" t="str">
        <f t="shared" si="114"/>
        <v>30</v>
      </c>
      <c r="K1087" t="str">
        <f t="shared" si="115"/>
        <v>no</v>
      </c>
      <c r="L1087">
        <v>30</v>
      </c>
      <c r="M1087" t="str">
        <f t="shared" si="116"/>
        <v>2020-01-30</v>
      </c>
      <c r="N1087" s="20">
        <f t="shared" si="117"/>
        <v>43861</v>
      </c>
      <c r="O1087" t="str">
        <f t="shared" si="118"/>
        <v>2020-01-31</v>
      </c>
    </row>
    <row r="1088" spans="1:15" x14ac:dyDescent="0.2">
      <c r="A1088" s="21" t="str">
        <f t="shared" si="112"/>
        <v>y</v>
      </c>
      <c r="B1088" s="24" t="s">
        <v>1760</v>
      </c>
      <c r="C1088" t="s">
        <v>891</v>
      </c>
      <c r="D1088" t="s">
        <v>13</v>
      </c>
      <c r="E1088" t="s">
        <v>27</v>
      </c>
      <c r="F1088" t="s">
        <v>29</v>
      </c>
      <c r="G1088" t="s">
        <v>895</v>
      </c>
      <c r="H1088" t="s">
        <v>1988</v>
      </c>
      <c r="I1088" s="22" t="str">
        <f t="shared" si="113"/>
        <v>2020-01-30</v>
      </c>
      <c r="J1088" s="23" t="str">
        <f t="shared" si="114"/>
        <v>30</v>
      </c>
      <c r="K1088" t="str">
        <f t="shared" si="115"/>
        <v>no</v>
      </c>
      <c r="L1088">
        <v>30</v>
      </c>
      <c r="M1088" t="str">
        <f t="shared" si="116"/>
        <v>2020-01-30</v>
      </c>
      <c r="N1088" s="20" t="str">
        <f t="shared" si="117"/>
        <v>2020-01-30</v>
      </c>
      <c r="O1088" t="str">
        <f t="shared" si="118"/>
        <v>2020-01-30</v>
      </c>
    </row>
    <row r="1089" spans="1:15" x14ac:dyDescent="0.2">
      <c r="A1089" s="21" t="str">
        <f t="shared" si="112"/>
        <v>y</v>
      </c>
      <c r="B1089" s="24" t="s">
        <v>1760</v>
      </c>
      <c r="C1089" t="s">
        <v>235</v>
      </c>
      <c r="D1089" t="s">
        <v>13</v>
      </c>
      <c r="E1089" t="s">
        <v>8</v>
      </c>
      <c r="F1089" t="s">
        <v>29</v>
      </c>
      <c r="G1089" t="s">
        <v>893</v>
      </c>
      <c r="H1089" t="s">
        <v>2024</v>
      </c>
      <c r="I1089" s="22" t="str">
        <f t="shared" si="113"/>
        <v>2020-01-30</v>
      </c>
      <c r="J1089" s="23" t="str">
        <f t="shared" si="114"/>
        <v>30</v>
      </c>
      <c r="K1089" t="str">
        <f t="shared" si="115"/>
        <v>no</v>
      </c>
      <c r="L1089">
        <v>30</v>
      </c>
      <c r="M1089" t="str">
        <f t="shared" si="116"/>
        <v>2020-01-30</v>
      </c>
      <c r="N1089" s="20" t="str">
        <f t="shared" si="117"/>
        <v>2020-01-30</v>
      </c>
      <c r="O1089" t="str">
        <f t="shared" si="118"/>
        <v>2020-01-30</v>
      </c>
    </row>
    <row r="1090" spans="1:15" x14ac:dyDescent="0.2">
      <c r="A1090" s="21" t="str">
        <f t="shared" si="112"/>
        <v>y</v>
      </c>
      <c r="B1090" s="24" t="s">
        <v>1760</v>
      </c>
      <c r="C1090" t="s">
        <v>151</v>
      </c>
      <c r="D1090" t="s">
        <v>13</v>
      </c>
      <c r="E1090" t="s">
        <v>64</v>
      </c>
      <c r="F1090" t="s">
        <v>29</v>
      </c>
      <c r="G1090" t="s">
        <v>889</v>
      </c>
      <c r="H1090" t="s">
        <v>2017</v>
      </c>
      <c r="I1090" s="22" t="str">
        <f t="shared" si="113"/>
        <v>2020-01-30</v>
      </c>
      <c r="J1090" s="23" t="str">
        <f t="shared" si="114"/>
        <v>30</v>
      </c>
      <c r="K1090" t="str">
        <f t="shared" si="115"/>
        <v>no</v>
      </c>
      <c r="L1090">
        <v>30</v>
      </c>
      <c r="M1090" t="str">
        <f t="shared" si="116"/>
        <v>2020-01-30</v>
      </c>
      <c r="N1090" s="20" t="str">
        <f t="shared" si="117"/>
        <v>2020-01-30</v>
      </c>
      <c r="O1090" t="str">
        <f t="shared" si="118"/>
        <v>2020-01-30</v>
      </c>
    </row>
    <row r="1091" spans="1:15" x14ac:dyDescent="0.2">
      <c r="A1091" s="21" t="str">
        <f t="shared" si="112"/>
        <v>y</v>
      </c>
      <c r="B1091" s="24" t="s">
        <v>1761</v>
      </c>
      <c r="C1091" t="s">
        <v>235</v>
      </c>
      <c r="D1091" t="s">
        <v>13</v>
      </c>
      <c r="E1091" t="s">
        <v>34</v>
      </c>
      <c r="F1091" t="s">
        <v>2</v>
      </c>
      <c r="G1091" t="s">
        <v>892</v>
      </c>
      <c r="H1091" t="s">
        <v>2017</v>
      </c>
      <c r="I1091" s="22" t="str">
        <f t="shared" si="113"/>
        <v>2020-01-29</v>
      </c>
      <c r="J1091" s="23" t="str">
        <f t="shared" si="114"/>
        <v>29</v>
      </c>
      <c r="K1091" t="str">
        <f t="shared" si="115"/>
        <v>no</v>
      </c>
      <c r="L1091">
        <v>29</v>
      </c>
      <c r="M1091" t="str">
        <f t="shared" si="116"/>
        <v>2020-01-29</v>
      </c>
      <c r="N1091" s="20">
        <f t="shared" si="117"/>
        <v>43860</v>
      </c>
      <c r="O1091" t="str">
        <f t="shared" si="118"/>
        <v>2020-01-30</v>
      </c>
    </row>
    <row r="1092" spans="1:15" x14ac:dyDescent="0.2">
      <c r="A1092" s="21" t="str">
        <f t="shared" ref="A1092:A1155" si="119">IF(LEFT(B1092,2)&gt;12,"y","-")</f>
        <v>y</v>
      </c>
      <c r="B1092" s="24" t="s">
        <v>1762</v>
      </c>
      <c r="C1092" t="s">
        <v>235</v>
      </c>
      <c r="D1092" t="s">
        <v>13</v>
      </c>
      <c r="E1092" t="s">
        <v>31</v>
      </c>
      <c r="F1092" t="s">
        <v>29</v>
      </c>
      <c r="G1092" t="s">
        <v>888</v>
      </c>
      <c r="H1092" t="s">
        <v>2017</v>
      </c>
      <c r="I1092" s="22" t="str">
        <f t="shared" ref="I1092:I1155" si="120">IF(K1092="yes",TEXT(B1092,"YYYY-DD-MM"),TEXT(B1092,"YYYY-MM-DD"))</f>
        <v>2020-01-28</v>
      </c>
      <c r="J1092" s="23" t="str">
        <f t="shared" ref="J1092:J1155" si="121">LEFT(B1092,2)</f>
        <v>28</v>
      </c>
      <c r="K1092" t="str">
        <f t="shared" ref="K1092:K1155" si="122">IF(L1092&gt;31,"yes","no")</f>
        <v>no</v>
      </c>
      <c r="L1092">
        <v>28</v>
      </c>
      <c r="M1092" t="str">
        <f t="shared" ref="M1092:M1155" si="123">I1092</f>
        <v>2020-01-28</v>
      </c>
      <c r="N1092" s="20" t="str">
        <f t="shared" ref="N1092:N1155" si="124">IF(F1092="DONE",M1092,M1092+1)</f>
        <v>2020-01-28</v>
      </c>
      <c r="O1092" t="str">
        <f t="shared" ref="O1092:O1155" si="125">TEXT(N1092,"YYYY-MM-DD")</f>
        <v>2020-01-28</v>
      </c>
    </row>
    <row r="1093" spans="1:15" x14ac:dyDescent="0.2">
      <c r="A1093" s="21" t="str">
        <f t="shared" si="119"/>
        <v>y</v>
      </c>
      <c r="B1093" s="24" t="s">
        <v>1762</v>
      </c>
      <c r="C1093" t="s">
        <v>235</v>
      </c>
      <c r="D1093" t="s">
        <v>13</v>
      </c>
      <c r="E1093" t="s">
        <v>34</v>
      </c>
      <c r="F1093" t="s">
        <v>2</v>
      </c>
      <c r="G1093" t="s">
        <v>890</v>
      </c>
      <c r="H1093" t="s">
        <v>1988</v>
      </c>
      <c r="I1093" s="22" t="str">
        <f t="shared" si="120"/>
        <v>2020-01-28</v>
      </c>
      <c r="J1093" s="23" t="str">
        <f t="shared" si="121"/>
        <v>28</v>
      </c>
      <c r="K1093" t="str">
        <f t="shared" si="122"/>
        <v>no</v>
      </c>
      <c r="L1093">
        <v>28</v>
      </c>
      <c r="M1093" t="str">
        <f t="shared" si="123"/>
        <v>2020-01-28</v>
      </c>
      <c r="N1093" s="20">
        <f t="shared" si="124"/>
        <v>43859</v>
      </c>
      <c r="O1093" t="str">
        <f t="shared" si="125"/>
        <v>2020-01-29</v>
      </c>
    </row>
    <row r="1094" spans="1:15" x14ac:dyDescent="0.2">
      <c r="A1094" s="21" t="str">
        <f t="shared" si="119"/>
        <v>y</v>
      </c>
      <c r="B1094" s="24" t="s">
        <v>1762</v>
      </c>
      <c r="C1094" t="s">
        <v>151</v>
      </c>
      <c r="D1094" t="s">
        <v>13</v>
      </c>
      <c r="E1094" t="s">
        <v>64</v>
      </c>
      <c r="F1094" t="s">
        <v>2</v>
      </c>
      <c r="G1094" t="s">
        <v>889</v>
      </c>
      <c r="H1094" t="s">
        <v>2017</v>
      </c>
      <c r="I1094" s="22" t="str">
        <f t="shared" si="120"/>
        <v>2020-01-28</v>
      </c>
      <c r="J1094" s="23" t="str">
        <f t="shared" si="121"/>
        <v>28</v>
      </c>
      <c r="K1094" t="str">
        <f t="shared" si="122"/>
        <v>no</v>
      </c>
      <c r="L1094">
        <v>28</v>
      </c>
      <c r="M1094" t="str">
        <f t="shared" si="123"/>
        <v>2020-01-28</v>
      </c>
      <c r="N1094" s="20">
        <f t="shared" si="124"/>
        <v>43859</v>
      </c>
      <c r="O1094" t="str">
        <f t="shared" si="125"/>
        <v>2020-01-29</v>
      </c>
    </row>
    <row r="1095" spans="1:15" x14ac:dyDescent="0.2">
      <c r="A1095" s="21" t="str">
        <f t="shared" si="119"/>
        <v>y</v>
      </c>
      <c r="B1095" s="24" t="s">
        <v>1763</v>
      </c>
      <c r="C1095" t="s">
        <v>235</v>
      </c>
      <c r="D1095" t="s">
        <v>13</v>
      </c>
      <c r="E1095" t="s">
        <v>31</v>
      </c>
      <c r="F1095" t="s">
        <v>2</v>
      </c>
      <c r="G1095" t="s">
        <v>884</v>
      </c>
      <c r="H1095" t="s">
        <v>2017</v>
      </c>
      <c r="I1095" s="22" t="str">
        <f t="shared" si="120"/>
        <v>2020-01-27</v>
      </c>
      <c r="J1095" s="23" t="str">
        <f t="shared" si="121"/>
        <v>27</v>
      </c>
      <c r="K1095" t="str">
        <f t="shared" si="122"/>
        <v>no</v>
      </c>
      <c r="L1095">
        <v>27</v>
      </c>
      <c r="M1095" t="str">
        <f t="shared" si="123"/>
        <v>2020-01-27</v>
      </c>
      <c r="N1095" s="20">
        <f t="shared" si="124"/>
        <v>43858</v>
      </c>
      <c r="O1095" t="str">
        <f t="shared" si="125"/>
        <v>2020-01-28</v>
      </c>
    </row>
    <row r="1096" spans="1:15" x14ac:dyDescent="0.2">
      <c r="A1096" s="21" t="str">
        <f t="shared" si="119"/>
        <v>y</v>
      </c>
      <c r="B1096" s="24" t="s">
        <v>1763</v>
      </c>
      <c r="C1096" t="s">
        <v>235</v>
      </c>
      <c r="D1096" t="s">
        <v>13</v>
      </c>
      <c r="E1096" t="s">
        <v>49</v>
      </c>
      <c r="F1096" t="s">
        <v>2</v>
      </c>
      <c r="G1096" t="s">
        <v>885</v>
      </c>
      <c r="H1096" t="s">
        <v>2017</v>
      </c>
      <c r="I1096" s="22" t="str">
        <f t="shared" si="120"/>
        <v>2020-01-27</v>
      </c>
      <c r="J1096" s="23" t="str">
        <f t="shared" si="121"/>
        <v>27</v>
      </c>
      <c r="K1096" t="str">
        <f t="shared" si="122"/>
        <v>no</v>
      </c>
      <c r="L1096">
        <v>27</v>
      </c>
      <c r="M1096" t="str">
        <f t="shared" si="123"/>
        <v>2020-01-27</v>
      </c>
      <c r="N1096" s="20">
        <f t="shared" si="124"/>
        <v>43858</v>
      </c>
      <c r="O1096" t="str">
        <f t="shared" si="125"/>
        <v>2020-01-28</v>
      </c>
    </row>
    <row r="1097" spans="1:15" x14ac:dyDescent="0.2">
      <c r="A1097" s="21" t="str">
        <f t="shared" si="119"/>
        <v>y</v>
      </c>
      <c r="B1097" s="24" t="s">
        <v>1763</v>
      </c>
      <c r="C1097" t="s">
        <v>235</v>
      </c>
      <c r="D1097" t="s">
        <v>13</v>
      </c>
      <c r="E1097" t="s">
        <v>34</v>
      </c>
      <c r="F1097" t="s">
        <v>2</v>
      </c>
      <c r="G1097" t="s">
        <v>886</v>
      </c>
      <c r="H1097" t="s">
        <v>1988</v>
      </c>
      <c r="I1097" s="22" t="str">
        <f t="shared" si="120"/>
        <v>2020-01-27</v>
      </c>
      <c r="J1097" s="23" t="str">
        <f t="shared" si="121"/>
        <v>27</v>
      </c>
      <c r="K1097" t="str">
        <f t="shared" si="122"/>
        <v>no</v>
      </c>
      <c r="L1097">
        <v>27</v>
      </c>
      <c r="M1097" t="str">
        <f t="shared" si="123"/>
        <v>2020-01-27</v>
      </c>
      <c r="N1097" s="20">
        <f t="shared" si="124"/>
        <v>43858</v>
      </c>
      <c r="O1097" t="str">
        <f t="shared" si="125"/>
        <v>2020-01-28</v>
      </c>
    </row>
    <row r="1098" spans="1:15" x14ac:dyDescent="0.2">
      <c r="A1098" s="21" t="str">
        <f t="shared" si="119"/>
        <v>y</v>
      </c>
      <c r="B1098" s="24" t="s">
        <v>1763</v>
      </c>
      <c r="C1098" t="s">
        <v>151</v>
      </c>
      <c r="D1098" t="s">
        <v>13</v>
      </c>
      <c r="E1098" t="s">
        <v>64</v>
      </c>
      <c r="F1098" t="s">
        <v>2</v>
      </c>
      <c r="H1098" t="s">
        <v>2016</v>
      </c>
      <c r="I1098" s="22" t="str">
        <f t="shared" si="120"/>
        <v>2020-01-27</v>
      </c>
      <c r="J1098" s="23" t="str">
        <f t="shared" si="121"/>
        <v>27</v>
      </c>
      <c r="K1098" t="str">
        <f t="shared" si="122"/>
        <v>no</v>
      </c>
      <c r="L1098">
        <v>27</v>
      </c>
      <c r="M1098" t="str">
        <f t="shared" si="123"/>
        <v>2020-01-27</v>
      </c>
      <c r="N1098" s="20">
        <f t="shared" si="124"/>
        <v>43858</v>
      </c>
      <c r="O1098" t="str">
        <f t="shared" si="125"/>
        <v>2020-01-28</v>
      </c>
    </row>
    <row r="1099" spans="1:15" x14ac:dyDescent="0.2">
      <c r="A1099" s="21" t="str">
        <f t="shared" si="119"/>
        <v>y</v>
      </c>
      <c r="B1099" s="24" t="s">
        <v>1763</v>
      </c>
      <c r="C1099" t="s">
        <v>616</v>
      </c>
      <c r="D1099" t="s">
        <v>13</v>
      </c>
      <c r="E1099" t="s">
        <v>8</v>
      </c>
      <c r="F1099" t="s">
        <v>29</v>
      </c>
      <c r="G1099" t="s">
        <v>887</v>
      </c>
      <c r="H1099" t="s">
        <v>2017</v>
      </c>
      <c r="I1099" s="22" t="str">
        <f t="shared" si="120"/>
        <v>2020-01-27</v>
      </c>
      <c r="J1099" s="23" t="str">
        <f t="shared" si="121"/>
        <v>27</v>
      </c>
      <c r="K1099" t="str">
        <f t="shared" si="122"/>
        <v>no</v>
      </c>
      <c r="L1099">
        <v>27</v>
      </c>
      <c r="M1099" t="str">
        <f t="shared" si="123"/>
        <v>2020-01-27</v>
      </c>
      <c r="N1099" s="20" t="str">
        <f t="shared" si="124"/>
        <v>2020-01-27</v>
      </c>
      <c r="O1099" t="str">
        <f t="shared" si="125"/>
        <v>2020-01-27</v>
      </c>
    </row>
    <row r="1100" spans="1:15" x14ac:dyDescent="0.2">
      <c r="A1100" s="21" t="str">
        <f t="shared" si="119"/>
        <v>y</v>
      </c>
      <c r="B1100" s="24" t="s">
        <v>1764</v>
      </c>
      <c r="C1100" t="s">
        <v>235</v>
      </c>
      <c r="D1100" t="s">
        <v>13</v>
      </c>
      <c r="E1100" t="s">
        <v>31</v>
      </c>
      <c r="F1100" t="s">
        <v>2</v>
      </c>
      <c r="G1100" t="s">
        <v>881</v>
      </c>
      <c r="H1100" t="s">
        <v>2017</v>
      </c>
      <c r="I1100" s="22" t="str">
        <f t="shared" si="120"/>
        <v>2020-01-26</v>
      </c>
      <c r="J1100" s="23" t="str">
        <f t="shared" si="121"/>
        <v>26</v>
      </c>
      <c r="K1100" t="str">
        <f t="shared" si="122"/>
        <v>no</v>
      </c>
      <c r="L1100">
        <v>26</v>
      </c>
      <c r="M1100" t="str">
        <f t="shared" si="123"/>
        <v>2020-01-26</v>
      </c>
      <c r="N1100" s="20">
        <f t="shared" si="124"/>
        <v>43857</v>
      </c>
      <c r="O1100" t="str">
        <f t="shared" si="125"/>
        <v>2020-01-27</v>
      </c>
    </row>
    <row r="1101" spans="1:15" x14ac:dyDescent="0.2">
      <c r="A1101" s="21" t="str">
        <f t="shared" si="119"/>
        <v>y</v>
      </c>
      <c r="B1101" s="24" t="s">
        <v>1764</v>
      </c>
      <c r="C1101" t="s">
        <v>235</v>
      </c>
      <c r="D1101" t="s">
        <v>13</v>
      </c>
      <c r="E1101" t="s">
        <v>49</v>
      </c>
      <c r="F1101" t="s">
        <v>2</v>
      </c>
      <c r="G1101" t="s">
        <v>880</v>
      </c>
      <c r="H1101" t="s">
        <v>2016</v>
      </c>
      <c r="I1101" s="22" t="str">
        <f t="shared" si="120"/>
        <v>2020-01-26</v>
      </c>
      <c r="J1101" s="23" t="str">
        <f t="shared" si="121"/>
        <v>26</v>
      </c>
      <c r="K1101" t="str">
        <f t="shared" si="122"/>
        <v>no</v>
      </c>
      <c r="L1101">
        <v>26</v>
      </c>
      <c r="M1101" t="str">
        <f t="shared" si="123"/>
        <v>2020-01-26</v>
      </c>
      <c r="N1101" s="20">
        <f t="shared" si="124"/>
        <v>43857</v>
      </c>
      <c r="O1101" t="str">
        <f t="shared" si="125"/>
        <v>2020-01-27</v>
      </c>
    </row>
    <row r="1102" spans="1:15" x14ac:dyDescent="0.2">
      <c r="A1102" s="21" t="str">
        <f t="shared" si="119"/>
        <v>y</v>
      </c>
      <c r="B1102" s="24" t="s">
        <v>1764</v>
      </c>
      <c r="C1102" t="s">
        <v>235</v>
      </c>
      <c r="D1102" t="s">
        <v>13</v>
      </c>
      <c r="E1102" t="s">
        <v>34</v>
      </c>
      <c r="F1102" t="s">
        <v>2</v>
      </c>
      <c r="G1102" t="s">
        <v>882</v>
      </c>
      <c r="H1102" t="s">
        <v>2017</v>
      </c>
      <c r="I1102" s="22" t="str">
        <f t="shared" si="120"/>
        <v>2020-01-26</v>
      </c>
      <c r="J1102" s="23" t="str">
        <f t="shared" si="121"/>
        <v>26</v>
      </c>
      <c r="K1102" t="str">
        <f t="shared" si="122"/>
        <v>no</v>
      </c>
      <c r="L1102">
        <v>26</v>
      </c>
      <c r="M1102" t="str">
        <f t="shared" si="123"/>
        <v>2020-01-26</v>
      </c>
      <c r="N1102" s="20">
        <f t="shared" si="124"/>
        <v>43857</v>
      </c>
      <c r="O1102" t="str">
        <f t="shared" si="125"/>
        <v>2020-01-27</v>
      </c>
    </row>
    <row r="1103" spans="1:15" x14ac:dyDescent="0.2">
      <c r="A1103" s="21" t="str">
        <f t="shared" si="119"/>
        <v>y</v>
      </c>
      <c r="B1103" s="24" t="s">
        <v>1764</v>
      </c>
      <c r="C1103" t="s">
        <v>616</v>
      </c>
      <c r="D1103" t="s">
        <v>13</v>
      </c>
      <c r="E1103" t="s">
        <v>8</v>
      </c>
      <c r="F1103" t="s">
        <v>29</v>
      </c>
      <c r="G1103" t="s">
        <v>883</v>
      </c>
      <c r="H1103" t="s">
        <v>2017</v>
      </c>
      <c r="I1103" s="22" t="str">
        <f t="shared" si="120"/>
        <v>2020-01-26</v>
      </c>
      <c r="J1103" s="23" t="str">
        <f t="shared" si="121"/>
        <v>26</v>
      </c>
      <c r="K1103" t="str">
        <f t="shared" si="122"/>
        <v>no</v>
      </c>
      <c r="L1103">
        <v>26</v>
      </c>
      <c r="M1103" t="str">
        <f t="shared" si="123"/>
        <v>2020-01-26</v>
      </c>
      <c r="N1103" s="20" t="str">
        <f t="shared" si="124"/>
        <v>2020-01-26</v>
      </c>
      <c r="O1103" t="str">
        <f t="shared" si="125"/>
        <v>2020-01-26</v>
      </c>
    </row>
    <row r="1104" spans="1:15" x14ac:dyDescent="0.2">
      <c r="A1104" s="21" t="str">
        <f t="shared" si="119"/>
        <v>y</v>
      </c>
      <c r="B1104" s="24" t="s">
        <v>1765</v>
      </c>
      <c r="C1104" t="s">
        <v>235</v>
      </c>
      <c r="D1104" t="s">
        <v>13</v>
      </c>
      <c r="E1104" t="s">
        <v>31</v>
      </c>
      <c r="F1104" t="s">
        <v>2</v>
      </c>
      <c r="G1104" t="s">
        <v>874</v>
      </c>
      <c r="H1104" t="s">
        <v>2017</v>
      </c>
      <c r="I1104" s="22" t="str">
        <f t="shared" si="120"/>
        <v>2020-01-23</v>
      </c>
      <c r="J1104" s="23" t="str">
        <f t="shared" si="121"/>
        <v>23</v>
      </c>
      <c r="K1104" t="str">
        <f t="shared" si="122"/>
        <v>no</v>
      </c>
      <c r="L1104">
        <v>23</v>
      </c>
      <c r="M1104" t="str">
        <f t="shared" si="123"/>
        <v>2020-01-23</v>
      </c>
      <c r="N1104" s="20">
        <f t="shared" si="124"/>
        <v>43854</v>
      </c>
      <c r="O1104" t="str">
        <f t="shared" si="125"/>
        <v>2020-01-24</v>
      </c>
    </row>
    <row r="1105" spans="1:15" x14ac:dyDescent="0.2">
      <c r="A1105" s="21" t="str">
        <f t="shared" si="119"/>
        <v>y</v>
      </c>
      <c r="B1105" s="24" t="s">
        <v>1765</v>
      </c>
      <c r="C1105" t="s">
        <v>235</v>
      </c>
      <c r="D1105" t="s">
        <v>13</v>
      </c>
      <c r="E1105" t="s">
        <v>8</v>
      </c>
      <c r="F1105" t="s">
        <v>29</v>
      </c>
      <c r="G1105" t="s">
        <v>875</v>
      </c>
      <c r="H1105" t="s">
        <v>2017</v>
      </c>
      <c r="I1105" s="22" t="str">
        <f t="shared" si="120"/>
        <v>2020-01-23</v>
      </c>
      <c r="J1105" s="23" t="str">
        <f t="shared" si="121"/>
        <v>23</v>
      </c>
      <c r="K1105" t="str">
        <f t="shared" si="122"/>
        <v>no</v>
      </c>
      <c r="L1105">
        <v>23</v>
      </c>
      <c r="M1105" t="str">
        <f t="shared" si="123"/>
        <v>2020-01-23</v>
      </c>
      <c r="N1105" s="20" t="str">
        <f t="shared" si="124"/>
        <v>2020-01-23</v>
      </c>
      <c r="O1105" t="str">
        <f t="shared" si="125"/>
        <v>2020-01-23</v>
      </c>
    </row>
    <row r="1106" spans="1:15" x14ac:dyDescent="0.2">
      <c r="A1106" s="21" t="str">
        <f t="shared" si="119"/>
        <v>y</v>
      </c>
      <c r="B1106" s="24" t="s">
        <v>1765</v>
      </c>
      <c r="C1106" t="s">
        <v>235</v>
      </c>
      <c r="D1106" t="s">
        <v>13</v>
      </c>
      <c r="E1106" t="s">
        <v>49</v>
      </c>
      <c r="F1106" t="s">
        <v>2</v>
      </c>
      <c r="G1106" t="s">
        <v>876</v>
      </c>
      <c r="H1106" t="s">
        <v>1988</v>
      </c>
      <c r="I1106" s="22" t="str">
        <f t="shared" si="120"/>
        <v>2020-01-23</v>
      </c>
      <c r="J1106" s="23" t="str">
        <f t="shared" si="121"/>
        <v>23</v>
      </c>
      <c r="K1106" t="str">
        <f t="shared" si="122"/>
        <v>no</v>
      </c>
      <c r="L1106">
        <v>23</v>
      </c>
      <c r="M1106" t="str">
        <f t="shared" si="123"/>
        <v>2020-01-23</v>
      </c>
      <c r="N1106" s="20">
        <f t="shared" si="124"/>
        <v>43854</v>
      </c>
      <c r="O1106" t="str">
        <f t="shared" si="125"/>
        <v>2020-01-24</v>
      </c>
    </row>
    <row r="1107" spans="1:15" x14ac:dyDescent="0.2">
      <c r="A1107" s="21" t="str">
        <f t="shared" si="119"/>
        <v>y</v>
      </c>
      <c r="B1107" s="24" t="s">
        <v>1765</v>
      </c>
      <c r="C1107" t="s">
        <v>151</v>
      </c>
      <c r="D1107" t="s">
        <v>13</v>
      </c>
      <c r="E1107" t="s">
        <v>64</v>
      </c>
      <c r="F1107" t="s">
        <v>29</v>
      </c>
      <c r="G1107" t="s">
        <v>879</v>
      </c>
      <c r="H1107" t="s">
        <v>2027</v>
      </c>
      <c r="I1107" s="22" t="str">
        <f t="shared" si="120"/>
        <v>2020-01-23</v>
      </c>
      <c r="J1107" s="23" t="str">
        <f t="shared" si="121"/>
        <v>23</v>
      </c>
      <c r="K1107" t="str">
        <f t="shared" si="122"/>
        <v>no</v>
      </c>
      <c r="L1107">
        <v>23</v>
      </c>
      <c r="M1107" t="str">
        <f t="shared" si="123"/>
        <v>2020-01-23</v>
      </c>
      <c r="N1107" s="20" t="str">
        <f t="shared" si="124"/>
        <v>2020-01-23</v>
      </c>
      <c r="O1107" t="str">
        <f t="shared" si="125"/>
        <v>2020-01-23</v>
      </c>
    </row>
    <row r="1108" spans="1:15" x14ac:dyDescent="0.2">
      <c r="A1108" s="21" t="str">
        <f t="shared" si="119"/>
        <v>y</v>
      </c>
      <c r="B1108" s="24" t="s">
        <v>1765</v>
      </c>
      <c r="C1108" t="s">
        <v>148</v>
      </c>
      <c r="D1108" t="s">
        <v>13</v>
      </c>
      <c r="E1108" t="s">
        <v>27</v>
      </c>
      <c r="F1108" t="s">
        <v>29</v>
      </c>
      <c r="G1108" t="s">
        <v>878</v>
      </c>
      <c r="H1108" t="s">
        <v>2028</v>
      </c>
      <c r="I1108" s="22" t="str">
        <f t="shared" si="120"/>
        <v>2020-01-23</v>
      </c>
      <c r="J1108" s="23" t="str">
        <f t="shared" si="121"/>
        <v>23</v>
      </c>
      <c r="K1108" t="str">
        <f t="shared" si="122"/>
        <v>no</v>
      </c>
      <c r="L1108">
        <v>23</v>
      </c>
      <c r="M1108" t="str">
        <f t="shared" si="123"/>
        <v>2020-01-23</v>
      </c>
      <c r="N1108" s="20" t="str">
        <f t="shared" si="124"/>
        <v>2020-01-23</v>
      </c>
      <c r="O1108" t="str">
        <f t="shared" si="125"/>
        <v>2020-01-23</v>
      </c>
    </row>
    <row r="1109" spans="1:15" x14ac:dyDescent="0.2">
      <c r="A1109" s="21" t="str">
        <f t="shared" si="119"/>
        <v>y</v>
      </c>
      <c r="B1109" s="24" t="s">
        <v>1765</v>
      </c>
      <c r="C1109" t="s">
        <v>616</v>
      </c>
      <c r="D1109" t="s">
        <v>13</v>
      </c>
      <c r="E1109" t="s">
        <v>8</v>
      </c>
      <c r="F1109" t="s">
        <v>29</v>
      </c>
      <c r="G1109" t="s">
        <v>877</v>
      </c>
      <c r="H1109" t="s">
        <v>2017</v>
      </c>
      <c r="I1109" s="22" t="str">
        <f t="shared" si="120"/>
        <v>2020-01-23</v>
      </c>
      <c r="J1109" s="23" t="str">
        <f t="shared" si="121"/>
        <v>23</v>
      </c>
      <c r="K1109" t="str">
        <f t="shared" si="122"/>
        <v>no</v>
      </c>
      <c r="L1109">
        <v>23</v>
      </c>
      <c r="M1109" t="str">
        <f t="shared" si="123"/>
        <v>2020-01-23</v>
      </c>
      <c r="N1109" s="20" t="str">
        <f t="shared" si="124"/>
        <v>2020-01-23</v>
      </c>
      <c r="O1109" t="str">
        <f t="shared" si="125"/>
        <v>2020-01-23</v>
      </c>
    </row>
    <row r="1110" spans="1:15" x14ac:dyDescent="0.2">
      <c r="A1110" s="21" t="str">
        <f t="shared" si="119"/>
        <v>y</v>
      </c>
      <c r="B1110" s="24" t="s">
        <v>1766</v>
      </c>
      <c r="C1110" t="s">
        <v>235</v>
      </c>
      <c r="D1110" t="s">
        <v>13</v>
      </c>
      <c r="E1110" t="s">
        <v>34</v>
      </c>
      <c r="F1110" t="s">
        <v>29</v>
      </c>
      <c r="G1110" t="s">
        <v>873</v>
      </c>
      <c r="H1110" t="s">
        <v>2028</v>
      </c>
      <c r="I1110" s="22" t="str">
        <f t="shared" si="120"/>
        <v>2020-01-22</v>
      </c>
      <c r="J1110" s="23" t="str">
        <f t="shared" si="121"/>
        <v>22</v>
      </c>
      <c r="K1110" t="str">
        <f t="shared" si="122"/>
        <v>no</v>
      </c>
      <c r="L1110">
        <v>22</v>
      </c>
      <c r="M1110" t="str">
        <f t="shared" si="123"/>
        <v>2020-01-22</v>
      </c>
      <c r="N1110" s="20" t="str">
        <f t="shared" si="124"/>
        <v>2020-01-22</v>
      </c>
      <c r="O1110" t="str">
        <f t="shared" si="125"/>
        <v>2020-01-22</v>
      </c>
    </row>
    <row r="1111" spans="1:15" x14ac:dyDescent="0.2">
      <c r="A1111" s="21" t="str">
        <f t="shared" si="119"/>
        <v>y</v>
      </c>
      <c r="B1111" s="24" t="s">
        <v>1766</v>
      </c>
      <c r="C1111" t="s">
        <v>616</v>
      </c>
      <c r="D1111" t="s">
        <v>13</v>
      </c>
      <c r="E1111" t="s">
        <v>49</v>
      </c>
      <c r="F1111" t="s">
        <v>2</v>
      </c>
      <c r="G1111" t="s">
        <v>872</v>
      </c>
      <c r="H1111" t="s">
        <v>1988</v>
      </c>
      <c r="I1111" s="22" t="str">
        <f t="shared" si="120"/>
        <v>2020-01-22</v>
      </c>
      <c r="J1111" s="23" t="str">
        <f t="shared" si="121"/>
        <v>22</v>
      </c>
      <c r="K1111" t="str">
        <f t="shared" si="122"/>
        <v>no</v>
      </c>
      <c r="L1111">
        <v>22</v>
      </c>
      <c r="M1111" t="str">
        <f t="shared" si="123"/>
        <v>2020-01-22</v>
      </c>
      <c r="N1111" s="20">
        <f t="shared" si="124"/>
        <v>43853</v>
      </c>
      <c r="O1111" t="str">
        <f t="shared" si="125"/>
        <v>2020-01-23</v>
      </c>
    </row>
    <row r="1112" spans="1:15" x14ac:dyDescent="0.2">
      <c r="A1112" s="21" t="str">
        <f t="shared" si="119"/>
        <v>y</v>
      </c>
      <c r="B1112" s="24" t="s">
        <v>1766</v>
      </c>
      <c r="C1112" t="s">
        <v>151</v>
      </c>
      <c r="D1112" t="s">
        <v>13</v>
      </c>
      <c r="E1112" t="s">
        <v>34</v>
      </c>
      <c r="F1112" t="s">
        <v>29</v>
      </c>
      <c r="G1112" t="s">
        <v>871</v>
      </c>
      <c r="H1112" t="s">
        <v>2017</v>
      </c>
      <c r="I1112" s="22" t="str">
        <f t="shared" si="120"/>
        <v>2020-01-22</v>
      </c>
      <c r="J1112" s="23" t="str">
        <f t="shared" si="121"/>
        <v>22</v>
      </c>
      <c r="K1112" t="str">
        <f t="shared" si="122"/>
        <v>no</v>
      </c>
      <c r="L1112">
        <v>22</v>
      </c>
      <c r="M1112" t="str">
        <f t="shared" si="123"/>
        <v>2020-01-22</v>
      </c>
      <c r="N1112" s="20" t="str">
        <f t="shared" si="124"/>
        <v>2020-01-22</v>
      </c>
      <c r="O1112" t="str">
        <f t="shared" si="125"/>
        <v>2020-01-22</v>
      </c>
    </row>
    <row r="1113" spans="1:15" x14ac:dyDescent="0.2">
      <c r="A1113" s="21" t="str">
        <f t="shared" si="119"/>
        <v>y</v>
      </c>
      <c r="B1113" s="24" t="s">
        <v>1767</v>
      </c>
      <c r="C1113" t="s">
        <v>235</v>
      </c>
      <c r="D1113" t="s">
        <v>13</v>
      </c>
      <c r="E1113" t="s">
        <v>34</v>
      </c>
      <c r="F1113" t="s">
        <v>2</v>
      </c>
      <c r="H1113" t="s">
        <v>2028</v>
      </c>
      <c r="I1113" s="22" t="str">
        <f t="shared" si="120"/>
        <v>2020-01-21</v>
      </c>
      <c r="J1113" s="23" t="str">
        <f t="shared" si="121"/>
        <v>21</v>
      </c>
      <c r="K1113" t="str">
        <f t="shared" si="122"/>
        <v>no</v>
      </c>
      <c r="L1113">
        <v>21</v>
      </c>
      <c r="M1113" t="str">
        <f t="shared" si="123"/>
        <v>2020-01-21</v>
      </c>
      <c r="N1113" s="20">
        <f t="shared" si="124"/>
        <v>43852</v>
      </c>
      <c r="O1113" t="str">
        <f t="shared" si="125"/>
        <v>2020-01-22</v>
      </c>
    </row>
    <row r="1114" spans="1:15" x14ac:dyDescent="0.2">
      <c r="A1114" s="21" t="str">
        <f t="shared" si="119"/>
        <v>y</v>
      </c>
      <c r="B1114" s="24" t="s">
        <v>1767</v>
      </c>
      <c r="C1114" t="s">
        <v>616</v>
      </c>
      <c r="D1114" t="s">
        <v>13</v>
      </c>
      <c r="E1114" t="s">
        <v>49</v>
      </c>
      <c r="F1114" t="s">
        <v>2</v>
      </c>
      <c r="H1114" t="s">
        <v>1988</v>
      </c>
      <c r="I1114" s="22" t="str">
        <f t="shared" si="120"/>
        <v>2020-01-21</v>
      </c>
      <c r="J1114" s="23" t="str">
        <f t="shared" si="121"/>
        <v>21</v>
      </c>
      <c r="K1114" t="str">
        <f t="shared" si="122"/>
        <v>no</v>
      </c>
      <c r="L1114">
        <v>21</v>
      </c>
      <c r="M1114" t="str">
        <f t="shared" si="123"/>
        <v>2020-01-21</v>
      </c>
      <c r="N1114" s="20">
        <f t="shared" si="124"/>
        <v>43852</v>
      </c>
      <c r="O1114" t="str">
        <f t="shared" si="125"/>
        <v>2020-01-22</v>
      </c>
    </row>
    <row r="1115" spans="1:15" x14ac:dyDescent="0.2">
      <c r="A1115" s="21" t="str">
        <f t="shared" si="119"/>
        <v>y</v>
      </c>
      <c r="B1115" s="24" t="s">
        <v>1767</v>
      </c>
      <c r="C1115" t="s">
        <v>151</v>
      </c>
      <c r="D1115" t="s">
        <v>13</v>
      </c>
      <c r="E1115" t="s">
        <v>34</v>
      </c>
      <c r="F1115" t="s">
        <v>2</v>
      </c>
      <c r="G1115" t="s">
        <v>870</v>
      </c>
      <c r="H1115" t="s">
        <v>2017</v>
      </c>
      <c r="I1115" s="22" t="str">
        <f t="shared" si="120"/>
        <v>2020-01-21</v>
      </c>
      <c r="J1115" s="23" t="str">
        <f t="shared" si="121"/>
        <v>21</v>
      </c>
      <c r="K1115" t="str">
        <f t="shared" si="122"/>
        <v>no</v>
      </c>
      <c r="L1115">
        <v>21</v>
      </c>
      <c r="M1115" t="str">
        <f t="shared" si="123"/>
        <v>2020-01-21</v>
      </c>
      <c r="N1115" s="20">
        <f t="shared" si="124"/>
        <v>43852</v>
      </c>
      <c r="O1115" t="str">
        <f t="shared" si="125"/>
        <v>2020-01-22</v>
      </c>
    </row>
    <row r="1116" spans="1:15" x14ac:dyDescent="0.2">
      <c r="A1116" s="21" t="str">
        <f t="shared" si="119"/>
        <v>y</v>
      </c>
      <c r="B1116" s="24" t="s">
        <v>1768</v>
      </c>
      <c r="C1116" t="s">
        <v>235</v>
      </c>
      <c r="D1116" t="s">
        <v>13</v>
      </c>
      <c r="E1116" t="s">
        <v>34</v>
      </c>
      <c r="F1116" t="s">
        <v>2</v>
      </c>
      <c r="G1116" t="s">
        <v>865</v>
      </c>
      <c r="H1116" t="s">
        <v>2028</v>
      </c>
      <c r="I1116" s="22" t="str">
        <f t="shared" si="120"/>
        <v>2020-01-20</v>
      </c>
      <c r="J1116" s="23" t="str">
        <f t="shared" si="121"/>
        <v>20</v>
      </c>
      <c r="K1116" t="str">
        <f t="shared" si="122"/>
        <v>no</v>
      </c>
      <c r="L1116">
        <v>20</v>
      </c>
      <c r="M1116" t="str">
        <f t="shared" si="123"/>
        <v>2020-01-20</v>
      </c>
      <c r="N1116" s="20">
        <f t="shared" si="124"/>
        <v>43851</v>
      </c>
      <c r="O1116" t="str">
        <f t="shared" si="125"/>
        <v>2020-01-21</v>
      </c>
    </row>
    <row r="1117" spans="1:15" x14ac:dyDescent="0.2">
      <c r="A1117" s="21" t="str">
        <f t="shared" si="119"/>
        <v>y</v>
      </c>
      <c r="B1117" s="24" t="s">
        <v>1768</v>
      </c>
      <c r="C1117" t="s">
        <v>616</v>
      </c>
      <c r="D1117" t="s">
        <v>13</v>
      </c>
      <c r="E1117" t="s">
        <v>49</v>
      </c>
      <c r="F1117" t="s">
        <v>2</v>
      </c>
      <c r="G1117" t="s">
        <v>866</v>
      </c>
      <c r="H1117" t="s">
        <v>1988</v>
      </c>
      <c r="I1117" s="22" t="str">
        <f t="shared" si="120"/>
        <v>2020-01-20</v>
      </c>
      <c r="J1117" s="23" t="str">
        <f t="shared" si="121"/>
        <v>20</v>
      </c>
      <c r="K1117" t="str">
        <f t="shared" si="122"/>
        <v>no</v>
      </c>
      <c r="L1117">
        <v>20</v>
      </c>
      <c r="M1117" t="str">
        <f t="shared" si="123"/>
        <v>2020-01-20</v>
      </c>
      <c r="N1117" s="20">
        <f t="shared" si="124"/>
        <v>43851</v>
      </c>
      <c r="O1117" t="str">
        <f t="shared" si="125"/>
        <v>2020-01-21</v>
      </c>
    </row>
    <row r="1118" spans="1:15" x14ac:dyDescent="0.2">
      <c r="A1118" s="21" t="str">
        <f t="shared" si="119"/>
        <v>y</v>
      </c>
      <c r="B1118" s="24" t="s">
        <v>1768</v>
      </c>
      <c r="C1118" t="s">
        <v>151</v>
      </c>
      <c r="D1118" t="s">
        <v>13</v>
      </c>
      <c r="E1118" t="s">
        <v>64</v>
      </c>
      <c r="F1118" t="s">
        <v>29</v>
      </c>
      <c r="G1118" t="s">
        <v>867</v>
      </c>
      <c r="H1118" t="s">
        <v>1988</v>
      </c>
      <c r="I1118" s="22" t="str">
        <f t="shared" si="120"/>
        <v>2020-01-20</v>
      </c>
      <c r="J1118" s="23" t="str">
        <f t="shared" si="121"/>
        <v>20</v>
      </c>
      <c r="K1118" t="str">
        <f t="shared" si="122"/>
        <v>no</v>
      </c>
      <c r="L1118">
        <v>20</v>
      </c>
      <c r="M1118" t="str">
        <f t="shared" si="123"/>
        <v>2020-01-20</v>
      </c>
      <c r="N1118" s="20" t="str">
        <f t="shared" si="124"/>
        <v>2020-01-20</v>
      </c>
      <c r="O1118" t="str">
        <f t="shared" si="125"/>
        <v>2020-01-20</v>
      </c>
    </row>
    <row r="1119" spans="1:15" x14ac:dyDescent="0.2">
      <c r="A1119" s="21" t="str">
        <f t="shared" si="119"/>
        <v>y</v>
      </c>
      <c r="B1119" s="24" t="s">
        <v>1768</v>
      </c>
      <c r="C1119" t="s">
        <v>151</v>
      </c>
      <c r="D1119" t="s">
        <v>13</v>
      </c>
      <c r="E1119" t="s">
        <v>34</v>
      </c>
      <c r="F1119" t="s">
        <v>2</v>
      </c>
      <c r="G1119" t="s">
        <v>869</v>
      </c>
      <c r="H1119" t="s">
        <v>1988</v>
      </c>
      <c r="I1119" s="22" t="str">
        <f t="shared" si="120"/>
        <v>2020-01-20</v>
      </c>
      <c r="J1119" s="23" t="str">
        <f t="shared" si="121"/>
        <v>20</v>
      </c>
      <c r="K1119" t="str">
        <f t="shared" si="122"/>
        <v>no</v>
      </c>
      <c r="L1119">
        <v>20</v>
      </c>
      <c r="M1119" t="str">
        <f t="shared" si="123"/>
        <v>2020-01-20</v>
      </c>
      <c r="N1119" s="20">
        <f t="shared" si="124"/>
        <v>43851</v>
      </c>
      <c r="O1119" t="str">
        <f t="shared" si="125"/>
        <v>2020-01-21</v>
      </c>
    </row>
    <row r="1120" spans="1:15" x14ac:dyDescent="0.2">
      <c r="A1120" s="21" t="str">
        <f t="shared" si="119"/>
        <v>y</v>
      </c>
      <c r="B1120" s="24" t="s">
        <v>1768</v>
      </c>
      <c r="C1120" t="s">
        <v>151</v>
      </c>
      <c r="D1120" t="s">
        <v>13</v>
      </c>
      <c r="E1120" t="s">
        <v>27</v>
      </c>
      <c r="F1120" t="s">
        <v>2</v>
      </c>
      <c r="G1120" t="s">
        <v>868</v>
      </c>
      <c r="H1120" t="s">
        <v>2029</v>
      </c>
      <c r="I1120" s="22" t="str">
        <f t="shared" si="120"/>
        <v>2020-01-20</v>
      </c>
      <c r="J1120" s="23" t="str">
        <f t="shared" si="121"/>
        <v>20</v>
      </c>
      <c r="K1120" t="str">
        <f t="shared" si="122"/>
        <v>no</v>
      </c>
      <c r="L1120">
        <v>20</v>
      </c>
      <c r="M1120" t="str">
        <f t="shared" si="123"/>
        <v>2020-01-20</v>
      </c>
      <c r="N1120" s="20">
        <f t="shared" si="124"/>
        <v>43851</v>
      </c>
      <c r="O1120" t="str">
        <f t="shared" si="125"/>
        <v>2020-01-21</v>
      </c>
    </row>
    <row r="1121" spans="1:15" x14ac:dyDescent="0.2">
      <c r="A1121" s="21" t="str">
        <f t="shared" si="119"/>
        <v>y</v>
      </c>
      <c r="B1121" s="24" t="s">
        <v>1769</v>
      </c>
      <c r="C1121" t="s">
        <v>235</v>
      </c>
      <c r="D1121" t="s">
        <v>13</v>
      </c>
      <c r="E1121" t="s">
        <v>34</v>
      </c>
      <c r="F1121" t="s">
        <v>2</v>
      </c>
      <c r="H1121" t="s">
        <v>1988</v>
      </c>
      <c r="I1121" s="22" t="str">
        <f t="shared" si="120"/>
        <v>2020-01-19</v>
      </c>
      <c r="J1121" s="23" t="str">
        <f t="shared" si="121"/>
        <v>19</v>
      </c>
      <c r="K1121" t="str">
        <f t="shared" si="122"/>
        <v>no</v>
      </c>
      <c r="L1121">
        <v>19</v>
      </c>
      <c r="M1121" t="str">
        <f t="shared" si="123"/>
        <v>2020-01-19</v>
      </c>
      <c r="N1121" s="20">
        <f t="shared" si="124"/>
        <v>43850</v>
      </c>
      <c r="O1121" t="str">
        <f t="shared" si="125"/>
        <v>2020-01-20</v>
      </c>
    </row>
    <row r="1122" spans="1:15" x14ac:dyDescent="0.2">
      <c r="A1122" s="21" t="str">
        <f t="shared" si="119"/>
        <v>y</v>
      </c>
      <c r="B1122" s="24" t="s">
        <v>1769</v>
      </c>
      <c r="C1122" t="s">
        <v>151</v>
      </c>
      <c r="D1122" t="s">
        <v>13</v>
      </c>
      <c r="E1122" t="s">
        <v>64</v>
      </c>
      <c r="F1122" t="s">
        <v>29</v>
      </c>
      <c r="G1122" t="s">
        <v>864</v>
      </c>
      <c r="H1122" t="s">
        <v>2028</v>
      </c>
      <c r="I1122" s="22" t="str">
        <f t="shared" si="120"/>
        <v>2020-01-19</v>
      </c>
      <c r="J1122" s="23" t="str">
        <f t="shared" si="121"/>
        <v>19</v>
      </c>
      <c r="K1122" t="str">
        <f t="shared" si="122"/>
        <v>no</v>
      </c>
      <c r="L1122">
        <v>19</v>
      </c>
      <c r="M1122" t="str">
        <f t="shared" si="123"/>
        <v>2020-01-19</v>
      </c>
      <c r="N1122" s="20" t="str">
        <f t="shared" si="124"/>
        <v>2020-01-19</v>
      </c>
      <c r="O1122" t="str">
        <f t="shared" si="125"/>
        <v>2020-01-19</v>
      </c>
    </row>
    <row r="1123" spans="1:15" x14ac:dyDescent="0.2">
      <c r="A1123" s="21" t="str">
        <f t="shared" si="119"/>
        <v>y</v>
      </c>
      <c r="B1123" s="24" t="s">
        <v>1769</v>
      </c>
      <c r="C1123" t="s">
        <v>616</v>
      </c>
      <c r="D1123" t="s">
        <v>13</v>
      </c>
      <c r="E1123" t="s">
        <v>8</v>
      </c>
      <c r="F1123" t="s">
        <v>29</v>
      </c>
      <c r="G1123" t="s">
        <v>863</v>
      </c>
      <c r="H1123" t="s">
        <v>2029</v>
      </c>
      <c r="I1123" s="22" t="str">
        <f t="shared" si="120"/>
        <v>2020-01-19</v>
      </c>
      <c r="J1123" s="23" t="str">
        <f t="shared" si="121"/>
        <v>19</v>
      </c>
      <c r="K1123" t="str">
        <f t="shared" si="122"/>
        <v>no</v>
      </c>
      <c r="L1123">
        <v>19</v>
      </c>
      <c r="M1123" t="str">
        <f t="shared" si="123"/>
        <v>2020-01-19</v>
      </c>
      <c r="N1123" s="20" t="str">
        <f t="shared" si="124"/>
        <v>2020-01-19</v>
      </c>
      <c r="O1123" t="str">
        <f t="shared" si="125"/>
        <v>2020-01-19</v>
      </c>
    </row>
    <row r="1124" spans="1:15" x14ac:dyDescent="0.2">
      <c r="A1124" s="21" t="str">
        <f t="shared" si="119"/>
        <v>y</v>
      </c>
      <c r="B1124" s="24" t="s">
        <v>1770</v>
      </c>
      <c r="C1124" t="s">
        <v>235</v>
      </c>
      <c r="D1124" t="s">
        <v>13</v>
      </c>
      <c r="E1124" t="s">
        <v>34</v>
      </c>
      <c r="F1124" t="s">
        <v>2</v>
      </c>
      <c r="H1124" t="s">
        <v>2030</v>
      </c>
      <c r="I1124" s="22" t="str">
        <f t="shared" si="120"/>
        <v>2020-01-16</v>
      </c>
      <c r="J1124" s="23" t="str">
        <f t="shared" si="121"/>
        <v>16</v>
      </c>
      <c r="K1124" t="str">
        <f t="shared" si="122"/>
        <v>no</v>
      </c>
      <c r="L1124">
        <v>16</v>
      </c>
      <c r="M1124" t="str">
        <f t="shared" si="123"/>
        <v>2020-01-16</v>
      </c>
      <c r="N1124" s="20">
        <f t="shared" si="124"/>
        <v>43847</v>
      </c>
      <c r="O1124" t="str">
        <f t="shared" si="125"/>
        <v>2020-01-17</v>
      </c>
    </row>
    <row r="1125" spans="1:15" x14ac:dyDescent="0.2">
      <c r="A1125" s="21" t="str">
        <f t="shared" si="119"/>
        <v>y</v>
      </c>
      <c r="B1125" s="24" t="s">
        <v>1770</v>
      </c>
      <c r="C1125" t="s">
        <v>861</v>
      </c>
      <c r="D1125" t="s">
        <v>13</v>
      </c>
      <c r="E1125" t="s">
        <v>27</v>
      </c>
      <c r="F1125" t="s">
        <v>29</v>
      </c>
      <c r="G1125" t="s">
        <v>862</v>
      </c>
      <c r="H1125" t="s">
        <v>2029</v>
      </c>
      <c r="I1125" s="22" t="str">
        <f t="shared" si="120"/>
        <v>2020-01-16</v>
      </c>
      <c r="J1125" s="23" t="str">
        <f t="shared" si="121"/>
        <v>16</v>
      </c>
      <c r="K1125" t="str">
        <f t="shared" si="122"/>
        <v>no</v>
      </c>
      <c r="L1125">
        <v>16</v>
      </c>
      <c r="M1125" t="str">
        <f t="shared" si="123"/>
        <v>2020-01-16</v>
      </c>
      <c r="N1125" s="20" t="str">
        <f t="shared" si="124"/>
        <v>2020-01-16</v>
      </c>
      <c r="O1125" t="str">
        <f t="shared" si="125"/>
        <v>2020-01-16</v>
      </c>
    </row>
    <row r="1126" spans="1:15" x14ac:dyDescent="0.2">
      <c r="A1126" s="21" t="str">
        <f t="shared" si="119"/>
        <v>y</v>
      </c>
      <c r="B1126" s="24" t="s">
        <v>1771</v>
      </c>
      <c r="C1126" t="s">
        <v>235</v>
      </c>
      <c r="D1126" t="s">
        <v>13</v>
      </c>
      <c r="E1126" t="s">
        <v>34</v>
      </c>
      <c r="F1126" t="s">
        <v>29</v>
      </c>
      <c r="G1126" t="s">
        <v>858</v>
      </c>
      <c r="H1126" t="s">
        <v>2029</v>
      </c>
      <c r="I1126" s="22" t="str">
        <f t="shared" si="120"/>
        <v>2020-01-15</v>
      </c>
      <c r="J1126" s="23" t="str">
        <f t="shared" si="121"/>
        <v>15</v>
      </c>
      <c r="K1126" t="str">
        <f t="shared" si="122"/>
        <v>no</v>
      </c>
      <c r="L1126">
        <v>15</v>
      </c>
      <c r="M1126" t="str">
        <f t="shared" si="123"/>
        <v>2020-01-15</v>
      </c>
      <c r="N1126" s="20" t="str">
        <f t="shared" si="124"/>
        <v>2020-01-15</v>
      </c>
      <c r="O1126" t="str">
        <f t="shared" si="125"/>
        <v>2020-01-15</v>
      </c>
    </row>
    <row r="1127" spans="1:15" x14ac:dyDescent="0.2">
      <c r="A1127" s="21" t="str">
        <f t="shared" si="119"/>
        <v>y</v>
      </c>
      <c r="B1127" s="24" t="s">
        <v>1771</v>
      </c>
      <c r="C1127" t="s">
        <v>235</v>
      </c>
      <c r="D1127" t="s">
        <v>13</v>
      </c>
      <c r="E1127" t="s">
        <v>43</v>
      </c>
      <c r="F1127" t="s">
        <v>29</v>
      </c>
      <c r="G1127" t="s">
        <v>859</v>
      </c>
      <c r="H1127" t="s">
        <v>2001</v>
      </c>
      <c r="I1127" s="22" t="str">
        <f t="shared" si="120"/>
        <v>2020-01-15</v>
      </c>
      <c r="J1127" s="23" t="str">
        <f t="shared" si="121"/>
        <v>15</v>
      </c>
      <c r="K1127" t="str">
        <f t="shared" si="122"/>
        <v>no</v>
      </c>
      <c r="L1127">
        <v>15</v>
      </c>
      <c r="M1127" t="str">
        <f t="shared" si="123"/>
        <v>2020-01-15</v>
      </c>
      <c r="N1127" s="20" t="str">
        <f t="shared" si="124"/>
        <v>2020-01-15</v>
      </c>
      <c r="O1127" t="str">
        <f t="shared" si="125"/>
        <v>2020-01-15</v>
      </c>
    </row>
    <row r="1128" spans="1:15" x14ac:dyDescent="0.2">
      <c r="A1128" s="21" t="str">
        <f t="shared" si="119"/>
        <v>y</v>
      </c>
      <c r="B1128" s="24" t="s">
        <v>1771</v>
      </c>
      <c r="C1128" t="s">
        <v>832</v>
      </c>
      <c r="D1128" t="s">
        <v>13</v>
      </c>
      <c r="E1128" t="s">
        <v>27</v>
      </c>
      <c r="F1128" t="s">
        <v>29</v>
      </c>
      <c r="G1128" t="s">
        <v>860</v>
      </c>
      <c r="H1128" t="s">
        <v>2029</v>
      </c>
      <c r="I1128" s="22" t="str">
        <f t="shared" si="120"/>
        <v>2020-01-15</v>
      </c>
      <c r="J1128" s="23" t="str">
        <f t="shared" si="121"/>
        <v>15</v>
      </c>
      <c r="K1128" t="str">
        <f t="shared" si="122"/>
        <v>no</v>
      </c>
      <c r="L1128">
        <v>15</v>
      </c>
      <c r="M1128" t="str">
        <f t="shared" si="123"/>
        <v>2020-01-15</v>
      </c>
      <c r="N1128" s="20" t="str">
        <f t="shared" si="124"/>
        <v>2020-01-15</v>
      </c>
      <c r="O1128" t="str">
        <f t="shared" si="125"/>
        <v>2020-01-15</v>
      </c>
    </row>
    <row r="1129" spans="1:15" x14ac:dyDescent="0.2">
      <c r="A1129" s="21" t="str">
        <f t="shared" si="119"/>
        <v>y</v>
      </c>
      <c r="B1129" s="24" t="s">
        <v>1772</v>
      </c>
      <c r="C1129" t="s">
        <v>235</v>
      </c>
      <c r="D1129" t="s">
        <v>13</v>
      </c>
      <c r="E1129" t="s">
        <v>34</v>
      </c>
      <c r="F1129" t="s">
        <v>2</v>
      </c>
      <c r="G1129" t="s">
        <v>855</v>
      </c>
      <c r="H1129" t="s">
        <v>2029</v>
      </c>
      <c r="I1129" s="22" t="str">
        <f t="shared" si="120"/>
        <v>2020-01-14</v>
      </c>
      <c r="J1129" s="23" t="str">
        <f t="shared" si="121"/>
        <v>14</v>
      </c>
      <c r="K1129" t="str">
        <f t="shared" si="122"/>
        <v>no</v>
      </c>
      <c r="L1129">
        <v>14</v>
      </c>
      <c r="M1129" t="str">
        <f t="shared" si="123"/>
        <v>2020-01-14</v>
      </c>
      <c r="N1129" s="20">
        <f t="shared" si="124"/>
        <v>43845</v>
      </c>
      <c r="O1129" t="str">
        <f t="shared" si="125"/>
        <v>2020-01-15</v>
      </c>
    </row>
    <row r="1130" spans="1:15" x14ac:dyDescent="0.2">
      <c r="A1130" s="21" t="str">
        <f t="shared" si="119"/>
        <v>y</v>
      </c>
      <c r="B1130" s="24" t="s">
        <v>1772</v>
      </c>
      <c r="C1130" t="s">
        <v>235</v>
      </c>
      <c r="D1130" t="s">
        <v>13</v>
      </c>
      <c r="E1130" t="s">
        <v>43</v>
      </c>
      <c r="F1130" t="s">
        <v>2</v>
      </c>
      <c r="G1130" t="s">
        <v>854</v>
      </c>
      <c r="H1130" t="s">
        <v>2001</v>
      </c>
      <c r="I1130" s="22" t="str">
        <f t="shared" si="120"/>
        <v>2020-01-14</v>
      </c>
      <c r="J1130" s="23" t="str">
        <f t="shared" si="121"/>
        <v>14</v>
      </c>
      <c r="K1130" t="str">
        <f t="shared" si="122"/>
        <v>no</v>
      </c>
      <c r="L1130">
        <v>14</v>
      </c>
      <c r="M1130" t="str">
        <f t="shared" si="123"/>
        <v>2020-01-14</v>
      </c>
      <c r="N1130" s="20">
        <f t="shared" si="124"/>
        <v>43845</v>
      </c>
      <c r="O1130" t="str">
        <f t="shared" si="125"/>
        <v>2020-01-15</v>
      </c>
    </row>
    <row r="1131" spans="1:15" x14ac:dyDescent="0.2">
      <c r="A1131" s="21" t="str">
        <f t="shared" si="119"/>
        <v>y</v>
      </c>
      <c r="B1131" s="24" t="s">
        <v>1772</v>
      </c>
      <c r="C1131" t="s">
        <v>832</v>
      </c>
      <c r="D1131" t="s">
        <v>13</v>
      </c>
      <c r="E1131" t="s">
        <v>27</v>
      </c>
      <c r="F1131" t="s">
        <v>29</v>
      </c>
      <c r="G1131" t="s">
        <v>856</v>
      </c>
      <c r="H1131" t="s">
        <v>1988</v>
      </c>
      <c r="I1131" s="22" t="str">
        <f t="shared" si="120"/>
        <v>2020-01-14</v>
      </c>
      <c r="J1131" s="23" t="str">
        <f t="shared" si="121"/>
        <v>14</v>
      </c>
      <c r="K1131" t="str">
        <f t="shared" si="122"/>
        <v>no</v>
      </c>
      <c r="L1131">
        <v>14</v>
      </c>
      <c r="M1131" t="str">
        <f t="shared" si="123"/>
        <v>2020-01-14</v>
      </c>
      <c r="N1131" s="20" t="str">
        <f t="shared" si="124"/>
        <v>2020-01-14</v>
      </c>
      <c r="O1131" t="str">
        <f t="shared" si="125"/>
        <v>2020-01-14</v>
      </c>
    </row>
    <row r="1132" spans="1:15" x14ac:dyDescent="0.2">
      <c r="A1132" s="21" t="str">
        <f t="shared" si="119"/>
        <v>y</v>
      </c>
      <c r="B1132" s="24" t="s">
        <v>1772</v>
      </c>
      <c r="C1132" t="s">
        <v>151</v>
      </c>
      <c r="D1132" t="s">
        <v>13</v>
      </c>
      <c r="E1132" t="s">
        <v>34</v>
      </c>
      <c r="F1132" t="s">
        <v>2</v>
      </c>
      <c r="G1132" t="s">
        <v>857</v>
      </c>
      <c r="H1132" t="s">
        <v>1988</v>
      </c>
      <c r="I1132" s="22" t="str">
        <f t="shared" si="120"/>
        <v>2020-01-14</v>
      </c>
      <c r="J1132" s="23" t="str">
        <f t="shared" si="121"/>
        <v>14</v>
      </c>
      <c r="K1132" t="str">
        <f t="shared" si="122"/>
        <v>no</v>
      </c>
      <c r="L1132">
        <v>14</v>
      </c>
      <c r="M1132" t="str">
        <f t="shared" si="123"/>
        <v>2020-01-14</v>
      </c>
      <c r="N1132" s="20">
        <f t="shared" si="124"/>
        <v>43845</v>
      </c>
      <c r="O1132" t="str">
        <f t="shared" si="125"/>
        <v>2020-01-15</v>
      </c>
    </row>
    <row r="1133" spans="1:15" x14ac:dyDescent="0.2">
      <c r="A1133" s="21" t="str">
        <f t="shared" si="119"/>
        <v>y</v>
      </c>
      <c r="B1133" s="24" t="s">
        <v>1773</v>
      </c>
      <c r="C1133" t="s">
        <v>151</v>
      </c>
      <c r="D1133" t="s">
        <v>13</v>
      </c>
      <c r="E1133" t="s">
        <v>34</v>
      </c>
      <c r="F1133" t="s">
        <v>2</v>
      </c>
      <c r="G1133" t="s">
        <v>849</v>
      </c>
      <c r="H1133" t="s">
        <v>2029</v>
      </c>
      <c r="I1133" s="22" t="str">
        <f t="shared" si="120"/>
        <v>2020-01-13</v>
      </c>
      <c r="J1133" s="23" t="str">
        <f t="shared" si="121"/>
        <v>13</v>
      </c>
      <c r="K1133" t="str">
        <f t="shared" si="122"/>
        <v>no</v>
      </c>
      <c r="L1133">
        <v>13</v>
      </c>
      <c r="M1133" t="str">
        <f t="shared" si="123"/>
        <v>2020-01-13</v>
      </c>
      <c r="N1133" s="20">
        <f t="shared" si="124"/>
        <v>43844</v>
      </c>
      <c r="O1133" t="str">
        <f t="shared" si="125"/>
        <v>2020-01-14</v>
      </c>
    </row>
    <row r="1134" spans="1:15" x14ac:dyDescent="0.2">
      <c r="A1134" s="21" t="str">
        <f t="shared" si="119"/>
        <v>y</v>
      </c>
      <c r="B1134" s="24" t="s">
        <v>1773</v>
      </c>
      <c r="C1134" t="s">
        <v>235</v>
      </c>
      <c r="D1134" t="s">
        <v>13</v>
      </c>
      <c r="E1134" t="s">
        <v>34</v>
      </c>
      <c r="F1134" t="s">
        <v>2</v>
      </c>
      <c r="G1134" t="s">
        <v>848</v>
      </c>
      <c r="H1134" t="s">
        <v>2029</v>
      </c>
      <c r="I1134" s="22" t="str">
        <f t="shared" si="120"/>
        <v>2020-01-13</v>
      </c>
      <c r="J1134" s="23" t="str">
        <f t="shared" si="121"/>
        <v>13</v>
      </c>
      <c r="K1134" t="str">
        <f t="shared" si="122"/>
        <v>no</v>
      </c>
      <c r="L1134">
        <v>13</v>
      </c>
      <c r="M1134" t="str">
        <f t="shared" si="123"/>
        <v>2020-01-13</v>
      </c>
      <c r="N1134" s="20">
        <f t="shared" si="124"/>
        <v>43844</v>
      </c>
      <c r="O1134" t="str">
        <f t="shared" si="125"/>
        <v>2020-01-14</v>
      </c>
    </row>
    <row r="1135" spans="1:15" x14ac:dyDescent="0.2">
      <c r="A1135" s="21" t="str">
        <f t="shared" si="119"/>
        <v>y</v>
      </c>
      <c r="B1135" s="24" t="s">
        <v>1773</v>
      </c>
      <c r="C1135" t="s">
        <v>235</v>
      </c>
      <c r="D1135" t="s">
        <v>13</v>
      </c>
      <c r="E1135" t="s">
        <v>43</v>
      </c>
      <c r="F1135" t="s">
        <v>2</v>
      </c>
      <c r="G1135" t="s">
        <v>847</v>
      </c>
      <c r="H1135" t="s">
        <v>2028</v>
      </c>
      <c r="I1135" s="22" t="str">
        <f t="shared" si="120"/>
        <v>2020-01-13</v>
      </c>
      <c r="J1135" s="23" t="str">
        <f t="shared" si="121"/>
        <v>13</v>
      </c>
      <c r="K1135" t="str">
        <f t="shared" si="122"/>
        <v>no</v>
      </c>
      <c r="L1135">
        <v>13</v>
      </c>
      <c r="M1135" t="str">
        <f t="shared" si="123"/>
        <v>2020-01-13</v>
      </c>
      <c r="N1135" s="20">
        <f t="shared" si="124"/>
        <v>43844</v>
      </c>
      <c r="O1135" t="str">
        <f t="shared" si="125"/>
        <v>2020-01-14</v>
      </c>
    </row>
    <row r="1136" spans="1:15" x14ac:dyDescent="0.2">
      <c r="A1136" s="21" t="str">
        <f t="shared" si="119"/>
        <v>y</v>
      </c>
      <c r="B1136" s="24" t="s">
        <v>1773</v>
      </c>
      <c r="C1136" t="s">
        <v>616</v>
      </c>
      <c r="D1136" t="s">
        <v>13</v>
      </c>
      <c r="E1136" t="s">
        <v>49</v>
      </c>
      <c r="F1136" t="s">
        <v>29</v>
      </c>
      <c r="G1136" t="s">
        <v>853</v>
      </c>
      <c r="H1136" t="s">
        <v>2001</v>
      </c>
      <c r="I1136" s="22" t="str">
        <f t="shared" si="120"/>
        <v>2020-01-13</v>
      </c>
      <c r="J1136" s="23" t="str">
        <f t="shared" si="121"/>
        <v>13</v>
      </c>
      <c r="K1136" t="str">
        <f t="shared" si="122"/>
        <v>no</v>
      </c>
      <c r="L1136">
        <v>13</v>
      </c>
      <c r="M1136" t="str">
        <f t="shared" si="123"/>
        <v>2020-01-13</v>
      </c>
      <c r="N1136" s="20" t="str">
        <f t="shared" si="124"/>
        <v>2020-01-13</v>
      </c>
      <c r="O1136" t="str">
        <f t="shared" si="125"/>
        <v>2020-01-13</v>
      </c>
    </row>
    <row r="1137" spans="1:15" x14ac:dyDescent="0.2">
      <c r="A1137" s="21" t="str">
        <f t="shared" si="119"/>
        <v>y</v>
      </c>
      <c r="B1137" s="24" t="s">
        <v>1773</v>
      </c>
      <c r="C1137" t="s">
        <v>832</v>
      </c>
      <c r="D1137" t="s">
        <v>13</v>
      </c>
      <c r="E1137" t="s">
        <v>27</v>
      </c>
      <c r="F1137" t="s">
        <v>2</v>
      </c>
      <c r="G1137" t="s">
        <v>851</v>
      </c>
      <c r="H1137" t="s">
        <v>2031</v>
      </c>
      <c r="I1137" s="22" t="str">
        <f t="shared" si="120"/>
        <v>2020-01-13</v>
      </c>
      <c r="J1137" s="23" t="str">
        <f t="shared" si="121"/>
        <v>13</v>
      </c>
      <c r="K1137" t="str">
        <f t="shared" si="122"/>
        <v>no</v>
      </c>
      <c r="L1137">
        <v>13</v>
      </c>
      <c r="M1137" t="str">
        <f t="shared" si="123"/>
        <v>2020-01-13</v>
      </c>
      <c r="N1137" s="20">
        <f t="shared" si="124"/>
        <v>43844</v>
      </c>
      <c r="O1137" t="str">
        <f t="shared" si="125"/>
        <v>2020-01-14</v>
      </c>
    </row>
    <row r="1138" spans="1:15" x14ac:dyDescent="0.2">
      <c r="A1138" s="21" t="str">
        <f t="shared" si="119"/>
        <v>y</v>
      </c>
      <c r="B1138" s="24" t="s">
        <v>1773</v>
      </c>
      <c r="C1138" t="s">
        <v>489</v>
      </c>
      <c r="D1138" t="s">
        <v>19</v>
      </c>
      <c r="E1138" t="s">
        <v>49</v>
      </c>
      <c r="F1138" t="s">
        <v>29</v>
      </c>
      <c r="G1138" t="s">
        <v>852</v>
      </c>
      <c r="H1138" t="s">
        <v>2021</v>
      </c>
      <c r="I1138" s="22" t="str">
        <f t="shared" si="120"/>
        <v>2020-01-13</v>
      </c>
      <c r="J1138" s="23" t="str">
        <f t="shared" si="121"/>
        <v>13</v>
      </c>
      <c r="K1138" t="str">
        <f t="shared" si="122"/>
        <v>no</v>
      </c>
      <c r="L1138">
        <v>13</v>
      </c>
      <c r="M1138" t="str">
        <f t="shared" si="123"/>
        <v>2020-01-13</v>
      </c>
      <c r="N1138" s="20" t="str">
        <f t="shared" si="124"/>
        <v>2020-01-13</v>
      </c>
      <c r="O1138" t="str">
        <f t="shared" si="125"/>
        <v>2020-01-13</v>
      </c>
    </row>
    <row r="1139" spans="1:15" x14ac:dyDescent="0.2">
      <c r="A1139" s="21" t="str">
        <f t="shared" si="119"/>
        <v>y</v>
      </c>
      <c r="B1139" s="24">
        <v>44166</v>
      </c>
      <c r="C1139" t="s">
        <v>780</v>
      </c>
      <c r="D1139" t="s">
        <v>13</v>
      </c>
      <c r="E1139" t="s">
        <v>27</v>
      </c>
      <c r="F1139" t="s">
        <v>29</v>
      </c>
      <c r="G1139" t="s">
        <v>846</v>
      </c>
      <c r="H1139" t="s">
        <v>1988</v>
      </c>
      <c r="I1139" s="22" t="str">
        <f t="shared" si="120"/>
        <v>2020-01-12</v>
      </c>
      <c r="J1139" s="23" t="str">
        <f t="shared" si="121"/>
        <v>44</v>
      </c>
      <c r="K1139" t="str">
        <f t="shared" si="122"/>
        <v>yes</v>
      </c>
      <c r="L1139">
        <v>44</v>
      </c>
      <c r="M1139" t="str">
        <f t="shared" si="123"/>
        <v>2020-01-12</v>
      </c>
      <c r="N1139" s="20" t="str">
        <f t="shared" si="124"/>
        <v>2020-01-12</v>
      </c>
      <c r="O1139" t="str">
        <f t="shared" si="125"/>
        <v>2020-01-12</v>
      </c>
    </row>
    <row r="1140" spans="1:15" x14ac:dyDescent="0.2">
      <c r="A1140" s="21" t="str">
        <f t="shared" si="119"/>
        <v>y</v>
      </c>
      <c r="B1140" s="24">
        <v>44166</v>
      </c>
      <c r="C1140" t="s">
        <v>151</v>
      </c>
      <c r="D1140" t="s">
        <v>13</v>
      </c>
      <c r="E1140" t="s">
        <v>34</v>
      </c>
      <c r="F1140" t="s">
        <v>2</v>
      </c>
      <c r="H1140" t="s">
        <v>2029</v>
      </c>
      <c r="I1140" s="22" t="str">
        <f t="shared" si="120"/>
        <v>2020-01-12</v>
      </c>
      <c r="J1140" s="23" t="str">
        <f t="shared" si="121"/>
        <v>44</v>
      </c>
      <c r="K1140" t="str">
        <f t="shared" si="122"/>
        <v>yes</v>
      </c>
      <c r="L1140">
        <v>44</v>
      </c>
      <c r="M1140" t="str">
        <f t="shared" si="123"/>
        <v>2020-01-12</v>
      </c>
      <c r="N1140" s="20">
        <f t="shared" si="124"/>
        <v>43843</v>
      </c>
      <c r="O1140" t="str">
        <f t="shared" si="125"/>
        <v>2020-01-13</v>
      </c>
    </row>
    <row r="1141" spans="1:15" x14ac:dyDescent="0.2">
      <c r="A1141" s="21" t="str">
        <f t="shared" si="119"/>
        <v>y</v>
      </c>
      <c r="B1141" s="24">
        <v>44166</v>
      </c>
      <c r="C1141" t="s">
        <v>235</v>
      </c>
      <c r="D1141" t="s">
        <v>13</v>
      </c>
      <c r="E1141" t="s">
        <v>34</v>
      </c>
      <c r="F1141" t="s">
        <v>2</v>
      </c>
      <c r="H1141" t="s">
        <v>2029</v>
      </c>
      <c r="I1141" s="22" t="str">
        <f t="shared" si="120"/>
        <v>2020-01-12</v>
      </c>
      <c r="J1141" s="23" t="str">
        <f t="shared" si="121"/>
        <v>44</v>
      </c>
      <c r="K1141" t="str">
        <f t="shared" si="122"/>
        <v>yes</v>
      </c>
      <c r="L1141">
        <v>44</v>
      </c>
      <c r="M1141" t="str">
        <f t="shared" si="123"/>
        <v>2020-01-12</v>
      </c>
      <c r="N1141" s="20">
        <f t="shared" si="124"/>
        <v>43843</v>
      </c>
      <c r="O1141" t="str">
        <f t="shared" si="125"/>
        <v>2020-01-13</v>
      </c>
    </row>
    <row r="1142" spans="1:15" x14ac:dyDescent="0.2">
      <c r="A1142" s="21" t="str">
        <f t="shared" si="119"/>
        <v>y</v>
      </c>
      <c r="B1142" s="24">
        <v>44166</v>
      </c>
      <c r="C1142" t="s">
        <v>235</v>
      </c>
      <c r="D1142" t="s">
        <v>13</v>
      </c>
      <c r="E1142" t="s">
        <v>43</v>
      </c>
      <c r="F1142" t="s">
        <v>2</v>
      </c>
      <c r="G1142" t="s">
        <v>847</v>
      </c>
      <c r="H1142" t="s">
        <v>2021</v>
      </c>
      <c r="I1142" s="22" t="str">
        <f t="shared" si="120"/>
        <v>2020-01-12</v>
      </c>
      <c r="J1142" s="23" t="str">
        <f t="shared" si="121"/>
        <v>44</v>
      </c>
      <c r="K1142" t="str">
        <f t="shared" si="122"/>
        <v>yes</v>
      </c>
      <c r="L1142">
        <v>44</v>
      </c>
      <c r="M1142" t="str">
        <f t="shared" si="123"/>
        <v>2020-01-12</v>
      </c>
      <c r="N1142" s="20">
        <f t="shared" si="124"/>
        <v>43843</v>
      </c>
      <c r="O1142" t="str">
        <f t="shared" si="125"/>
        <v>2020-01-13</v>
      </c>
    </row>
    <row r="1143" spans="1:15" x14ac:dyDescent="0.2">
      <c r="A1143" s="21" t="str">
        <f t="shared" si="119"/>
        <v>y</v>
      </c>
      <c r="B1143" s="24">
        <v>44136</v>
      </c>
      <c r="C1143" t="s">
        <v>780</v>
      </c>
      <c r="D1143" t="s">
        <v>13</v>
      </c>
      <c r="E1143" t="s">
        <v>27</v>
      </c>
      <c r="F1143" t="s">
        <v>2</v>
      </c>
      <c r="H1143" t="s">
        <v>1988</v>
      </c>
      <c r="I1143" s="22" t="str">
        <f t="shared" si="120"/>
        <v>2020-01-11</v>
      </c>
      <c r="J1143" s="23" t="str">
        <f t="shared" si="121"/>
        <v>44</v>
      </c>
      <c r="K1143" t="str">
        <f t="shared" si="122"/>
        <v>yes</v>
      </c>
      <c r="L1143">
        <v>44</v>
      </c>
      <c r="M1143" t="str">
        <f t="shared" si="123"/>
        <v>2020-01-11</v>
      </c>
      <c r="N1143" s="20">
        <f t="shared" si="124"/>
        <v>43842</v>
      </c>
      <c r="O1143" t="str">
        <f t="shared" si="125"/>
        <v>2020-01-12</v>
      </c>
    </row>
    <row r="1144" spans="1:15" x14ac:dyDescent="0.2">
      <c r="A1144" s="21" t="str">
        <f t="shared" si="119"/>
        <v>y</v>
      </c>
      <c r="B1144" s="24">
        <v>44136</v>
      </c>
      <c r="C1144" t="s">
        <v>616</v>
      </c>
      <c r="D1144" t="s">
        <v>13</v>
      </c>
      <c r="E1144" t="s">
        <v>34</v>
      </c>
      <c r="F1144" t="s">
        <v>29</v>
      </c>
      <c r="G1144" t="s">
        <v>843</v>
      </c>
      <c r="H1144" t="s">
        <v>2029</v>
      </c>
      <c r="I1144" s="22" t="str">
        <f t="shared" si="120"/>
        <v>2020-01-11</v>
      </c>
      <c r="J1144" s="23" t="str">
        <f t="shared" si="121"/>
        <v>44</v>
      </c>
      <c r="K1144" t="str">
        <f t="shared" si="122"/>
        <v>yes</v>
      </c>
      <c r="L1144">
        <v>44</v>
      </c>
      <c r="M1144" t="str">
        <f t="shared" si="123"/>
        <v>2020-01-11</v>
      </c>
      <c r="N1144" s="20" t="str">
        <f t="shared" si="124"/>
        <v>2020-01-11</v>
      </c>
      <c r="O1144" t="str">
        <f t="shared" si="125"/>
        <v>2020-01-11</v>
      </c>
    </row>
    <row r="1145" spans="1:15" x14ac:dyDescent="0.2">
      <c r="A1145" s="21" t="str">
        <f t="shared" si="119"/>
        <v>y</v>
      </c>
      <c r="B1145" s="24">
        <v>44136</v>
      </c>
      <c r="C1145" t="s">
        <v>151</v>
      </c>
      <c r="D1145" t="s">
        <v>13</v>
      </c>
      <c r="E1145" t="s">
        <v>34</v>
      </c>
      <c r="F1145" t="s">
        <v>2</v>
      </c>
      <c r="H1145" t="s">
        <v>2028</v>
      </c>
      <c r="I1145" s="22" t="str">
        <f t="shared" si="120"/>
        <v>2020-01-11</v>
      </c>
      <c r="J1145" s="23" t="str">
        <f t="shared" si="121"/>
        <v>44</v>
      </c>
      <c r="K1145" t="str">
        <f t="shared" si="122"/>
        <v>yes</v>
      </c>
      <c r="L1145">
        <v>44</v>
      </c>
      <c r="M1145" t="str">
        <f t="shared" si="123"/>
        <v>2020-01-11</v>
      </c>
      <c r="N1145" s="20">
        <f t="shared" si="124"/>
        <v>43842</v>
      </c>
      <c r="O1145" t="str">
        <f t="shared" si="125"/>
        <v>2020-01-12</v>
      </c>
    </row>
    <row r="1146" spans="1:15" x14ac:dyDescent="0.2">
      <c r="A1146" s="21" t="str">
        <f t="shared" si="119"/>
        <v>y</v>
      </c>
      <c r="B1146" s="24">
        <v>44136</v>
      </c>
      <c r="C1146" t="s">
        <v>235</v>
      </c>
      <c r="D1146" t="s">
        <v>13</v>
      </c>
      <c r="E1146" t="s">
        <v>34</v>
      </c>
      <c r="F1146" t="s">
        <v>2</v>
      </c>
      <c r="H1146" t="s">
        <v>2029</v>
      </c>
      <c r="I1146" s="22" t="str">
        <f t="shared" si="120"/>
        <v>2020-01-11</v>
      </c>
      <c r="J1146" s="23" t="str">
        <f t="shared" si="121"/>
        <v>44</v>
      </c>
      <c r="K1146" t="str">
        <f t="shared" si="122"/>
        <v>yes</v>
      </c>
      <c r="L1146">
        <v>44</v>
      </c>
      <c r="M1146" t="str">
        <f t="shared" si="123"/>
        <v>2020-01-11</v>
      </c>
      <c r="N1146" s="20">
        <f t="shared" si="124"/>
        <v>43842</v>
      </c>
      <c r="O1146" t="str">
        <f t="shared" si="125"/>
        <v>2020-01-12</v>
      </c>
    </row>
    <row r="1147" spans="1:15" x14ac:dyDescent="0.2">
      <c r="A1147" s="21" t="str">
        <f t="shared" si="119"/>
        <v>y</v>
      </c>
      <c r="B1147" s="24">
        <v>44136</v>
      </c>
      <c r="C1147" t="s">
        <v>235</v>
      </c>
      <c r="D1147" t="s">
        <v>13</v>
      </c>
      <c r="E1147" t="s">
        <v>43</v>
      </c>
      <c r="F1147" t="s">
        <v>2</v>
      </c>
      <c r="H1147" t="s">
        <v>2021</v>
      </c>
      <c r="I1147" s="22" t="str">
        <f t="shared" si="120"/>
        <v>2020-01-11</v>
      </c>
      <c r="J1147" s="23" t="str">
        <f t="shared" si="121"/>
        <v>44</v>
      </c>
      <c r="K1147" t="str">
        <f t="shared" si="122"/>
        <v>yes</v>
      </c>
      <c r="L1147">
        <v>44</v>
      </c>
      <c r="M1147" t="str">
        <f t="shared" si="123"/>
        <v>2020-01-11</v>
      </c>
      <c r="N1147" s="20">
        <f t="shared" si="124"/>
        <v>43842</v>
      </c>
      <c r="O1147" t="str">
        <f t="shared" si="125"/>
        <v>2020-01-12</v>
      </c>
    </row>
    <row r="1148" spans="1:15" x14ac:dyDescent="0.2">
      <c r="A1148" s="21" t="str">
        <f t="shared" si="119"/>
        <v>y</v>
      </c>
      <c r="B1148" s="24">
        <v>44075</v>
      </c>
      <c r="C1148" t="s">
        <v>780</v>
      </c>
      <c r="D1148" t="s">
        <v>13</v>
      </c>
      <c r="E1148" t="s">
        <v>27</v>
      </c>
      <c r="F1148" t="s">
        <v>2</v>
      </c>
      <c r="H1148" t="s">
        <v>1988</v>
      </c>
      <c r="I1148" s="22" t="str">
        <f t="shared" si="120"/>
        <v>2020-01-09</v>
      </c>
      <c r="J1148" s="23" t="str">
        <f t="shared" si="121"/>
        <v>44</v>
      </c>
      <c r="K1148" t="str">
        <f t="shared" si="122"/>
        <v>yes</v>
      </c>
      <c r="L1148">
        <v>44</v>
      </c>
      <c r="M1148" t="str">
        <f t="shared" si="123"/>
        <v>2020-01-09</v>
      </c>
      <c r="N1148" s="20">
        <f t="shared" si="124"/>
        <v>43840</v>
      </c>
      <c r="O1148" t="str">
        <f t="shared" si="125"/>
        <v>2020-01-10</v>
      </c>
    </row>
    <row r="1149" spans="1:15" x14ac:dyDescent="0.2">
      <c r="A1149" s="21" t="str">
        <f t="shared" si="119"/>
        <v>y</v>
      </c>
      <c r="B1149" s="24">
        <v>44075</v>
      </c>
      <c r="C1149" t="s">
        <v>616</v>
      </c>
      <c r="D1149" t="s">
        <v>13</v>
      </c>
      <c r="E1149" t="s">
        <v>34</v>
      </c>
      <c r="F1149" t="s">
        <v>2</v>
      </c>
      <c r="G1149" t="s">
        <v>840</v>
      </c>
      <c r="H1149" t="s">
        <v>2029</v>
      </c>
      <c r="I1149" s="22" t="str">
        <f t="shared" si="120"/>
        <v>2020-01-09</v>
      </c>
      <c r="J1149" s="23" t="str">
        <f t="shared" si="121"/>
        <v>44</v>
      </c>
      <c r="K1149" t="str">
        <f t="shared" si="122"/>
        <v>yes</v>
      </c>
      <c r="L1149">
        <v>44</v>
      </c>
      <c r="M1149" t="str">
        <f t="shared" si="123"/>
        <v>2020-01-09</v>
      </c>
      <c r="N1149" s="20">
        <f t="shared" si="124"/>
        <v>43840</v>
      </c>
      <c r="O1149" t="str">
        <f t="shared" si="125"/>
        <v>2020-01-10</v>
      </c>
    </row>
    <row r="1150" spans="1:15" x14ac:dyDescent="0.2">
      <c r="A1150" s="21" t="str">
        <f t="shared" si="119"/>
        <v>y</v>
      </c>
      <c r="B1150" s="24">
        <v>44075</v>
      </c>
      <c r="C1150" t="s">
        <v>151</v>
      </c>
      <c r="D1150" t="s">
        <v>13</v>
      </c>
      <c r="E1150" t="s">
        <v>34</v>
      </c>
      <c r="F1150" t="s">
        <v>2</v>
      </c>
      <c r="H1150" t="s">
        <v>2029</v>
      </c>
      <c r="I1150" s="22" t="str">
        <f t="shared" si="120"/>
        <v>2020-01-09</v>
      </c>
      <c r="J1150" s="23" t="str">
        <f t="shared" si="121"/>
        <v>44</v>
      </c>
      <c r="K1150" t="str">
        <f t="shared" si="122"/>
        <v>yes</v>
      </c>
      <c r="L1150">
        <v>44</v>
      </c>
      <c r="M1150" t="str">
        <f t="shared" si="123"/>
        <v>2020-01-09</v>
      </c>
      <c r="N1150" s="20">
        <f t="shared" si="124"/>
        <v>43840</v>
      </c>
      <c r="O1150" t="str">
        <f t="shared" si="125"/>
        <v>2020-01-10</v>
      </c>
    </row>
    <row r="1151" spans="1:15" x14ac:dyDescent="0.2">
      <c r="A1151" s="21" t="str">
        <f t="shared" si="119"/>
        <v>y</v>
      </c>
      <c r="B1151" s="24">
        <v>44075</v>
      </c>
      <c r="C1151" t="s">
        <v>235</v>
      </c>
      <c r="D1151" t="s">
        <v>13</v>
      </c>
      <c r="E1151" t="s">
        <v>34</v>
      </c>
      <c r="F1151" t="s">
        <v>2</v>
      </c>
      <c r="H1151" t="s">
        <v>2028</v>
      </c>
      <c r="I1151" s="22" t="str">
        <f t="shared" si="120"/>
        <v>2020-01-09</v>
      </c>
      <c r="J1151" s="23" t="str">
        <f t="shared" si="121"/>
        <v>44</v>
      </c>
      <c r="K1151" t="str">
        <f t="shared" si="122"/>
        <v>yes</v>
      </c>
      <c r="L1151">
        <v>44</v>
      </c>
      <c r="M1151" t="str">
        <f t="shared" si="123"/>
        <v>2020-01-09</v>
      </c>
      <c r="N1151" s="20">
        <f t="shared" si="124"/>
        <v>43840</v>
      </c>
      <c r="O1151" t="str">
        <f t="shared" si="125"/>
        <v>2020-01-10</v>
      </c>
    </row>
    <row r="1152" spans="1:15" x14ac:dyDescent="0.2">
      <c r="A1152" s="21" t="str">
        <f t="shared" si="119"/>
        <v>y</v>
      </c>
      <c r="B1152" s="24">
        <v>44075</v>
      </c>
      <c r="C1152" t="s">
        <v>235</v>
      </c>
      <c r="D1152" t="s">
        <v>13</v>
      </c>
      <c r="E1152" t="s">
        <v>43</v>
      </c>
      <c r="F1152" t="s">
        <v>2</v>
      </c>
      <c r="G1152" t="s">
        <v>842</v>
      </c>
      <c r="H1152" t="s">
        <v>2031</v>
      </c>
      <c r="I1152" s="22" t="str">
        <f t="shared" si="120"/>
        <v>2020-01-09</v>
      </c>
      <c r="J1152" s="23" t="str">
        <f t="shared" si="121"/>
        <v>44</v>
      </c>
      <c r="K1152" t="str">
        <f t="shared" si="122"/>
        <v>yes</v>
      </c>
      <c r="L1152">
        <v>44</v>
      </c>
      <c r="M1152" t="str">
        <f t="shared" si="123"/>
        <v>2020-01-09</v>
      </c>
      <c r="N1152" s="20">
        <f t="shared" si="124"/>
        <v>43840</v>
      </c>
      <c r="O1152" t="str">
        <f t="shared" si="125"/>
        <v>2020-01-10</v>
      </c>
    </row>
    <row r="1153" spans="1:15" x14ac:dyDescent="0.2">
      <c r="A1153" s="21" t="str">
        <f t="shared" si="119"/>
        <v>y</v>
      </c>
      <c r="B1153" s="24">
        <v>44075</v>
      </c>
      <c r="C1153" t="s">
        <v>489</v>
      </c>
      <c r="D1153" t="s">
        <v>19</v>
      </c>
      <c r="E1153" t="s">
        <v>37</v>
      </c>
      <c r="F1153" t="s">
        <v>29</v>
      </c>
      <c r="G1153" t="s">
        <v>845</v>
      </c>
      <c r="H1153" t="s">
        <v>2021</v>
      </c>
      <c r="I1153" s="22" t="str">
        <f t="shared" si="120"/>
        <v>2020-01-09</v>
      </c>
      <c r="J1153" s="23" t="str">
        <f t="shared" si="121"/>
        <v>44</v>
      </c>
      <c r="K1153" t="str">
        <f t="shared" si="122"/>
        <v>yes</v>
      </c>
      <c r="L1153">
        <v>44</v>
      </c>
      <c r="M1153" t="str">
        <f t="shared" si="123"/>
        <v>2020-01-09</v>
      </c>
      <c r="N1153" s="20" t="str">
        <f t="shared" si="124"/>
        <v>2020-01-09</v>
      </c>
      <c r="O1153" t="str">
        <f t="shared" si="125"/>
        <v>2020-01-09</v>
      </c>
    </row>
    <row r="1154" spans="1:15" x14ac:dyDescent="0.2">
      <c r="A1154" s="21" t="str">
        <f t="shared" si="119"/>
        <v>y</v>
      </c>
      <c r="B1154" s="24">
        <v>44044</v>
      </c>
      <c r="C1154" t="s">
        <v>780</v>
      </c>
      <c r="D1154" t="s">
        <v>13</v>
      </c>
      <c r="E1154" t="s">
        <v>27</v>
      </c>
      <c r="F1154" t="s">
        <v>2</v>
      </c>
      <c r="H1154" t="s">
        <v>1988</v>
      </c>
      <c r="I1154" s="22" t="str">
        <f t="shared" si="120"/>
        <v>2020-01-08</v>
      </c>
      <c r="J1154" s="23" t="str">
        <f t="shared" si="121"/>
        <v>44</v>
      </c>
      <c r="K1154" t="str">
        <f t="shared" si="122"/>
        <v>yes</v>
      </c>
      <c r="L1154">
        <v>44</v>
      </c>
      <c r="M1154" t="str">
        <f t="shared" si="123"/>
        <v>2020-01-08</v>
      </c>
      <c r="N1154" s="20">
        <f t="shared" si="124"/>
        <v>43839</v>
      </c>
      <c r="O1154" t="str">
        <f t="shared" si="125"/>
        <v>2020-01-09</v>
      </c>
    </row>
    <row r="1155" spans="1:15" x14ac:dyDescent="0.2">
      <c r="A1155" s="21" t="str">
        <f t="shared" si="119"/>
        <v>y</v>
      </c>
      <c r="B1155" s="24">
        <v>44044</v>
      </c>
      <c r="C1155" t="s">
        <v>616</v>
      </c>
      <c r="D1155" t="s">
        <v>13</v>
      </c>
      <c r="E1155" t="s">
        <v>34</v>
      </c>
      <c r="F1155" t="s">
        <v>2</v>
      </c>
      <c r="G1155" t="s">
        <v>840</v>
      </c>
      <c r="H1155" t="s">
        <v>2029</v>
      </c>
      <c r="I1155" s="22" t="str">
        <f t="shared" si="120"/>
        <v>2020-01-08</v>
      </c>
      <c r="J1155" s="23" t="str">
        <f t="shared" si="121"/>
        <v>44</v>
      </c>
      <c r="K1155" t="str">
        <f t="shared" si="122"/>
        <v>yes</v>
      </c>
      <c r="L1155">
        <v>44</v>
      </c>
      <c r="M1155" t="str">
        <f t="shared" si="123"/>
        <v>2020-01-08</v>
      </c>
      <c r="N1155" s="20">
        <f t="shared" si="124"/>
        <v>43839</v>
      </c>
      <c r="O1155" t="str">
        <f t="shared" si="125"/>
        <v>2020-01-09</v>
      </c>
    </row>
    <row r="1156" spans="1:15" x14ac:dyDescent="0.2">
      <c r="A1156" s="21" t="str">
        <f t="shared" ref="A1156:A1219" si="126">IF(LEFT(B1156,2)&gt;12,"y","-")</f>
        <v>y</v>
      </c>
      <c r="B1156" s="24">
        <v>44044</v>
      </c>
      <c r="C1156" t="s">
        <v>151</v>
      </c>
      <c r="D1156" t="s">
        <v>13</v>
      </c>
      <c r="E1156" t="s">
        <v>34</v>
      </c>
      <c r="F1156" t="s">
        <v>2</v>
      </c>
      <c r="H1156" t="s">
        <v>2029</v>
      </c>
      <c r="I1156" s="22" t="str">
        <f t="shared" ref="I1156:I1219" si="127">IF(K1156="yes",TEXT(B1156,"YYYY-DD-MM"),TEXT(B1156,"YYYY-MM-DD"))</f>
        <v>2020-01-08</v>
      </c>
      <c r="J1156" s="23" t="str">
        <f t="shared" ref="J1156:J1219" si="128">LEFT(B1156,2)</f>
        <v>44</v>
      </c>
      <c r="K1156" t="str">
        <f t="shared" ref="K1156:K1219" si="129">IF(L1156&gt;31,"yes","no")</f>
        <v>yes</v>
      </c>
      <c r="L1156">
        <v>44</v>
      </c>
      <c r="M1156" t="str">
        <f t="shared" ref="M1156:M1219" si="130">I1156</f>
        <v>2020-01-08</v>
      </c>
      <c r="N1156" s="20">
        <f t="shared" ref="N1156:N1219" si="131">IF(F1156="DONE",M1156,M1156+1)</f>
        <v>43839</v>
      </c>
      <c r="O1156" t="str">
        <f t="shared" ref="O1156:O1219" si="132">TEXT(N1156,"YYYY-MM-DD")</f>
        <v>2020-01-09</v>
      </c>
    </row>
    <row r="1157" spans="1:15" x14ac:dyDescent="0.2">
      <c r="A1157" s="21" t="str">
        <f t="shared" si="126"/>
        <v>y</v>
      </c>
      <c r="B1157" s="24">
        <v>44044</v>
      </c>
      <c r="C1157" t="s">
        <v>235</v>
      </c>
      <c r="D1157" t="s">
        <v>13</v>
      </c>
      <c r="E1157" t="s">
        <v>34</v>
      </c>
      <c r="F1157" t="s">
        <v>2</v>
      </c>
      <c r="H1157" t="s">
        <v>2028</v>
      </c>
      <c r="I1157" s="22" t="str">
        <f t="shared" si="127"/>
        <v>2020-01-08</v>
      </c>
      <c r="J1157" s="23" t="str">
        <f t="shared" si="128"/>
        <v>44</v>
      </c>
      <c r="K1157" t="str">
        <f t="shared" si="129"/>
        <v>yes</v>
      </c>
      <c r="L1157">
        <v>44</v>
      </c>
      <c r="M1157" t="str">
        <f t="shared" si="130"/>
        <v>2020-01-08</v>
      </c>
      <c r="N1157" s="20">
        <f t="shared" si="131"/>
        <v>43839</v>
      </c>
      <c r="O1157" t="str">
        <f t="shared" si="132"/>
        <v>2020-01-09</v>
      </c>
    </row>
    <row r="1158" spans="1:15" x14ac:dyDescent="0.2">
      <c r="A1158" s="21" t="str">
        <f t="shared" si="126"/>
        <v>y</v>
      </c>
      <c r="B1158" s="24">
        <v>44044</v>
      </c>
      <c r="C1158" t="s">
        <v>235</v>
      </c>
      <c r="D1158" t="s">
        <v>13</v>
      </c>
      <c r="E1158" t="s">
        <v>43</v>
      </c>
      <c r="F1158" t="s">
        <v>2</v>
      </c>
      <c r="G1158" t="s">
        <v>842</v>
      </c>
      <c r="H1158" t="s">
        <v>2031</v>
      </c>
      <c r="I1158" s="22" t="str">
        <f t="shared" si="127"/>
        <v>2020-01-08</v>
      </c>
      <c r="J1158" s="23" t="str">
        <f t="shared" si="128"/>
        <v>44</v>
      </c>
      <c r="K1158" t="str">
        <f t="shared" si="129"/>
        <v>yes</v>
      </c>
      <c r="L1158">
        <v>44</v>
      </c>
      <c r="M1158" t="str">
        <f t="shared" si="130"/>
        <v>2020-01-08</v>
      </c>
      <c r="N1158" s="20">
        <f t="shared" si="131"/>
        <v>43839</v>
      </c>
      <c r="O1158" t="str">
        <f t="shared" si="132"/>
        <v>2020-01-09</v>
      </c>
    </row>
    <row r="1159" spans="1:15" x14ac:dyDescent="0.2">
      <c r="A1159" s="21" t="str">
        <f t="shared" si="126"/>
        <v>y</v>
      </c>
      <c r="B1159" s="24">
        <v>44044</v>
      </c>
      <c r="C1159" t="s">
        <v>489</v>
      </c>
      <c r="D1159" t="s">
        <v>19</v>
      </c>
      <c r="E1159" t="s">
        <v>37</v>
      </c>
      <c r="F1159" t="s">
        <v>29</v>
      </c>
      <c r="G1159" t="s">
        <v>844</v>
      </c>
      <c r="H1159" t="s">
        <v>2021</v>
      </c>
      <c r="I1159" s="22" t="str">
        <f t="shared" si="127"/>
        <v>2020-01-08</v>
      </c>
      <c r="J1159" s="23" t="str">
        <f t="shared" si="128"/>
        <v>44</v>
      </c>
      <c r="K1159" t="str">
        <f t="shared" si="129"/>
        <v>yes</v>
      </c>
      <c r="L1159">
        <v>44</v>
      </c>
      <c r="M1159" t="str">
        <f t="shared" si="130"/>
        <v>2020-01-08</v>
      </c>
      <c r="N1159" s="20" t="str">
        <f t="shared" si="131"/>
        <v>2020-01-08</v>
      </c>
      <c r="O1159" t="str">
        <f t="shared" si="132"/>
        <v>2020-01-08</v>
      </c>
    </row>
    <row r="1160" spans="1:15" x14ac:dyDescent="0.2">
      <c r="A1160" s="21" t="str">
        <f t="shared" si="126"/>
        <v>y</v>
      </c>
      <c r="B1160" s="24">
        <v>44013</v>
      </c>
      <c r="C1160" t="s">
        <v>780</v>
      </c>
      <c r="D1160" t="s">
        <v>13</v>
      </c>
      <c r="E1160" t="s">
        <v>27</v>
      </c>
      <c r="F1160" t="s">
        <v>2</v>
      </c>
      <c r="H1160" t="s">
        <v>1988</v>
      </c>
      <c r="I1160" s="22" t="str">
        <f t="shared" si="127"/>
        <v>2020-01-07</v>
      </c>
      <c r="J1160" s="23" t="str">
        <f t="shared" si="128"/>
        <v>44</v>
      </c>
      <c r="K1160" t="str">
        <f t="shared" si="129"/>
        <v>yes</v>
      </c>
      <c r="L1160">
        <v>44</v>
      </c>
      <c r="M1160" t="str">
        <f t="shared" si="130"/>
        <v>2020-01-07</v>
      </c>
      <c r="N1160" s="20">
        <f t="shared" si="131"/>
        <v>43838</v>
      </c>
      <c r="O1160" t="str">
        <f t="shared" si="132"/>
        <v>2020-01-08</v>
      </c>
    </row>
    <row r="1161" spans="1:15" x14ac:dyDescent="0.2">
      <c r="A1161" s="21" t="str">
        <f t="shared" si="126"/>
        <v>y</v>
      </c>
      <c r="B1161" s="24">
        <v>44013</v>
      </c>
      <c r="C1161" t="s">
        <v>616</v>
      </c>
      <c r="D1161" t="s">
        <v>13</v>
      </c>
      <c r="E1161" t="s">
        <v>34</v>
      </c>
      <c r="F1161" t="s">
        <v>2</v>
      </c>
      <c r="G1161" t="s">
        <v>840</v>
      </c>
      <c r="H1161" t="s">
        <v>2029</v>
      </c>
      <c r="I1161" s="22" t="str">
        <f t="shared" si="127"/>
        <v>2020-01-07</v>
      </c>
      <c r="J1161" s="23" t="str">
        <f t="shared" si="128"/>
        <v>44</v>
      </c>
      <c r="K1161" t="str">
        <f t="shared" si="129"/>
        <v>yes</v>
      </c>
      <c r="L1161">
        <v>44</v>
      </c>
      <c r="M1161" t="str">
        <f t="shared" si="130"/>
        <v>2020-01-07</v>
      </c>
      <c r="N1161" s="20">
        <f t="shared" si="131"/>
        <v>43838</v>
      </c>
      <c r="O1161" t="str">
        <f t="shared" si="132"/>
        <v>2020-01-08</v>
      </c>
    </row>
    <row r="1162" spans="1:15" x14ac:dyDescent="0.2">
      <c r="A1162" s="21" t="str">
        <f t="shared" si="126"/>
        <v>y</v>
      </c>
      <c r="B1162" s="24">
        <v>44013</v>
      </c>
      <c r="C1162" t="s">
        <v>151</v>
      </c>
      <c r="D1162" t="s">
        <v>13</v>
      </c>
      <c r="E1162" t="s">
        <v>34</v>
      </c>
      <c r="F1162" t="s">
        <v>2</v>
      </c>
      <c r="H1162" t="s">
        <v>2029</v>
      </c>
      <c r="I1162" s="22" t="str">
        <f t="shared" si="127"/>
        <v>2020-01-07</v>
      </c>
      <c r="J1162" s="23" t="str">
        <f t="shared" si="128"/>
        <v>44</v>
      </c>
      <c r="K1162" t="str">
        <f t="shared" si="129"/>
        <v>yes</v>
      </c>
      <c r="L1162">
        <v>44</v>
      </c>
      <c r="M1162" t="str">
        <f t="shared" si="130"/>
        <v>2020-01-07</v>
      </c>
      <c r="N1162" s="20">
        <f t="shared" si="131"/>
        <v>43838</v>
      </c>
      <c r="O1162" t="str">
        <f t="shared" si="132"/>
        <v>2020-01-08</v>
      </c>
    </row>
    <row r="1163" spans="1:15" x14ac:dyDescent="0.2">
      <c r="A1163" s="21" t="str">
        <f t="shared" si="126"/>
        <v>y</v>
      </c>
      <c r="B1163" s="24">
        <v>44013</v>
      </c>
      <c r="C1163" t="s">
        <v>235</v>
      </c>
      <c r="D1163" t="s">
        <v>13</v>
      </c>
      <c r="E1163" t="s">
        <v>34</v>
      </c>
      <c r="F1163" t="s">
        <v>2</v>
      </c>
      <c r="H1163" t="s">
        <v>2032</v>
      </c>
      <c r="I1163" s="22" t="str">
        <f t="shared" si="127"/>
        <v>2020-01-07</v>
      </c>
      <c r="J1163" s="23" t="str">
        <f t="shared" si="128"/>
        <v>44</v>
      </c>
      <c r="K1163" t="str">
        <f t="shared" si="129"/>
        <v>yes</v>
      </c>
      <c r="L1163">
        <v>44</v>
      </c>
      <c r="M1163" t="str">
        <f t="shared" si="130"/>
        <v>2020-01-07</v>
      </c>
      <c r="N1163" s="20">
        <f t="shared" si="131"/>
        <v>43838</v>
      </c>
      <c r="O1163" t="str">
        <f t="shared" si="132"/>
        <v>2020-01-08</v>
      </c>
    </row>
    <row r="1164" spans="1:15" x14ac:dyDescent="0.2">
      <c r="A1164" s="21" t="str">
        <f t="shared" si="126"/>
        <v>y</v>
      </c>
      <c r="B1164" s="24">
        <v>44013</v>
      </c>
      <c r="C1164" t="s">
        <v>235</v>
      </c>
      <c r="D1164" t="s">
        <v>13</v>
      </c>
      <c r="E1164" t="s">
        <v>43</v>
      </c>
      <c r="F1164" t="s">
        <v>2</v>
      </c>
      <c r="G1164" t="s">
        <v>842</v>
      </c>
      <c r="H1164" t="s">
        <v>2028</v>
      </c>
      <c r="I1164" s="22" t="str">
        <f t="shared" si="127"/>
        <v>2020-01-07</v>
      </c>
      <c r="J1164" s="23" t="str">
        <f t="shared" si="128"/>
        <v>44</v>
      </c>
      <c r="K1164" t="str">
        <f t="shared" si="129"/>
        <v>yes</v>
      </c>
      <c r="L1164">
        <v>44</v>
      </c>
      <c r="M1164" t="str">
        <f t="shared" si="130"/>
        <v>2020-01-07</v>
      </c>
      <c r="N1164" s="20">
        <f t="shared" si="131"/>
        <v>43838</v>
      </c>
      <c r="O1164" t="str">
        <f t="shared" si="132"/>
        <v>2020-01-08</v>
      </c>
    </row>
    <row r="1165" spans="1:15" x14ac:dyDescent="0.2">
      <c r="A1165" s="21" t="str">
        <f t="shared" si="126"/>
        <v>y</v>
      </c>
      <c r="B1165" s="24">
        <v>44013</v>
      </c>
      <c r="C1165" t="s">
        <v>63</v>
      </c>
      <c r="D1165" t="s">
        <v>13</v>
      </c>
      <c r="E1165" t="s">
        <v>27</v>
      </c>
      <c r="F1165" t="s">
        <v>29</v>
      </c>
      <c r="G1165" t="s">
        <v>841</v>
      </c>
      <c r="H1165" t="s">
        <v>2021</v>
      </c>
      <c r="I1165" s="22" t="str">
        <f t="shared" si="127"/>
        <v>2020-01-07</v>
      </c>
      <c r="J1165" s="23" t="str">
        <f t="shared" si="128"/>
        <v>44</v>
      </c>
      <c r="K1165" t="str">
        <f t="shared" si="129"/>
        <v>yes</v>
      </c>
      <c r="L1165">
        <v>44</v>
      </c>
      <c r="M1165" t="str">
        <f t="shared" si="130"/>
        <v>2020-01-07</v>
      </c>
      <c r="N1165" s="20" t="str">
        <f t="shared" si="131"/>
        <v>2020-01-07</v>
      </c>
      <c r="O1165" t="str">
        <f t="shared" si="132"/>
        <v>2020-01-07</v>
      </c>
    </row>
    <row r="1166" spans="1:15" x14ac:dyDescent="0.2">
      <c r="A1166" s="21" t="str">
        <f t="shared" si="126"/>
        <v>y</v>
      </c>
      <c r="B1166" s="24">
        <v>43983</v>
      </c>
      <c r="C1166" t="s">
        <v>780</v>
      </c>
      <c r="D1166" t="s">
        <v>13</v>
      </c>
      <c r="E1166" t="s">
        <v>27</v>
      </c>
      <c r="F1166" t="s">
        <v>2</v>
      </c>
      <c r="H1166" t="s">
        <v>2028</v>
      </c>
      <c r="I1166" s="22" t="str">
        <f t="shared" si="127"/>
        <v>2020-01-06</v>
      </c>
      <c r="J1166" s="23" t="str">
        <f t="shared" si="128"/>
        <v>43</v>
      </c>
      <c r="K1166" t="str">
        <f t="shared" si="129"/>
        <v>yes</v>
      </c>
      <c r="L1166">
        <v>43</v>
      </c>
      <c r="M1166" t="str">
        <f t="shared" si="130"/>
        <v>2020-01-06</v>
      </c>
      <c r="N1166" s="20">
        <f t="shared" si="131"/>
        <v>43837</v>
      </c>
      <c r="O1166" t="str">
        <f t="shared" si="132"/>
        <v>2020-01-07</v>
      </c>
    </row>
    <row r="1167" spans="1:15" x14ac:dyDescent="0.2">
      <c r="A1167" s="21" t="str">
        <f t="shared" si="126"/>
        <v>y</v>
      </c>
      <c r="B1167" s="24">
        <v>43983</v>
      </c>
      <c r="C1167" t="s">
        <v>616</v>
      </c>
      <c r="D1167" t="s">
        <v>13</v>
      </c>
      <c r="E1167" t="s">
        <v>34</v>
      </c>
      <c r="F1167" t="s">
        <v>2</v>
      </c>
      <c r="G1167" t="s">
        <v>833</v>
      </c>
      <c r="H1167" t="s">
        <v>1988</v>
      </c>
      <c r="I1167" s="22" t="str">
        <f t="shared" si="127"/>
        <v>2020-01-06</v>
      </c>
      <c r="J1167" s="23" t="str">
        <f t="shared" si="128"/>
        <v>43</v>
      </c>
      <c r="K1167" t="str">
        <f t="shared" si="129"/>
        <v>yes</v>
      </c>
      <c r="L1167">
        <v>43</v>
      </c>
      <c r="M1167" t="str">
        <f t="shared" si="130"/>
        <v>2020-01-06</v>
      </c>
      <c r="N1167" s="20">
        <f t="shared" si="131"/>
        <v>43837</v>
      </c>
      <c r="O1167" t="str">
        <f t="shared" si="132"/>
        <v>2020-01-07</v>
      </c>
    </row>
    <row r="1168" spans="1:15" x14ac:dyDescent="0.2">
      <c r="A1168" s="21" t="str">
        <f t="shared" si="126"/>
        <v>y</v>
      </c>
      <c r="B1168" s="24">
        <v>43983</v>
      </c>
      <c r="C1168" t="s">
        <v>151</v>
      </c>
      <c r="D1168" t="s">
        <v>13</v>
      </c>
      <c r="E1168" t="s">
        <v>34</v>
      </c>
      <c r="F1168" t="s">
        <v>2</v>
      </c>
      <c r="H1168" t="s">
        <v>2029</v>
      </c>
      <c r="I1168" s="22" t="str">
        <f t="shared" si="127"/>
        <v>2020-01-06</v>
      </c>
      <c r="J1168" s="23" t="str">
        <f t="shared" si="128"/>
        <v>43</v>
      </c>
      <c r="K1168" t="str">
        <f t="shared" si="129"/>
        <v>yes</v>
      </c>
      <c r="L1168">
        <v>43</v>
      </c>
      <c r="M1168" t="str">
        <f t="shared" si="130"/>
        <v>2020-01-06</v>
      </c>
      <c r="N1168" s="20">
        <f t="shared" si="131"/>
        <v>43837</v>
      </c>
      <c r="O1168" t="str">
        <f t="shared" si="132"/>
        <v>2020-01-07</v>
      </c>
    </row>
    <row r="1169" spans="1:15" x14ac:dyDescent="0.2">
      <c r="A1169" s="21" t="str">
        <f t="shared" si="126"/>
        <v>y</v>
      </c>
      <c r="B1169" s="24">
        <v>43983</v>
      </c>
      <c r="C1169" t="s">
        <v>235</v>
      </c>
      <c r="D1169" t="s">
        <v>13</v>
      </c>
      <c r="E1169" t="s">
        <v>34</v>
      </c>
      <c r="F1169" t="s">
        <v>2</v>
      </c>
      <c r="H1169" t="s">
        <v>2029</v>
      </c>
      <c r="I1169" s="22" t="str">
        <f t="shared" si="127"/>
        <v>2020-01-06</v>
      </c>
      <c r="J1169" s="23" t="str">
        <f t="shared" si="128"/>
        <v>43</v>
      </c>
      <c r="K1169" t="str">
        <f t="shared" si="129"/>
        <v>yes</v>
      </c>
      <c r="L1169">
        <v>43</v>
      </c>
      <c r="M1169" t="str">
        <f t="shared" si="130"/>
        <v>2020-01-06</v>
      </c>
      <c r="N1169" s="20">
        <f t="shared" si="131"/>
        <v>43837</v>
      </c>
      <c r="O1169" t="str">
        <f t="shared" si="132"/>
        <v>2020-01-07</v>
      </c>
    </row>
    <row r="1170" spans="1:15" x14ac:dyDescent="0.2">
      <c r="A1170" s="21" t="str">
        <f t="shared" si="126"/>
        <v>y</v>
      </c>
      <c r="B1170" s="24">
        <v>43983</v>
      </c>
      <c r="C1170" t="s">
        <v>235</v>
      </c>
      <c r="D1170" t="s">
        <v>13</v>
      </c>
      <c r="E1170" t="s">
        <v>43</v>
      </c>
      <c r="F1170" t="s">
        <v>2</v>
      </c>
      <c r="G1170" t="s">
        <v>835</v>
      </c>
      <c r="H1170" t="s">
        <v>2033</v>
      </c>
      <c r="I1170" s="22" t="str">
        <f t="shared" si="127"/>
        <v>2020-01-06</v>
      </c>
      <c r="J1170" s="23" t="str">
        <f t="shared" si="128"/>
        <v>43</v>
      </c>
      <c r="K1170" t="str">
        <f t="shared" si="129"/>
        <v>yes</v>
      </c>
      <c r="L1170">
        <v>43</v>
      </c>
      <c r="M1170" t="str">
        <f t="shared" si="130"/>
        <v>2020-01-06</v>
      </c>
      <c r="N1170" s="20">
        <f t="shared" si="131"/>
        <v>43837</v>
      </c>
      <c r="O1170" t="str">
        <f t="shared" si="132"/>
        <v>2020-01-07</v>
      </c>
    </row>
    <row r="1171" spans="1:15" x14ac:dyDescent="0.2">
      <c r="A1171" s="21" t="str">
        <f t="shared" si="126"/>
        <v>y</v>
      </c>
      <c r="B1171" s="24">
        <v>43983</v>
      </c>
      <c r="C1171" t="s">
        <v>830</v>
      </c>
      <c r="D1171" t="s">
        <v>13</v>
      </c>
      <c r="E1171" t="s">
        <v>27</v>
      </c>
      <c r="F1171" t="s">
        <v>29</v>
      </c>
      <c r="G1171" t="s">
        <v>838</v>
      </c>
      <c r="H1171" t="s">
        <v>2032</v>
      </c>
      <c r="I1171" s="22" t="str">
        <f t="shared" si="127"/>
        <v>2020-01-06</v>
      </c>
      <c r="J1171" s="23" t="str">
        <f t="shared" si="128"/>
        <v>43</v>
      </c>
      <c r="K1171" t="str">
        <f t="shared" si="129"/>
        <v>yes</v>
      </c>
      <c r="L1171">
        <v>43</v>
      </c>
      <c r="M1171" t="str">
        <f t="shared" si="130"/>
        <v>2020-01-06</v>
      </c>
      <c r="N1171" s="20" t="str">
        <f t="shared" si="131"/>
        <v>2020-01-06</v>
      </c>
      <c r="O1171" t="str">
        <f t="shared" si="132"/>
        <v>2020-01-06</v>
      </c>
    </row>
    <row r="1172" spans="1:15" x14ac:dyDescent="0.2">
      <c r="A1172" s="21" t="str">
        <f t="shared" si="126"/>
        <v>y</v>
      </c>
      <c r="B1172" s="24">
        <v>43983</v>
      </c>
      <c r="C1172" t="s">
        <v>63</v>
      </c>
      <c r="D1172" t="s">
        <v>13</v>
      </c>
      <c r="E1172" t="s">
        <v>27</v>
      </c>
      <c r="F1172" t="s">
        <v>2</v>
      </c>
      <c r="G1172" t="s">
        <v>839</v>
      </c>
      <c r="H1172" t="s">
        <v>2021</v>
      </c>
      <c r="I1172" s="22" t="str">
        <f t="shared" si="127"/>
        <v>2020-01-06</v>
      </c>
      <c r="J1172" s="23" t="str">
        <f t="shared" si="128"/>
        <v>43</v>
      </c>
      <c r="K1172" t="str">
        <f t="shared" si="129"/>
        <v>yes</v>
      </c>
      <c r="L1172">
        <v>43</v>
      </c>
      <c r="M1172" t="str">
        <f t="shared" si="130"/>
        <v>2020-01-06</v>
      </c>
      <c r="N1172" s="20">
        <f t="shared" si="131"/>
        <v>43837</v>
      </c>
      <c r="O1172" t="str">
        <f t="shared" si="132"/>
        <v>2020-01-07</v>
      </c>
    </row>
    <row r="1173" spans="1:15" x14ac:dyDescent="0.2">
      <c r="A1173" s="21" t="str">
        <f t="shared" si="126"/>
        <v>y</v>
      </c>
      <c r="B1173" s="24">
        <v>43952</v>
      </c>
      <c r="C1173" t="s">
        <v>780</v>
      </c>
      <c r="D1173" t="s">
        <v>13</v>
      </c>
      <c r="E1173" t="s">
        <v>27</v>
      </c>
      <c r="F1173" t="s">
        <v>2</v>
      </c>
      <c r="H1173" t="s">
        <v>2028</v>
      </c>
      <c r="I1173" s="22" t="str">
        <f t="shared" si="127"/>
        <v>2020-01-05</v>
      </c>
      <c r="J1173" s="23" t="str">
        <f t="shared" si="128"/>
        <v>43</v>
      </c>
      <c r="K1173" t="str">
        <f t="shared" si="129"/>
        <v>yes</v>
      </c>
      <c r="L1173">
        <v>43</v>
      </c>
      <c r="M1173" t="str">
        <f t="shared" si="130"/>
        <v>2020-01-05</v>
      </c>
      <c r="N1173" s="20">
        <f t="shared" si="131"/>
        <v>43836</v>
      </c>
      <c r="O1173" t="str">
        <f t="shared" si="132"/>
        <v>2020-01-06</v>
      </c>
    </row>
    <row r="1174" spans="1:15" x14ac:dyDescent="0.2">
      <c r="A1174" s="21" t="str">
        <f t="shared" si="126"/>
        <v>y</v>
      </c>
      <c r="B1174" s="24">
        <v>43952</v>
      </c>
      <c r="C1174" t="s">
        <v>616</v>
      </c>
      <c r="D1174" t="s">
        <v>13</v>
      </c>
      <c r="E1174" t="s">
        <v>34</v>
      </c>
      <c r="F1174" t="s">
        <v>2</v>
      </c>
      <c r="G1174" t="s">
        <v>833</v>
      </c>
      <c r="H1174" t="s">
        <v>1988</v>
      </c>
      <c r="I1174" s="22" t="str">
        <f t="shared" si="127"/>
        <v>2020-01-05</v>
      </c>
      <c r="J1174" s="23" t="str">
        <f t="shared" si="128"/>
        <v>43</v>
      </c>
      <c r="K1174" t="str">
        <f t="shared" si="129"/>
        <v>yes</v>
      </c>
      <c r="L1174">
        <v>43</v>
      </c>
      <c r="M1174" t="str">
        <f t="shared" si="130"/>
        <v>2020-01-05</v>
      </c>
      <c r="N1174" s="20">
        <f t="shared" si="131"/>
        <v>43836</v>
      </c>
      <c r="O1174" t="str">
        <f t="shared" si="132"/>
        <v>2020-01-06</v>
      </c>
    </row>
    <row r="1175" spans="1:15" x14ac:dyDescent="0.2">
      <c r="A1175" s="21" t="str">
        <f t="shared" si="126"/>
        <v>y</v>
      </c>
      <c r="B1175" s="24">
        <v>43952</v>
      </c>
      <c r="C1175" t="s">
        <v>151</v>
      </c>
      <c r="D1175" t="s">
        <v>13</v>
      </c>
      <c r="E1175" t="s">
        <v>34</v>
      </c>
      <c r="F1175" t="s">
        <v>2</v>
      </c>
      <c r="H1175" t="s">
        <v>2029</v>
      </c>
      <c r="I1175" s="22" t="str">
        <f t="shared" si="127"/>
        <v>2020-01-05</v>
      </c>
      <c r="J1175" s="23" t="str">
        <f t="shared" si="128"/>
        <v>43</v>
      </c>
      <c r="K1175" t="str">
        <f t="shared" si="129"/>
        <v>yes</v>
      </c>
      <c r="L1175">
        <v>43</v>
      </c>
      <c r="M1175" t="str">
        <f t="shared" si="130"/>
        <v>2020-01-05</v>
      </c>
      <c r="N1175" s="20">
        <f t="shared" si="131"/>
        <v>43836</v>
      </c>
      <c r="O1175" t="str">
        <f t="shared" si="132"/>
        <v>2020-01-06</v>
      </c>
    </row>
    <row r="1176" spans="1:15" x14ac:dyDescent="0.2">
      <c r="A1176" s="21" t="str">
        <f t="shared" si="126"/>
        <v>y</v>
      </c>
      <c r="B1176" s="24">
        <v>43952</v>
      </c>
      <c r="C1176" t="s">
        <v>235</v>
      </c>
      <c r="D1176" t="s">
        <v>13</v>
      </c>
      <c r="E1176" t="s">
        <v>34</v>
      </c>
      <c r="F1176" t="s">
        <v>2</v>
      </c>
      <c r="H1176" t="s">
        <v>2029</v>
      </c>
      <c r="I1176" s="22" t="str">
        <f t="shared" si="127"/>
        <v>2020-01-05</v>
      </c>
      <c r="J1176" s="23" t="str">
        <f t="shared" si="128"/>
        <v>43</v>
      </c>
      <c r="K1176" t="str">
        <f t="shared" si="129"/>
        <v>yes</v>
      </c>
      <c r="L1176">
        <v>43</v>
      </c>
      <c r="M1176" t="str">
        <f t="shared" si="130"/>
        <v>2020-01-05</v>
      </c>
      <c r="N1176" s="20">
        <f t="shared" si="131"/>
        <v>43836</v>
      </c>
      <c r="O1176" t="str">
        <f t="shared" si="132"/>
        <v>2020-01-06</v>
      </c>
    </row>
    <row r="1177" spans="1:15" x14ac:dyDescent="0.2">
      <c r="A1177" s="21" t="str">
        <f t="shared" si="126"/>
        <v>y</v>
      </c>
      <c r="B1177" s="24">
        <v>43952</v>
      </c>
      <c r="C1177" t="s">
        <v>235</v>
      </c>
      <c r="D1177" t="s">
        <v>13</v>
      </c>
      <c r="E1177" t="s">
        <v>43</v>
      </c>
      <c r="F1177" t="s">
        <v>2</v>
      </c>
      <c r="H1177" t="s">
        <v>2033</v>
      </c>
      <c r="I1177" s="22" t="str">
        <f t="shared" si="127"/>
        <v>2020-01-05</v>
      </c>
      <c r="J1177" s="23" t="str">
        <f t="shared" si="128"/>
        <v>43</v>
      </c>
      <c r="K1177" t="str">
        <f t="shared" si="129"/>
        <v>yes</v>
      </c>
      <c r="L1177">
        <v>43</v>
      </c>
      <c r="M1177" t="str">
        <f t="shared" si="130"/>
        <v>2020-01-05</v>
      </c>
      <c r="N1177" s="20">
        <f t="shared" si="131"/>
        <v>43836</v>
      </c>
      <c r="O1177" t="str">
        <f t="shared" si="132"/>
        <v>2020-01-06</v>
      </c>
    </row>
    <row r="1178" spans="1:15" x14ac:dyDescent="0.2">
      <c r="A1178" s="21" t="str">
        <f t="shared" si="126"/>
        <v>y</v>
      </c>
      <c r="B1178" s="24">
        <v>43952</v>
      </c>
      <c r="C1178" t="s">
        <v>235</v>
      </c>
      <c r="D1178" t="s">
        <v>13</v>
      </c>
      <c r="E1178" t="s">
        <v>49</v>
      </c>
      <c r="F1178" t="s">
        <v>29</v>
      </c>
      <c r="G1178" t="s">
        <v>834</v>
      </c>
      <c r="H1178" t="s">
        <v>2034</v>
      </c>
      <c r="I1178" s="22" t="str">
        <f t="shared" si="127"/>
        <v>2020-01-05</v>
      </c>
      <c r="J1178" s="23" t="str">
        <f t="shared" si="128"/>
        <v>43</v>
      </c>
      <c r="K1178" t="str">
        <f t="shared" si="129"/>
        <v>yes</v>
      </c>
      <c r="L1178">
        <v>43</v>
      </c>
      <c r="M1178" t="str">
        <f t="shared" si="130"/>
        <v>2020-01-05</v>
      </c>
      <c r="N1178" s="20" t="str">
        <f t="shared" si="131"/>
        <v>2020-01-05</v>
      </c>
      <c r="O1178" t="str">
        <f t="shared" si="132"/>
        <v>2020-01-05</v>
      </c>
    </row>
    <row r="1179" spans="1:15" x14ac:dyDescent="0.2">
      <c r="A1179" s="21" t="str">
        <f t="shared" si="126"/>
        <v>y</v>
      </c>
      <c r="B1179" s="24">
        <v>43952</v>
      </c>
      <c r="C1179" t="s">
        <v>830</v>
      </c>
      <c r="D1179" t="s">
        <v>13</v>
      </c>
      <c r="E1179" t="s">
        <v>21</v>
      </c>
      <c r="F1179" t="s">
        <v>29</v>
      </c>
      <c r="G1179" t="s">
        <v>831</v>
      </c>
      <c r="H1179" t="s">
        <v>2029</v>
      </c>
      <c r="I1179" s="22" t="str">
        <f t="shared" si="127"/>
        <v>2020-01-05</v>
      </c>
      <c r="J1179" s="23" t="str">
        <f t="shared" si="128"/>
        <v>43</v>
      </c>
      <c r="K1179" t="str">
        <f t="shared" si="129"/>
        <v>yes</v>
      </c>
      <c r="L1179">
        <v>43</v>
      </c>
      <c r="M1179" t="str">
        <f t="shared" si="130"/>
        <v>2020-01-05</v>
      </c>
      <c r="N1179" s="20" t="str">
        <f t="shared" si="131"/>
        <v>2020-01-05</v>
      </c>
      <c r="O1179" t="str">
        <f t="shared" si="132"/>
        <v>2020-01-05</v>
      </c>
    </row>
    <row r="1180" spans="1:15" x14ac:dyDescent="0.2">
      <c r="A1180" s="21" t="str">
        <f t="shared" si="126"/>
        <v>y</v>
      </c>
      <c r="B1180" s="24">
        <v>43952</v>
      </c>
      <c r="C1180" t="s">
        <v>830</v>
      </c>
      <c r="D1180" t="s">
        <v>13</v>
      </c>
      <c r="E1180" t="s">
        <v>27</v>
      </c>
      <c r="F1180" t="s">
        <v>2</v>
      </c>
      <c r="G1180" t="s">
        <v>837</v>
      </c>
      <c r="H1180" t="s">
        <v>2033</v>
      </c>
      <c r="I1180" s="22" t="str">
        <f t="shared" si="127"/>
        <v>2020-01-05</v>
      </c>
      <c r="J1180" s="23" t="str">
        <f t="shared" si="128"/>
        <v>43</v>
      </c>
      <c r="K1180" t="str">
        <f t="shared" si="129"/>
        <v>yes</v>
      </c>
      <c r="L1180">
        <v>43</v>
      </c>
      <c r="M1180" t="str">
        <f t="shared" si="130"/>
        <v>2020-01-05</v>
      </c>
      <c r="N1180" s="20">
        <f t="shared" si="131"/>
        <v>43836</v>
      </c>
      <c r="O1180" t="str">
        <f t="shared" si="132"/>
        <v>2020-01-06</v>
      </c>
    </row>
    <row r="1181" spans="1:15" x14ac:dyDescent="0.2">
      <c r="A1181" s="21" t="str">
        <f t="shared" si="126"/>
        <v>y</v>
      </c>
      <c r="B1181" s="24">
        <v>43952</v>
      </c>
      <c r="C1181" t="s">
        <v>352</v>
      </c>
      <c r="D1181" t="s">
        <v>13</v>
      </c>
      <c r="E1181" t="s">
        <v>49</v>
      </c>
      <c r="F1181" t="s">
        <v>29</v>
      </c>
      <c r="G1181" t="s">
        <v>836</v>
      </c>
      <c r="H1181" t="s">
        <v>2001</v>
      </c>
      <c r="I1181" s="22" t="str">
        <f t="shared" si="127"/>
        <v>2020-01-05</v>
      </c>
      <c r="J1181" s="23" t="str">
        <f t="shared" si="128"/>
        <v>43</v>
      </c>
      <c r="K1181" t="str">
        <f t="shared" si="129"/>
        <v>yes</v>
      </c>
      <c r="L1181">
        <v>43</v>
      </c>
      <c r="M1181" t="str">
        <f t="shared" si="130"/>
        <v>2020-01-05</v>
      </c>
      <c r="N1181" s="20" t="str">
        <f t="shared" si="131"/>
        <v>2020-01-05</v>
      </c>
      <c r="O1181" t="str">
        <f t="shared" si="132"/>
        <v>2020-01-05</v>
      </c>
    </row>
    <row r="1182" spans="1:15" x14ac:dyDescent="0.2">
      <c r="A1182" s="21" t="str">
        <f t="shared" si="126"/>
        <v>y</v>
      </c>
      <c r="B1182" s="24">
        <v>43952</v>
      </c>
      <c r="C1182" t="s">
        <v>832</v>
      </c>
      <c r="D1182" t="s">
        <v>13</v>
      </c>
      <c r="E1182" t="s">
        <v>49</v>
      </c>
      <c r="F1182" t="s">
        <v>2</v>
      </c>
      <c r="G1182" t="s">
        <v>850</v>
      </c>
      <c r="H1182" t="s">
        <v>2021</v>
      </c>
      <c r="I1182" s="22" t="str">
        <f t="shared" si="127"/>
        <v>2020-01-05</v>
      </c>
      <c r="J1182" s="23" t="str">
        <f t="shared" si="128"/>
        <v>43</v>
      </c>
      <c r="K1182" t="str">
        <f t="shared" si="129"/>
        <v>yes</v>
      </c>
      <c r="L1182">
        <v>43</v>
      </c>
      <c r="M1182" t="str">
        <f t="shared" si="130"/>
        <v>2020-01-05</v>
      </c>
      <c r="N1182" s="20">
        <f t="shared" si="131"/>
        <v>43836</v>
      </c>
      <c r="O1182" t="str">
        <f t="shared" si="132"/>
        <v>2020-01-06</v>
      </c>
    </row>
    <row r="1183" spans="1:15" x14ac:dyDescent="0.2">
      <c r="A1183" s="21" t="str">
        <f t="shared" si="126"/>
        <v>y</v>
      </c>
      <c r="B1183" s="24">
        <v>43922</v>
      </c>
      <c r="C1183" t="s">
        <v>780</v>
      </c>
      <c r="D1183" t="s">
        <v>13</v>
      </c>
      <c r="E1183" t="s">
        <v>27</v>
      </c>
      <c r="F1183" t="s">
        <v>2</v>
      </c>
      <c r="G1183" t="s">
        <v>829</v>
      </c>
      <c r="H1183" t="s">
        <v>2028</v>
      </c>
      <c r="I1183" s="22" t="str">
        <f t="shared" si="127"/>
        <v>2020-01-04</v>
      </c>
      <c r="J1183" s="23" t="str">
        <f t="shared" si="128"/>
        <v>43</v>
      </c>
      <c r="K1183" t="str">
        <f t="shared" si="129"/>
        <v>yes</v>
      </c>
      <c r="L1183">
        <v>43</v>
      </c>
      <c r="M1183" t="str">
        <f t="shared" si="130"/>
        <v>2020-01-04</v>
      </c>
      <c r="N1183" s="20">
        <f t="shared" si="131"/>
        <v>43835</v>
      </c>
      <c r="O1183" t="str">
        <f t="shared" si="132"/>
        <v>2020-01-05</v>
      </c>
    </row>
    <row r="1184" spans="1:15" x14ac:dyDescent="0.2">
      <c r="A1184" s="21" t="str">
        <f t="shared" si="126"/>
        <v>y</v>
      </c>
      <c r="B1184" s="24">
        <v>43922</v>
      </c>
      <c r="C1184" t="s">
        <v>616</v>
      </c>
      <c r="D1184" t="s">
        <v>13</v>
      </c>
      <c r="E1184" t="s">
        <v>34</v>
      </c>
      <c r="F1184" t="s">
        <v>2</v>
      </c>
      <c r="H1184" t="s">
        <v>1988</v>
      </c>
      <c r="I1184" s="22" t="str">
        <f t="shared" si="127"/>
        <v>2020-01-04</v>
      </c>
      <c r="J1184" s="23" t="str">
        <f t="shared" si="128"/>
        <v>43</v>
      </c>
      <c r="K1184" t="str">
        <f t="shared" si="129"/>
        <v>yes</v>
      </c>
      <c r="L1184">
        <v>43</v>
      </c>
      <c r="M1184" t="str">
        <f t="shared" si="130"/>
        <v>2020-01-04</v>
      </c>
      <c r="N1184" s="20">
        <f t="shared" si="131"/>
        <v>43835</v>
      </c>
      <c r="O1184" t="str">
        <f t="shared" si="132"/>
        <v>2020-01-05</v>
      </c>
    </row>
    <row r="1185" spans="1:15" x14ac:dyDescent="0.2">
      <c r="A1185" s="21" t="str">
        <f t="shared" si="126"/>
        <v>y</v>
      </c>
      <c r="B1185" s="24">
        <v>43922</v>
      </c>
      <c r="C1185" t="s">
        <v>151</v>
      </c>
      <c r="D1185" t="s">
        <v>13</v>
      </c>
      <c r="E1185" t="s">
        <v>34</v>
      </c>
      <c r="F1185" t="s">
        <v>2</v>
      </c>
      <c r="G1185" t="s">
        <v>828</v>
      </c>
      <c r="H1185" t="s">
        <v>2029</v>
      </c>
      <c r="I1185" s="22" t="str">
        <f t="shared" si="127"/>
        <v>2020-01-04</v>
      </c>
      <c r="J1185" s="23" t="str">
        <f t="shared" si="128"/>
        <v>43</v>
      </c>
      <c r="K1185" t="str">
        <f t="shared" si="129"/>
        <v>yes</v>
      </c>
      <c r="L1185">
        <v>43</v>
      </c>
      <c r="M1185" t="str">
        <f t="shared" si="130"/>
        <v>2020-01-04</v>
      </c>
      <c r="N1185" s="20">
        <f t="shared" si="131"/>
        <v>43835</v>
      </c>
      <c r="O1185" t="str">
        <f t="shared" si="132"/>
        <v>2020-01-05</v>
      </c>
    </row>
    <row r="1186" spans="1:15" x14ac:dyDescent="0.2">
      <c r="A1186" s="21" t="str">
        <f t="shared" si="126"/>
        <v>y</v>
      </c>
      <c r="B1186" s="24">
        <v>43922</v>
      </c>
      <c r="C1186" t="s">
        <v>235</v>
      </c>
      <c r="D1186" t="s">
        <v>13</v>
      </c>
      <c r="E1186" t="s">
        <v>21</v>
      </c>
      <c r="F1186" t="s">
        <v>29</v>
      </c>
      <c r="G1186" t="s">
        <v>825</v>
      </c>
      <c r="H1186" t="s">
        <v>2029</v>
      </c>
      <c r="I1186" s="22" t="str">
        <f t="shared" si="127"/>
        <v>2020-01-04</v>
      </c>
      <c r="J1186" s="23" t="str">
        <f t="shared" si="128"/>
        <v>43</v>
      </c>
      <c r="K1186" t="str">
        <f t="shared" si="129"/>
        <v>yes</v>
      </c>
      <c r="L1186">
        <v>43</v>
      </c>
      <c r="M1186" t="str">
        <f t="shared" si="130"/>
        <v>2020-01-04</v>
      </c>
      <c r="N1186" s="20" t="str">
        <f t="shared" si="131"/>
        <v>2020-01-04</v>
      </c>
      <c r="O1186" t="str">
        <f t="shared" si="132"/>
        <v>2020-01-04</v>
      </c>
    </row>
    <row r="1187" spans="1:15" x14ac:dyDescent="0.2">
      <c r="A1187" s="21" t="str">
        <f t="shared" si="126"/>
        <v>y</v>
      </c>
      <c r="B1187" s="24">
        <v>43922</v>
      </c>
      <c r="C1187" t="s">
        <v>235</v>
      </c>
      <c r="D1187" t="s">
        <v>13</v>
      </c>
      <c r="E1187" t="s">
        <v>34</v>
      </c>
      <c r="F1187" t="s">
        <v>2</v>
      </c>
      <c r="G1187" t="s">
        <v>826</v>
      </c>
      <c r="H1187" t="s">
        <v>2029</v>
      </c>
      <c r="I1187" s="22" t="str">
        <f t="shared" si="127"/>
        <v>2020-01-04</v>
      </c>
      <c r="J1187" s="23" t="str">
        <f t="shared" si="128"/>
        <v>43</v>
      </c>
      <c r="K1187" t="str">
        <f t="shared" si="129"/>
        <v>yes</v>
      </c>
      <c r="L1187">
        <v>43</v>
      </c>
      <c r="M1187" t="str">
        <f t="shared" si="130"/>
        <v>2020-01-04</v>
      </c>
      <c r="N1187" s="20">
        <f t="shared" si="131"/>
        <v>43835</v>
      </c>
      <c r="O1187" t="str">
        <f t="shared" si="132"/>
        <v>2020-01-05</v>
      </c>
    </row>
    <row r="1188" spans="1:15" x14ac:dyDescent="0.2">
      <c r="A1188" s="21" t="str">
        <f t="shared" si="126"/>
        <v>y</v>
      </c>
      <c r="B1188" s="24">
        <v>43922</v>
      </c>
      <c r="C1188" t="s">
        <v>235</v>
      </c>
      <c r="D1188" t="s">
        <v>13</v>
      </c>
      <c r="E1188" t="s">
        <v>43</v>
      </c>
      <c r="F1188" t="s">
        <v>2</v>
      </c>
      <c r="G1188" t="s">
        <v>827</v>
      </c>
      <c r="H1188" t="s">
        <v>2021</v>
      </c>
      <c r="I1188" s="22" t="str">
        <f t="shared" si="127"/>
        <v>2020-01-04</v>
      </c>
      <c r="J1188" s="23" t="str">
        <f t="shared" si="128"/>
        <v>43</v>
      </c>
      <c r="K1188" t="str">
        <f t="shared" si="129"/>
        <v>yes</v>
      </c>
      <c r="L1188">
        <v>43</v>
      </c>
      <c r="M1188" t="str">
        <f t="shared" si="130"/>
        <v>2020-01-04</v>
      </c>
      <c r="N1188" s="20">
        <f t="shared" si="131"/>
        <v>43835</v>
      </c>
      <c r="O1188" t="str">
        <f t="shared" si="132"/>
        <v>2020-01-05</v>
      </c>
    </row>
    <row r="1189" spans="1:15" x14ac:dyDescent="0.2">
      <c r="A1189" s="21" t="str">
        <f t="shared" si="126"/>
        <v>y</v>
      </c>
      <c r="B1189" s="24">
        <v>43862</v>
      </c>
      <c r="C1189" t="s">
        <v>780</v>
      </c>
      <c r="D1189" t="s">
        <v>13</v>
      </c>
      <c r="E1189" t="s">
        <v>27</v>
      </c>
      <c r="F1189" t="s">
        <v>2</v>
      </c>
      <c r="G1189" t="s">
        <v>822</v>
      </c>
      <c r="H1189" t="s">
        <v>2028</v>
      </c>
      <c r="I1189" s="22" t="str">
        <f t="shared" si="127"/>
        <v>2020-01-02</v>
      </c>
      <c r="J1189" s="23" t="str">
        <f t="shared" si="128"/>
        <v>43</v>
      </c>
      <c r="K1189" t="str">
        <f t="shared" si="129"/>
        <v>yes</v>
      </c>
      <c r="L1189">
        <v>43</v>
      </c>
      <c r="M1189" t="str">
        <f t="shared" si="130"/>
        <v>2020-01-02</v>
      </c>
      <c r="N1189" s="20">
        <f t="shared" si="131"/>
        <v>43833</v>
      </c>
      <c r="O1189" t="str">
        <f t="shared" si="132"/>
        <v>2020-01-03</v>
      </c>
    </row>
    <row r="1190" spans="1:15" x14ac:dyDescent="0.2">
      <c r="A1190" s="21" t="str">
        <f t="shared" si="126"/>
        <v>y</v>
      </c>
      <c r="B1190" s="24">
        <v>43862</v>
      </c>
      <c r="C1190" t="s">
        <v>616</v>
      </c>
      <c r="D1190" t="s">
        <v>13</v>
      </c>
      <c r="E1190" t="s">
        <v>34</v>
      </c>
      <c r="F1190" t="s">
        <v>2</v>
      </c>
      <c r="H1190" t="s">
        <v>1988</v>
      </c>
      <c r="I1190" s="22" t="str">
        <f t="shared" si="127"/>
        <v>2020-01-02</v>
      </c>
      <c r="J1190" s="23" t="str">
        <f t="shared" si="128"/>
        <v>43</v>
      </c>
      <c r="K1190" t="str">
        <f t="shared" si="129"/>
        <v>yes</v>
      </c>
      <c r="L1190">
        <v>43</v>
      </c>
      <c r="M1190" t="str">
        <f t="shared" si="130"/>
        <v>2020-01-02</v>
      </c>
      <c r="N1190" s="20">
        <f t="shared" si="131"/>
        <v>43833</v>
      </c>
      <c r="O1190" t="str">
        <f t="shared" si="132"/>
        <v>2020-01-03</v>
      </c>
    </row>
    <row r="1191" spans="1:15" x14ac:dyDescent="0.2">
      <c r="A1191" s="21" t="str">
        <f t="shared" si="126"/>
        <v>y</v>
      </c>
      <c r="B1191" s="24">
        <v>43862</v>
      </c>
      <c r="C1191" t="s">
        <v>151</v>
      </c>
      <c r="D1191" t="s">
        <v>13</v>
      </c>
      <c r="E1191" t="s">
        <v>34</v>
      </c>
      <c r="F1191" t="s">
        <v>2</v>
      </c>
      <c r="H1191" t="s">
        <v>2029</v>
      </c>
      <c r="I1191" s="22" t="str">
        <f t="shared" si="127"/>
        <v>2020-01-02</v>
      </c>
      <c r="J1191" s="23" t="str">
        <f t="shared" si="128"/>
        <v>43</v>
      </c>
      <c r="K1191" t="str">
        <f t="shared" si="129"/>
        <v>yes</v>
      </c>
      <c r="L1191">
        <v>43</v>
      </c>
      <c r="M1191" t="str">
        <f t="shared" si="130"/>
        <v>2020-01-02</v>
      </c>
      <c r="N1191" s="20">
        <f t="shared" si="131"/>
        <v>43833</v>
      </c>
      <c r="O1191" t="str">
        <f t="shared" si="132"/>
        <v>2020-01-03</v>
      </c>
    </row>
    <row r="1192" spans="1:15" x14ac:dyDescent="0.2">
      <c r="A1192" s="21" t="str">
        <f t="shared" si="126"/>
        <v>y</v>
      </c>
      <c r="B1192" s="24">
        <v>43862</v>
      </c>
      <c r="C1192" t="s">
        <v>235</v>
      </c>
      <c r="D1192" t="s">
        <v>13</v>
      </c>
      <c r="E1192" t="s">
        <v>43</v>
      </c>
      <c r="F1192" t="s">
        <v>2</v>
      </c>
      <c r="G1192" t="s">
        <v>824</v>
      </c>
      <c r="H1192" t="s">
        <v>2021</v>
      </c>
      <c r="I1192" s="22" t="str">
        <f t="shared" si="127"/>
        <v>2020-01-02</v>
      </c>
      <c r="J1192" s="23" t="str">
        <f t="shared" si="128"/>
        <v>43</v>
      </c>
      <c r="K1192" t="str">
        <f t="shared" si="129"/>
        <v>yes</v>
      </c>
      <c r="L1192">
        <v>43</v>
      </c>
      <c r="M1192" t="str">
        <f t="shared" si="130"/>
        <v>2020-01-02</v>
      </c>
      <c r="N1192" s="20">
        <f t="shared" si="131"/>
        <v>43833</v>
      </c>
      <c r="O1192" t="str">
        <f t="shared" si="132"/>
        <v>2020-01-03</v>
      </c>
    </row>
    <row r="1193" spans="1:15" x14ac:dyDescent="0.2">
      <c r="A1193" s="21" t="str">
        <f t="shared" si="126"/>
        <v>y</v>
      </c>
      <c r="B1193" s="24" t="s">
        <v>1774</v>
      </c>
      <c r="C1193" t="s">
        <v>780</v>
      </c>
      <c r="D1193" t="s">
        <v>13</v>
      </c>
      <c r="E1193" t="s">
        <v>27</v>
      </c>
      <c r="F1193" t="s">
        <v>2</v>
      </c>
      <c r="H1193" t="s">
        <v>2029</v>
      </c>
      <c r="I1193" s="22" t="str">
        <f t="shared" si="127"/>
        <v>2019-12-31</v>
      </c>
      <c r="J1193" s="23" t="str">
        <f t="shared" si="128"/>
        <v>31</v>
      </c>
      <c r="K1193" t="str">
        <f t="shared" si="129"/>
        <v>no</v>
      </c>
      <c r="L1193">
        <v>31</v>
      </c>
      <c r="M1193" t="str">
        <f t="shared" si="130"/>
        <v>2019-12-31</v>
      </c>
      <c r="N1193" s="20">
        <f t="shared" si="131"/>
        <v>43831</v>
      </c>
      <c r="O1193" t="str">
        <f t="shared" si="132"/>
        <v>2020-01-01</v>
      </c>
    </row>
    <row r="1194" spans="1:15" x14ac:dyDescent="0.2">
      <c r="A1194" s="21" t="str">
        <f t="shared" si="126"/>
        <v>y</v>
      </c>
      <c r="B1194" s="24" t="s">
        <v>1774</v>
      </c>
      <c r="C1194" t="s">
        <v>235</v>
      </c>
      <c r="D1194" t="s">
        <v>13</v>
      </c>
      <c r="E1194" t="s">
        <v>43</v>
      </c>
      <c r="F1194" t="s">
        <v>2</v>
      </c>
      <c r="H1194" t="s">
        <v>2025</v>
      </c>
      <c r="I1194" s="22" t="str">
        <f t="shared" si="127"/>
        <v>2019-12-31</v>
      </c>
      <c r="J1194" s="23" t="str">
        <f t="shared" si="128"/>
        <v>31</v>
      </c>
      <c r="K1194" t="str">
        <f t="shared" si="129"/>
        <v>no</v>
      </c>
      <c r="L1194">
        <v>31</v>
      </c>
      <c r="M1194" t="str">
        <f t="shared" si="130"/>
        <v>2019-12-31</v>
      </c>
      <c r="N1194" s="20">
        <f t="shared" si="131"/>
        <v>43831</v>
      </c>
      <c r="O1194" t="str">
        <f t="shared" si="132"/>
        <v>2020-01-01</v>
      </c>
    </row>
    <row r="1195" spans="1:15" x14ac:dyDescent="0.2">
      <c r="A1195" s="21" t="str">
        <f t="shared" si="126"/>
        <v>y</v>
      </c>
      <c r="B1195" s="24" t="s">
        <v>1774</v>
      </c>
      <c r="C1195" t="s">
        <v>578</v>
      </c>
      <c r="D1195" t="s">
        <v>14</v>
      </c>
      <c r="E1195" t="s">
        <v>27</v>
      </c>
      <c r="F1195" t="s">
        <v>2</v>
      </c>
      <c r="H1195" t="s">
        <v>2028</v>
      </c>
      <c r="I1195" s="22" t="str">
        <f t="shared" si="127"/>
        <v>2019-12-31</v>
      </c>
      <c r="J1195" s="23" t="str">
        <f t="shared" si="128"/>
        <v>31</v>
      </c>
      <c r="K1195" t="str">
        <f t="shared" si="129"/>
        <v>no</v>
      </c>
      <c r="L1195">
        <v>31</v>
      </c>
      <c r="M1195" t="str">
        <f t="shared" si="130"/>
        <v>2019-12-31</v>
      </c>
      <c r="N1195" s="20">
        <f t="shared" si="131"/>
        <v>43831</v>
      </c>
      <c r="O1195" t="str">
        <f t="shared" si="132"/>
        <v>2020-01-01</v>
      </c>
    </row>
    <row r="1196" spans="1:15" x14ac:dyDescent="0.2">
      <c r="A1196" s="21" t="str">
        <f t="shared" si="126"/>
        <v>y</v>
      </c>
      <c r="B1196" s="24" t="s">
        <v>1774</v>
      </c>
      <c r="C1196" t="s">
        <v>616</v>
      </c>
      <c r="D1196" t="s">
        <v>13</v>
      </c>
      <c r="E1196" t="s">
        <v>21</v>
      </c>
      <c r="F1196" t="s">
        <v>29</v>
      </c>
      <c r="G1196" t="s">
        <v>823</v>
      </c>
      <c r="H1196" t="s">
        <v>2021</v>
      </c>
      <c r="I1196" s="22" t="str">
        <f t="shared" si="127"/>
        <v>2019-12-31</v>
      </c>
      <c r="J1196" s="23" t="str">
        <f t="shared" si="128"/>
        <v>31</v>
      </c>
      <c r="K1196" t="str">
        <f t="shared" si="129"/>
        <v>no</v>
      </c>
      <c r="L1196">
        <v>31</v>
      </c>
      <c r="M1196" t="str">
        <f t="shared" si="130"/>
        <v>2019-12-31</v>
      </c>
      <c r="N1196" s="20" t="str">
        <f t="shared" si="131"/>
        <v>2019-12-31</v>
      </c>
      <c r="O1196" t="str">
        <f t="shared" si="132"/>
        <v>2019-12-31</v>
      </c>
    </row>
    <row r="1197" spans="1:15" x14ac:dyDescent="0.2">
      <c r="A1197" s="21" t="str">
        <f t="shared" si="126"/>
        <v>y</v>
      </c>
      <c r="B1197" s="24" t="s">
        <v>1775</v>
      </c>
      <c r="C1197" t="s">
        <v>780</v>
      </c>
      <c r="D1197" t="s">
        <v>13</v>
      </c>
      <c r="E1197" t="s">
        <v>27</v>
      </c>
      <c r="F1197" t="s">
        <v>2</v>
      </c>
      <c r="G1197" t="s">
        <v>820</v>
      </c>
      <c r="H1197" t="s">
        <v>2029</v>
      </c>
      <c r="I1197" s="22" t="str">
        <f t="shared" si="127"/>
        <v>2019-12-30</v>
      </c>
      <c r="J1197" s="23" t="str">
        <f t="shared" si="128"/>
        <v>30</v>
      </c>
      <c r="K1197" t="str">
        <f t="shared" si="129"/>
        <v>no</v>
      </c>
      <c r="L1197">
        <v>30</v>
      </c>
      <c r="M1197" t="str">
        <f t="shared" si="130"/>
        <v>2019-12-30</v>
      </c>
      <c r="N1197" s="20">
        <f t="shared" si="131"/>
        <v>43830</v>
      </c>
      <c r="O1197" t="str">
        <f t="shared" si="132"/>
        <v>2019-12-31</v>
      </c>
    </row>
    <row r="1198" spans="1:15" x14ac:dyDescent="0.2">
      <c r="A1198" s="21" t="str">
        <f t="shared" si="126"/>
        <v>y</v>
      </c>
      <c r="B1198" s="24" t="s">
        <v>1775</v>
      </c>
      <c r="C1198" t="s">
        <v>235</v>
      </c>
      <c r="D1198" t="s">
        <v>13</v>
      </c>
      <c r="E1198" t="s">
        <v>43</v>
      </c>
      <c r="F1198" t="s">
        <v>2</v>
      </c>
      <c r="G1198" t="s">
        <v>819</v>
      </c>
      <c r="H1198" t="s">
        <v>2025</v>
      </c>
      <c r="I1198" s="22" t="str">
        <f t="shared" si="127"/>
        <v>2019-12-30</v>
      </c>
      <c r="J1198" s="23" t="str">
        <f t="shared" si="128"/>
        <v>30</v>
      </c>
      <c r="K1198" t="str">
        <f t="shared" si="129"/>
        <v>no</v>
      </c>
      <c r="L1198">
        <v>30</v>
      </c>
      <c r="M1198" t="str">
        <f t="shared" si="130"/>
        <v>2019-12-30</v>
      </c>
      <c r="N1198" s="20">
        <f t="shared" si="131"/>
        <v>43830</v>
      </c>
      <c r="O1198" t="str">
        <f t="shared" si="132"/>
        <v>2019-12-31</v>
      </c>
    </row>
    <row r="1199" spans="1:15" x14ac:dyDescent="0.2">
      <c r="A1199" s="21" t="str">
        <f t="shared" si="126"/>
        <v>y</v>
      </c>
      <c r="B1199" s="24" t="s">
        <v>1775</v>
      </c>
      <c r="C1199" t="s">
        <v>578</v>
      </c>
      <c r="D1199" t="s">
        <v>14</v>
      </c>
      <c r="E1199" t="s">
        <v>27</v>
      </c>
      <c r="F1199" t="s">
        <v>2</v>
      </c>
      <c r="H1199" t="s">
        <v>2028</v>
      </c>
      <c r="I1199" s="22" t="str">
        <f t="shared" si="127"/>
        <v>2019-12-30</v>
      </c>
      <c r="J1199" s="23" t="str">
        <f t="shared" si="128"/>
        <v>30</v>
      </c>
      <c r="K1199" t="str">
        <f t="shared" si="129"/>
        <v>no</v>
      </c>
      <c r="L1199">
        <v>30</v>
      </c>
      <c r="M1199" t="str">
        <f t="shared" si="130"/>
        <v>2019-12-30</v>
      </c>
      <c r="N1199" s="20">
        <f t="shared" si="131"/>
        <v>43830</v>
      </c>
      <c r="O1199" t="str">
        <f t="shared" si="132"/>
        <v>2019-12-31</v>
      </c>
    </row>
    <row r="1200" spans="1:15" x14ac:dyDescent="0.2">
      <c r="A1200" s="21" t="str">
        <f t="shared" si="126"/>
        <v>y</v>
      </c>
      <c r="B1200" s="24" t="s">
        <v>1775</v>
      </c>
      <c r="C1200" t="s">
        <v>616</v>
      </c>
      <c r="D1200" t="s">
        <v>13</v>
      </c>
      <c r="E1200" t="s">
        <v>27</v>
      </c>
      <c r="F1200" t="s">
        <v>29</v>
      </c>
      <c r="G1200" t="s">
        <v>821</v>
      </c>
      <c r="H1200" t="s">
        <v>2021</v>
      </c>
      <c r="I1200" s="22" t="str">
        <f t="shared" si="127"/>
        <v>2019-12-30</v>
      </c>
      <c r="J1200" s="23" t="str">
        <f t="shared" si="128"/>
        <v>30</v>
      </c>
      <c r="K1200" t="str">
        <f t="shared" si="129"/>
        <v>no</v>
      </c>
      <c r="L1200">
        <v>30</v>
      </c>
      <c r="M1200" t="str">
        <f t="shared" si="130"/>
        <v>2019-12-30</v>
      </c>
      <c r="N1200" s="20" t="str">
        <f t="shared" si="131"/>
        <v>2019-12-30</v>
      </c>
      <c r="O1200" t="str">
        <f t="shared" si="132"/>
        <v>2019-12-30</v>
      </c>
    </row>
    <row r="1201" spans="1:15" x14ac:dyDescent="0.2">
      <c r="A1201" s="21" t="str">
        <f t="shared" si="126"/>
        <v>y</v>
      </c>
      <c r="B1201" s="24" t="s">
        <v>1776</v>
      </c>
      <c r="C1201" t="s">
        <v>780</v>
      </c>
      <c r="D1201" t="s">
        <v>13</v>
      </c>
      <c r="E1201" t="s">
        <v>27</v>
      </c>
      <c r="F1201" t="s">
        <v>2</v>
      </c>
      <c r="H1201" t="s">
        <v>2029</v>
      </c>
      <c r="I1201" s="22" t="str">
        <f t="shared" si="127"/>
        <v>2019-12-29</v>
      </c>
      <c r="J1201" s="23" t="str">
        <f t="shared" si="128"/>
        <v>29</v>
      </c>
      <c r="K1201" t="str">
        <f t="shared" si="129"/>
        <v>no</v>
      </c>
      <c r="L1201">
        <v>29</v>
      </c>
      <c r="M1201" t="str">
        <f t="shared" si="130"/>
        <v>2019-12-29</v>
      </c>
      <c r="N1201" s="20">
        <f t="shared" si="131"/>
        <v>43829</v>
      </c>
      <c r="O1201" t="str">
        <f t="shared" si="132"/>
        <v>2019-12-30</v>
      </c>
    </row>
    <row r="1202" spans="1:15" x14ac:dyDescent="0.2">
      <c r="A1202" s="21" t="str">
        <f t="shared" si="126"/>
        <v>y</v>
      </c>
      <c r="B1202" s="24" t="s">
        <v>1776</v>
      </c>
      <c r="C1202" t="s">
        <v>235</v>
      </c>
      <c r="D1202" t="s">
        <v>13</v>
      </c>
      <c r="E1202" t="s">
        <v>43</v>
      </c>
      <c r="F1202" t="s">
        <v>2</v>
      </c>
      <c r="G1202" t="s">
        <v>817</v>
      </c>
      <c r="H1202" t="s">
        <v>2025</v>
      </c>
      <c r="I1202" s="22" t="str">
        <f t="shared" si="127"/>
        <v>2019-12-29</v>
      </c>
      <c r="J1202" s="23" t="str">
        <f t="shared" si="128"/>
        <v>29</v>
      </c>
      <c r="K1202" t="str">
        <f t="shared" si="129"/>
        <v>no</v>
      </c>
      <c r="L1202">
        <v>29</v>
      </c>
      <c r="M1202" t="str">
        <f t="shared" si="130"/>
        <v>2019-12-29</v>
      </c>
      <c r="N1202" s="20">
        <f t="shared" si="131"/>
        <v>43829</v>
      </c>
      <c r="O1202" t="str">
        <f t="shared" si="132"/>
        <v>2019-12-30</v>
      </c>
    </row>
    <row r="1203" spans="1:15" x14ac:dyDescent="0.2">
      <c r="A1203" s="21" t="str">
        <f t="shared" si="126"/>
        <v>y</v>
      </c>
      <c r="B1203" s="24" t="s">
        <v>1776</v>
      </c>
      <c r="C1203" t="s">
        <v>578</v>
      </c>
      <c r="D1203" t="s">
        <v>14</v>
      </c>
      <c r="E1203" t="s">
        <v>27</v>
      </c>
      <c r="F1203" t="s">
        <v>2</v>
      </c>
      <c r="G1203" t="s">
        <v>818</v>
      </c>
      <c r="H1203" t="s">
        <v>2035</v>
      </c>
      <c r="I1203" s="22" t="str">
        <f t="shared" si="127"/>
        <v>2019-12-29</v>
      </c>
      <c r="J1203" s="23" t="str">
        <f t="shared" si="128"/>
        <v>29</v>
      </c>
      <c r="K1203" t="str">
        <f t="shared" si="129"/>
        <v>no</v>
      </c>
      <c r="L1203">
        <v>29</v>
      </c>
      <c r="M1203" t="str">
        <f t="shared" si="130"/>
        <v>2019-12-29</v>
      </c>
      <c r="N1203" s="20">
        <f t="shared" si="131"/>
        <v>43829</v>
      </c>
      <c r="O1203" t="str">
        <f t="shared" si="132"/>
        <v>2019-12-30</v>
      </c>
    </row>
    <row r="1204" spans="1:15" x14ac:dyDescent="0.2">
      <c r="A1204" s="21" t="str">
        <f t="shared" si="126"/>
        <v>y</v>
      </c>
      <c r="B1204" s="24" t="s">
        <v>1776</v>
      </c>
      <c r="C1204" t="s">
        <v>499</v>
      </c>
      <c r="D1204" t="s">
        <v>13</v>
      </c>
      <c r="E1204" t="s">
        <v>64</v>
      </c>
      <c r="F1204" t="s">
        <v>29</v>
      </c>
      <c r="G1204" t="s">
        <v>815</v>
      </c>
      <c r="H1204" t="s">
        <v>2036</v>
      </c>
      <c r="I1204" s="22" t="str">
        <f t="shared" si="127"/>
        <v>2019-12-29</v>
      </c>
      <c r="J1204" s="23" t="str">
        <f t="shared" si="128"/>
        <v>29</v>
      </c>
      <c r="K1204" t="str">
        <f t="shared" si="129"/>
        <v>no</v>
      </c>
      <c r="L1204">
        <v>29</v>
      </c>
      <c r="M1204" t="str">
        <f t="shared" si="130"/>
        <v>2019-12-29</v>
      </c>
      <c r="N1204" s="20" t="str">
        <f t="shared" si="131"/>
        <v>2019-12-29</v>
      </c>
      <c r="O1204" t="str">
        <f t="shared" si="132"/>
        <v>2019-12-29</v>
      </c>
    </row>
    <row r="1205" spans="1:15" x14ac:dyDescent="0.2">
      <c r="A1205" s="21" t="str">
        <f t="shared" si="126"/>
        <v>y</v>
      </c>
      <c r="B1205" s="24" t="s">
        <v>1776</v>
      </c>
      <c r="C1205" t="s">
        <v>540</v>
      </c>
      <c r="D1205" t="s">
        <v>13</v>
      </c>
      <c r="E1205" t="s">
        <v>27</v>
      </c>
      <c r="F1205" t="s">
        <v>29</v>
      </c>
      <c r="G1205" t="s">
        <v>816</v>
      </c>
      <c r="H1205" t="s">
        <v>2021</v>
      </c>
      <c r="I1205" s="22" t="str">
        <f t="shared" si="127"/>
        <v>2019-12-29</v>
      </c>
      <c r="J1205" s="23" t="str">
        <f t="shared" si="128"/>
        <v>29</v>
      </c>
      <c r="K1205" t="str">
        <f t="shared" si="129"/>
        <v>no</v>
      </c>
      <c r="L1205">
        <v>29</v>
      </c>
      <c r="M1205" t="str">
        <f t="shared" si="130"/>
        <v>2019-12-29</v>
      </c>
      <c r="N1205" s="20" t="str">
        <f t="shared" si="131"/>
        <v>2019-12-29</v>
      </c>
      <c r="O1205" t="str">
        <f t="shared" si="132"/>
        <v>2019-12-29</v>
      </c>
    </row>
    <row r="1206" spans="1:15" x14ac:dyDescent="0.2">
      <c r="A1206" s="21" t="str">
        <f t="shared" si="126"/>
        <v>y</v>
      </c>
      <c r="B1206" s="24" t="s">
        <v>1777</v>
      </c>
      <c r="C1206" t="s">
        <v>780</v>
      </c>
      <c r="D1206" t="s">
        <v>13</v>
      </c>
      <c r="E1206" t="s">
        <v>27</v>
      </c>
      <c r="F1206" t="s">
        <v>2</v>
      </c>
      <c r="G1206" t="s">
        <v>813</v>
      </c>
      <c r="H1206" t="s">
        <v>2029</v>
      </c>
      <c r="I1206" s="22" t="str">
        <f t="shared" si="127"/>
        <v>2019-12-28</v>
      </c>
      <c r="J1206" s="23" t="str">
        <f t="shared" si="128"/>
        <v>28</v>
      </c>
      <c r="K1206" t="str">
        <f t="shared" si="129"/>
        <v>no</v>
      </c>
      <c r="L1206">
        <v>28</v>
      </c>
      <c r="M1206" t="str">
        <f t="shared" si="130"/>
        <v>2019-12-28</v>
      </c>
      <c r="N1206" s="20">
        <f t="shared" si="131"/>
        <v>43828</v>
      </c>
      <c r="O1206" t="str">
        <f t="shared" si="132"/>
        <v>2019-12-29</v>
      </c>
    </row>
    <row r="1207" spans="1:15" x14ac:dyDescent="0.2">
      <c r="A1207" s="21" t="str">
        <f t="shared" si="126"/>
        <v>y</v>
      </c>
      <c r="B1207" s="24" t="s">
        <v>1777</v>
      </c>
      <c r="C1207" t="s">
        <v>235</v>
      </c>
      <c r="D1207" t="s">
        <v>13</v>
      </c>
      <c r="E1207" t="s">
        <v>43</v>
      </c>
      <c r="F1207" t="s">
        <v>2</v>
      </c>
      <c r="G1207" t="s">
        <v>812</v>
      </c>
      <c r="H1207" t="s">
        <v>2025</v>
      </c>
      <c r="I1207" s="22" t="str">
        <f t="shared" si="127"/>
        <v>2019-12-28</v>
      </c>
      <c r="J1207" s="23" t="str">
        <f t="shared" si="128"/>
        <v>28</v>
      </c>
      <c r="K1207" t="str">
        <f t="shared" si="129"/>
        <v>no</v>
      </c>
      <c r="L1207">
        <v>28</v>
      </c>
      <c r="M1207" t="str">
        <f t="shared" si="130"/>
        <v>2019-12-28</v>
      </c>
      <c r="N1207" s="20">
        <f t="shared" si="131"/>
        <v>43828</v>
      </c>
      <c r="O1207" t="str">
        <f t="shared" si="132"/>
        <v>2019-12-29</v>
      </c>
    </row>
    <row r="1208" spans="1:15" x14ac:dyDescent="0.2">
      <c r="A1208" s="21" t="str">
        <f t="shared" si="126"/>
        <v>y</v>
      </c>
      <c r="B1208" s="24" t="s">
        <v>1777</v>
      </c>
      <c r="C1208" t="s">
        <v>578</v>
      </c>
      <c r="D1208" t="s">
        <v>14</v>
      </c>
      <c r="E1208" t="s">
        <v>27</v>
      </c>
      <c r="F1208" t="s">
        <v>2</v>
      </c>
      <c r="G1208" t="s">
        <v>814</v>
      </c>
      <c r="H1208" t="s">
        <v>2021</v>
      </c>
      <c r="I1208" s="22" t="str">
        <f t="shared" si="127"/>
        <v>2019-12-28</v>
      </c>
      <c r="J1208" s="23" t="str">
        <f t="shared" si="128"/>
        <v>28</v>
      </c>
      <c r="K1208" t="str">
        <f t="shared" si="129"/>
        <v>no</v>
      </c>
      <c r="L1208">
        <v>28</v>
      </c>
      <c r="M1208" t="str">
        <f t="shared" si="130"/>
        <v>2019-12-28</v>
      </c>
      <c r="N1208" s="20">
        <f t="shared" si="131"/>
        <v>43828</v>
      </c>
      <c r="O1208" t="str">
        <f t="shared" si="132"/>
        <v>2019-12-29</v>
      </c>
    </row>
    <row r="1209" spans="1:15" x14ac:dyDescent="0.2">
      <c r="A1209" s="21" t="str">
        <f t="shared" si="126"/>
        <v>y</v>
      </c>
      <c r="B1209" s="24" t="s">
        <v>1778</v>
      </c>
      <c r="C1209" t="s">
        <v>780</v>
      </c>
      <c r="D1209" t="s">
        <v>13</v>
      </c>
      <c r="E1209" t="s">
        <v>27</v>
      </c>
      <c r="F1209" t="s">
        <v>2</v>
      </c>
      <c r="G1209" t="s">
        <v>810</v>
      </c>
      <c r="H1209" t="s">
        <v>2029</v>
      </c>
      <c r="I1209" s="22" t="str">
        <f t="shared" si="127"/>
        <v>2019-12-26</v>
      </c>
      <c r="J1209" s="23" t="str">
        <f t="shared" si="128"/>
        <v>26</v>
      </c>
      <c r="K1209" t="str">
        <f t="shared" si="129"/>
        <v>no</v>
      </c>
      <c r="L1209">
        <v>26</v>
      </c>
      <c r="M1209" t="str">
        <f t="shared" si="130"/>
        <v>2019-12-26</v>
      </c>
      <c r="N1209" s="20">
        <f t="shared" si="131"/>
        <v>43826</v>
      </c>
      <c r="O1209" t="str">
        <f t="shared" si="132"/>
        <v>2019-12-27</v>
      </c>
    </row>
    <row r="1210" spans="1:15" x14ac:dyDescent="0.2">
      <c r="A1210" s="21" t="str">
        <f t="shared" si="126"/>
        <v>y</v>
      </c>
      <c r="B1210" s="24" t="s">
        <v>1778</v>
      </c>
      <c r="C1210" t="s">
        <v>235</v>
      </c>
      <c r="D1210" t="s">
        <v>13</v>
      </c>
      <c r="E1210" t="s">
        <v>27</v>
      </c>
      <c r="F1210" t="s">
        <v>29</v>
      </c>
      <c r="G1210" t="s">
        <v>808</v>
      </c>
      <c r="H1210" t="s">
        <v>2029</v>
      </c>
      <c r="I1210" s="22" t="str">
        <f t="shared" si="127"/>
        <v>2019-12-26</v>
      </c>
      <c r="J1210" s="23" t="str">
        <f t="shared" si="128"/>
        <v>26</v>
      </c>
      <c r="K1210" t="str">
        <f t="shared" si="129"/>
        <v>no</v>
      </c>
      <c r="L1210">
        <v>26</v>
      </c>
      <c r="M1210" t="str">
        <f t="shared" si="130"/>
        <v>2019-12-26</v>
      </c>
      <c r="N1210" s="20" t="str">
        <f t="shared" si="131"/>
        <v>2019-12-26</v>
      </c>
      <c r="O1210" t="str">
        <f t="shared" si="132"/>
        <v>2019-12-26</v>
      </c>
    </row>
    <row r="1211" spans="1:15" x14ac:dyDescent="0.2">
      <c r="A1211" s="21" t="str">
        <f t="shared" si="126"/>
        <v>y</v>
      </c>
      <c r="B1211" s="24" t="s">
        <v>1778</v>
      </c>
      <c r="C1211" t="s">
        <v>235</v>
      </c>
      <c r="D1211" t="s">
        <v>13</v>
      </c>
      <c r="E1211" t="s">
        <v>43</v>
      </c>
      <c r="F1211" t="s">
        <v>2</v>
      </c>
      <c r="G1211" t="s">
        <v>807</v>
      </c>
      <c r="H1211" t="s">
        <v>2035</v>
      </c>
      <c r="I1211" s="22" t="str">
        <f t="shared" si="127"/>
        <v>2019-12-26</v>
      </c>
      <c r="J1211" s="23" t="str">
        <f t="shared" si="128"/>
        <v>26</v>
      </c>
      <c r="K1211" t="str">
        <f t="shared" si="129"/>
        <v>no</v>
      </c>
      <c r="L1211">
        <v>26</v>
      </c>
      <c r="M1211" t="str">
        <f t="shared" si="130"/>
        <v>2019-12-26</v>
      </c>
      <c r="N1211" s="20">
        <f t="shared" si="131"/>
        <v>43826</v>
      </c>
      <c r="O1211" t="str">
        <f t="shared" si="132"/>
        <v>2019-12-27</v>
      </c>
    </row>
    <row r="1212" spans="1:15" x14ac:dyDescent="0.2">
      <c r="A1212" s="21" t="str">
        <f t="shared" si="126"/>
        <v>y</v>
      </c>
      <c r="B1212" s="24" t="s">
        <v>1778</v>
      </c>
      <c r="C1212" t="s">
        <v>235</v>
      </c>
      <c r="D1212" t="s">
        <v>13</v>
      </c>
      <c r="E1212" t="s">
        <v>22</v>
      </c>
      <c r="F1212" t="s">
        <v>29</v>
      </c>
      <c r="G1212" t="s">
        <v>811</v>
      </c>
      <c r="H1212" t="s">
        <v>2029</v>
      </c>
      <c r="I1212" s="22" t="str">
        <f t="shared" si="127"/>
        <v>2019-12-26</v>
      </c>
      <c r="J1212" s="23" t="str">
        <f t="shared" si="128"/>
        <v>26</v>
      </c>
      <c r="K1212" t="str">
        <f t="shared" si="129"/>
        <v>no</v>
      </c>
      <c r="L1212">
        <v>26</v>
      </c>
      <c r="M1212" t="str">
        <f t="shared" si="130"/>
        <v>2019-12-26</v>
      </c>
      <c r="N1212" s="20" t="str">
        <f t="shared" si="131"/>
        <v>2019-12-26</v>
      </c>
      <c r="O1212" t="str">
        <f t="shared" si="132"/>
        <v>2019-12-26</v>
      </c>
    </row>
    <row r="1213" spans="1:15" x14ac:dyDescent="0.2">
      <c r="A1213" s="21" t="str">
        <f t="shared" si="126"/>
        <v>y</v>
      </c>
      <c r="B1213" s="24" t="s">
        <v>1778</v>
      </c>
      <c r="C1213" t="s">
        <v>499</v>
      </c>
      <c r="D1213" t="s">
        <v>13</v>
      </c>
      <c r="E1213" t="s">
        <v>8</v>
      </c>
      <c r="F1213" t="s">
        <v>29</v>
      </c>
      <c r="G1213" t="s">
        <v>809</v>
      </c>
      <c r="H1213" t="s">
        <v>2021</v>
      </c>
      <c r="I1213" s="22" t="str">
        <f t="shared" si="127"/>
        <v>2019-12-26</v>
      </c>
      <c r="J1213" s="23" t="str">
        <f t="shared" si="128"/>
        <v>26</v>
      </c>
      <c r="K1213" t="str">
        <f t="shared" si="129"/>
        <v>no</v>
      </c>
      <c r="L1213">
        <v>26</v>
      </c>
      <c r="M1213" t="str">
        <f t="shared" si="130"/>
        <v>2019-12-26</v>
      </c>
      <c r="N1213" s="20" t="str">
        <f t="shared" si="131"/>
        <v>2019-12-26</v>
      </c>
      <c r="O1213" t="str">
        <f t="shared" si="132"/>
        <v>2019-12-26</v>
      </c>
    </row>
    <row r="1214" spans="1:15" x14ac:dyDescent="0.2">
      <c r="A1214" s="21" t="str">
        <f t="shared" si="126"/>
        <v>y</v>
      </c>
      <c r="B1214" s="24" t="s">
        <v>1779</v>
      </c>
      <c r="C1214" t="s">
        <v>780</v>
      </c>
      <c r="D1214" t="s">
        <v>13</v>
      </c>
      <c r="E1214" t="s">
        <v>27</v>
      </c>
      <c r="F1214" t="s">
        <v>2</v>
      </c>
      <c r="G1214" t="s">
        <v>806</v>
      </c>
      <c r="H1214" t="s">
        <v>2029</v>
      </c>
      <c r="I1214" s="22" t="str">
        <f t="shared" si="127"/>
        <v>2019-12-25</v>
      </c>
      <c r="J1214" s="23" t="str">
        <f t="shared" si="128"/>
        <v>25</v>
      </c>
      <c r="K1214" t="str">
        <f t="shared" si="129"/>
        <v>no</v>
      </c>
      <c r="L1214">
        <v>25</v>
      </c>
      <c r="M1214" t="str">
        <f t="shared" si="130"/>
        <v>2019-12-25</v>
      </c>
      <c r="N1214" s="20">
        <f t="shared" si="131"/>
        <v>43825</v>
      </c>
      <c r="O1214" t="str">
        <f t="shared" si="132"/>
        <v>2019-12-26</v>
      </c>
    </row>
    <row r="1215" spans="1:15" x14ac:dyDescent="0.2">
      <c r="A1215" s="21" t="str">
        <f t="shared" si="126"/>
        <v>y</v>
      </c>
      <c r="B1215" s="24" t="s">
        <v>1779</v>
      </c>
      <c r="C1215" t="s">
        <v>235</v>
      </c>
      <c r="D1215" t="s">
        <v>13</v>
      </c>
      <c r="E1215" t="s">
        <v>27</v>
      </c>
      <c r="F1215" t="s">
        <v>2</v>
      </c>
      <c r="G1215" t="s">
        <v>803</v>
      </c>
      <c r="H1215" t="s">
        <v>2029</v>
      </c>
      <c r="I1215" s="22" t="str">
        <f t="shared" si="127"/>
        <v>2019-12-25</v>
      </c>
      <c r="J1215" s="23" t="str">
        <f t="shared" si="128"/>
        <v>25</v>
      </c>
      <c r="K1215" t="str">
        <f t="shared" si="129"/>
        <v>no</v>
      </c>
      <c r="L1215">
        <v>25</v>
      </c>
      <c r="M1215" t="str">
        <f t="shared" si="130"/>
        <v>2019-12-25</v>
      </c>
      <c r="N1215" s="20">
        <f t="shared" si="131"/>
        <v>43825</v>
      </c>
      <c r="O1215" t="str">
        <f t="shared" si="132"/>
        <v>2019-12-26</v>
      </c>
    </row>
    <row r="1216" spans="1:15" x14ac:dyDescent="0.2">
      <c r="A1216" s="21" t="str">
        <f t="shared" si="126"/>
        <v>y</v>
      </c>
      <c r="B1216" s="24" t="s">
        <v>1779</v>
      </c>
      <c r="C1216" t="s">
        <v>235</v>
      </c>
      <c r="D1216" t="s">
        <v>13</v>
      </c>
      <c r="E1216" t="s">
        <v>21</v>
      </c>
      <c r="F1216" t="s">
        <v>29</v>
      </c>
      <c r="G1216" t="s">
        <v>805</v>
      </c>
      <c r="H1216" t="s">
        <v>2037</v>
      </c>
      <c r="I1216" s="22" t="str">
        <f t="shared" si="127"/>
        <v>2019-12-25</v>
      </c>
      <c r="J1216" s="23" t="str">
        <f t="shared" si="128"/>
        <v>25</v>
      </c>
      <c r="K1216" t="str">
        <f t="shared" si="129"/>
        <v>no</v>
      </c>
      <c r="L1216">
        <v>25</v>
      </c>
      <c r="M1216" t="str">
        <f t="shared" si="130"/>
        <v>2019-12-25</v>
      </c>
      <c r="N1216" s="20" t="str">
        <f t="shared" si="131"/>
        <v>2019-12-25</v>
      </c>
      <c r="O1216" t="str">
        <f t="shared" si="132"/>
        <v>2019-12-25</v>
      </c>
    </row>
    <row r="1217" spans="1:15" x14ac:dyDescent="0.2">
      <c r="A1217" s="21" t="str">
        <f t="shared" si="126"/>
        <v>y</v>
      </c>
      <c r="B1217" s="24" t="s">
        <v>1779</v>
      </c>
      <c r="C1217" t="s">
        <v>345</v>
      </c>
      <c r="D1217" t="s">
        <v>13</v>
      </c>
      <c r="E1217" t="s">
        <v>34</v>
      </c>
      <c r="F1217" t="s">
        <v>29</v>
      </c>
      <c r="G1217" t="s">
        <v>804</v>
      </c>
      <c r="H1217" t="s">
        <v>2029</v>
      </c>
      <c r="I1217" s="22" t="str">
        <f t="shared" si="127"/>
        <v>2019-12-25</v>
      </c>
      <c r="J1217" s="23" t="str">
        <f t="shared" si="128"/>
        <v>25</v>
      </c>
      <c r="K1217" t="str">
        <f t="shared" si="129"/>
        <v>no</v>
      </c>
      <c r="L1217">
        <v>25</v>
      </c>
      <c r="M1217" t="str">
        <f t="shared" si="130"/>
        <v>2019-12-25</v>
      </c>
      <c r="N1217" s="20" t="str">
        <f t="shared" si="131"/>
        <v>2019-12-25</v>
      </c>
      <c r="O1217" t="str">
        <f t="shared" si="132"/>
        <v>2019-12-25</v>
      </c>
    </row>
    <row r="1218" spans="1:15" x14ac:dyDescent="0.2">
      <c r="A1218" s="21" t="str">
        <f t="shared" si="126"/>
        <v>y</v>
      </c>
      <c r="B1218" s="24" t="s">
        <v>1780</v>
      </c>
      <c r="C1218" t="s">
        <v>780</v>
      </c>
      <c r="D1218" t="s">
        <v>13</v>
      </c>
      <c r="E1218" t="s">
        <v>27</v>
      </c>
      <c r="F1218" t="s">
        <v>2</v>
      </c>
      <c r="G1218" t="s">
        <v>799</v>
      </c>
      <c r="H1218" t="s">
        <v>2038</v>
      </c>
      <c r="I1218" s="22" t="str">
        <f t="shared" si="127"/>
        <v>2019-12-24</v>
      </c>
      <c r="J1218" s="23" t="str">
        <f t="shared" si="128"/>
        <v>24</v>
      </c>
      <c r="K1218" t="str">
        <f t="shared" si="129"/>
        <v>no</v>
      </c>
      <c r="L1218">
        <v>24</v>
      </c>
      <c r="M1218" t="str">
        <f t="shared" si="130"/>
        <v>2019-12-24</v>
      </c>
      <c r="N1218" s="20">
        <f t="shared" si="131"/>
        <v>43824</v>
      </c>
      <c r="O1218" t="str">
        <f t="shared" si="132"/>
        <v>2019-12-25</v>
      </c>
    </row>
    <row r="1219" spans="1:15" x14ac:dyDescent="0.2">
      <c r="A1219" s="21" t="str">
        <f t="shared" si="126"/>
        <v>y</v>
      </c>
      <c r="B1219" s="24" t="s">
        <v>1780</v>
      </c>
      <c r="C1219" t="s">
        <v>235</v>
      </c>
      <c r="D1219" t="s">
        <v>13</v>
      </c>
      <c r="E1219" t="s">
        <v>27</v>
      </c>
      <c r="F1219" t="s">
        <v>2</v>
      </c>
      <c r="G1219" t="s">
        <v>802</v>
      </c>
      <c r="H1219" t="s">
        <v>2039</v>
      </c>
      <c r="I1219" s="22" t="str">
        <f t="shared" si="127"/>
        <v>2019-12-24</v>
      </c>
      <c r="J1219" s="23" t="str">
        <f t="shared" si="128"/>
        <v>24</v>
      </c>
      <c r="K1219" t="str">
        <f t="shared" si="129"/>
        <v>no</v>
      </c>
      <c r="L1219">
        <v>24</v>
      </c>
      <c r="M1219" t="str">
        <f t="shared" si="130"/>
        <v>2019-12-24</v>
      </c>
      <c r="N1219" s="20">
        <f t="shared" si="131"/>
        <v>43824</v>
      </c>
      <c r="O1219" t="str">
        <f t="shared" si="132"/>
        <v>2019-12-25</v>
      </c>
    </row>
    <row r="1220" spans="1:15" x14ac:dyDescent="0.2">
      <c r="A1220" s="21" t="str">
        <f t="shared" ref="A1220:A1283" si="133">IF(LEFT(B1220,2)&gt;12,"y","-")</f>
        <v>y</v>
      </c>
      <c r="B1220" s="24" t="s">
        <v>1780</v>
      </c>
      <c r="C1220" t="s">
        <v>770</v>
      </c>
      <c r="D1220" t="s">
        <v>13</v>
      </c>
      <c r="E1220" t="s">
        <v>34</v>
      </c>
      <c r="F1220" t="s">
        <v>29</v>
      </c>
      <c r="G1220" t="s">
        <v>801</v>
      </c>
      <c r="H1220" t="s">
        <v>2021</v>
      </c>
      <c r="I1220" s="22" t="str">
        <f t="shared" ref="I1220:I1283" si="134">IF(K1220="yes",TEXT(B1220,"YYYY-DD-MM"),TEXT(B1220,"YYYY-MM-DD"))</f>
        <v>2019-12-24</v>
      </c>
      <c r="J1220" s="23" t="str">
        <f t="shared" ref="J1220:J1283" si="135">LEFT(B1220,2)</f>
        <v>24</v>
      </c>
      <c r="K1220" t="str">
        <f t="shared" ref="K1220:K1283" si="136">IF(L1220&gt;31,"yes","no")</f>
        <v>no</v>
      </c>
      <c r="L1220">
        <v>24</v>
      </c>
      <c r="M1220" t="str">
        <f t="shared" ref="M1220:M1283" si="137">I1220</f>
        <v>2019-12-24</v>
      </c>
      <c r="N1220" s="20" t="str">
        <f t="shared" ref="N1220:N1283" si="138">IF(F1220="DONE",M1220,M1220+1)</f>
        <v>2019-12-24</v>
      </c>
      <c r="O1220" t="str">
        <f t="shared" ref="O1220:O1283" si="139">TEXT(N1220,"YYYY-MM-DD")</f>
        <v>2019-12-24</v>
      </c>
    </row>
    <row r="1221" spans="1:15" x14ac:dyDescent="0.2">
      <c r="A1221" s="21" t="str">
        <f t="shared" si="133"/>
        <v>y</v>
      </c>
      <c r="B1221" s="24" t="s">
        <v>1780</v>
      </c>
      <c r="C1221" t="s">
        <v>677</v>
      </c>
      <c r="D1221" t="s">
        <v>13</v>
      </c>
      <c r="E1221" t="s">
        <v>27</v>
      </c>
      <c r="F1221" t="s">
        <v>29</v>
      </c>
      <c r="G1221" t="s">
        <v>800</v>
      </c>
      <c r="H1221" t="s">
        <v>2029</v>
      </c>
      <c r="I1221" s="22" t="str">
        <f t="shared" si="134"/>
        <v>2019-12-24</v>
      </c>
      <c r="J1221" s="23" t="str">
        <f t="shared" si="135"/>
        <v>24</v>
      </c>
      <c r="K1221" t="str">
        <f t="shared" si="136"/>
        <v>no</v>
      </c>
      <c r="L1221">
        <v>24</v>
      </c>
      <c r="M1221" t="str">
        <f t="shared" si="137"/>
        <v>2019-12-24</v>
      </c>
      <c r="N1221" s="20" t="str">
        <f t="shared" si="138"/>
        <v>2019-12-24</v>
      </c>
      <c r="O1221" t="str">
        <f t="shared" si="139"/>
        <v>2019-12-24</v>
      </c>
    </row>
    <row r="1222" spans="1:15" x14ac:dyDescent="0.2">
      <c r="A1222" s="21" t="str">
        <f t="shared" si="133"/>
        <v>y</v>
      </c>
      <c r="B1222" s="24" t="s">
        <v>1781</v>
      </c>
      <c r="C1222" t="s">
        <v>780</v>
      </c>
      <c r="D1222" t="s">
        <v>13</v>
      </c>
      <c r="E1222" t="s">
        <v>27</v>
      </c>
      <c r="F1222" t="s">
        <v>2</v>
      </c>
      <c r="G1222" t="s">
        <v>798</v>
      </c>
      <c r="H1222" t="s">
        <v>2038</v>
      </c>
      <c r="I1222" s="22" t="str">
        <f t="shared" si="134"/>
        <v>2019-12-23</v>
      </c>
      <c r="J1222" s="23" t="str">
        <f t="shared" si="135"/>
        <v>23</v>
      </c>
      <c r="K1222" t="str">
        <f t="shared" si="136"/>
        <v>no</v>
      </c>
      <c r="L1222">
        <v>23</v>
      </c>
      <c r="M1222" t="str">
        <f t="shared" si="137"/>
        <v>2019-12-23</v>
      </c>
      <c r="N1222" s="20">
        <f t="shared" si="138"/>
        <v>43823</v>
      </c>
      <c r="O1222" t="str">
        <f t="shared" si="139"/>
        <v>2019-12-24</v>
      </c>
    </row>
    <row r="1223" spans="1:15" x14ac:dyDescent="0.2">
      <c r="A1223" s="21" t="str">
        <f t="shared" si="133"/>
        <v>y</v>
      </c>
      <c r="B1223" s="24" t="s">
        <v>1781</v>
      </c>
      <c r="C1223" t="s">
        <v>235</v>
      </c>
      <c r="D1223" t="s">
        <v>13</v>
      </c>
      <c r="E1223" t="s">
        <v>27</v>
      </c>
      <c r="F1223" t="s">
        <v>2</v>
      </c>
      <c r="G1223" t="s">
        <v>795</v>
      </c>
      <c r="H1223" t="s">
        <v>2029</v>
      </c>
      <c r="I1223" s="22" t="str">
        <f t="shared" si="134"/>
        <v>2019-12-23</v>
      </c>
      <c r="J1223" s="23" t="str">
        <f t="shared" si="135"/>
        <v>23</v>
      </c>
      <c r="K1223" t="str">
        <f t="shared" si="136"/>
        <v>no</v>
      </c>
      <c r="L1223">
        <v>23</v>
      </c>
      <c r="M1223" t="str">
        <f t="shared" si="137"/>
        <v>2019-12-23</v>
      </c>
      <c r="N1223" s="20">
        <f t="shared" si="138"/>
        <v>43823</v>
      </c>
      <c r="O1223" t="str">
        <f t="shared" si="139"/>
        <v>2019-12-24</v>
      </c>
    </row>
    <row r="1224" spans="1:15" x14ac:dyDescent="0.2">
      <c r="A1224" s="21" t="str">
        <f t="shared" si="133"/>
        <v>y</v>
      </c>
      <c r="B1224" s="24" t="s">
        <v>1781</v>
      </c>
      <c r="C1224" t="s">
        <v>235</v>
      </c>
      <c r="D1224" t="s">
        <v>13</v>
      </c>
      <c r="E1224" t="s">
        <v>69</v>
      </c>
      <c r="F1224" t="s">
        <v>29</v>
      </c>
      <c r="G1224" t="s">
        <v>796</v>
      </c>
      <c r="H1224" t="s">
        <v>2029</v>
      </c>
      <c r="I1224" s="22" t="str">
        <f t="shared" si="134"/>
        <v>2019-12-23</v>
      </c>
      <c r="J1224" s="23" t="str">
        <f t="shared" si="135"/>
        <v>23</v>
      </c>
      <c r="K1224" t="str">
        <f t="shared" si="136"/>
        <v>no</v>
      </c>
      <c r="L1224">
        <v>23</v>
      </c>
      <c r="M1224" t="str">
        <f t="shared" si="137"/>
        <v>2019-12-23</v>
      </c>
      <c r="N1224" s="20" t="str">
        <f t="shared" si="138"/>
        <v>2019-12-23</v>
      </c>
      <c r="O1224" t="str">
        <f t="shared" si="139"/>
        <v>2019-12-23</v>
      </c>
    </row>
    <row r="1225" spans="1:15" x14ac:dyDescent="0.2">
      <c r="A1225" s="21" t="str">
        <f t="shared" si="133"/>
        <v>y</v>
      </c>
      <c r="B1225" s="24" t="s">
        <v>1781</v>
      </c>
      <c r="C1225" t="s">
        <v>235</v>
      </c>
      <c r="D1225" t="s">
        <v>13</v>
      </c>
      <c r="E1225" t="s">
        <v>21</v>
      </c>
      <c r="F1225" t="s">
        <v>29</v>
      </c>
      <c r="G1225" t="s">
        <v>797</v>
      </c>
      <c r="H1225" t="s">
        <v>2021</v>
      </c>
      <c r="I1225" s="22" t="str">
        <f t="shared" si="134"/>
        <v>2019-12-23</v>
      </c>
      <c r="J1225" s="23" t="str">
        <f t="shared" si="135"/>
        <v>23</v>
      </c>
      <c r="K1225" t="str">
        <f t="shared" si="136"/>
        <v>no</v>
      </c>
      <c r="L1225">
        <v>23</v>
      </c>
      <c r="M1225" t="str">
        <f t="shared" si="137"/>
        <v>2019-12-23</v>
      </c>
      <c r="N1225" s="20" t="str">
        <f t="shared" si="138"/>
        <v>2019-12-23</v>
      </c>
      <c r="O1225" t="str">
        <f t="shared" si="139"/>
        <v>2019-12-23</v>
      </c>
    </row>
    <row r="1226" spans="1:15" x14ac:dyDescent="0.2">
      <c r="A1226" s="21" t="str">
        <f t="shared" si="133"/>
        <v>y</v>
      </c>
      <c r="B1226" s="24" t="s">
        <v>1781</v>
      </c>
      <c r="C1226" t="s">
        <v>770</v>
      </c>
      <c r="D1226" t="s">
        <v>13</v>
      </c>
      <c r="E1226" t="s">
        <v>34</v>
      </c>
      <c r="F1226" t="s">
        <v>2</v>
      </c>
      <c r="H1226" t="s">
        <v>2040</v>
      </c>
      <c r="I1226" s="22" t="str">
        <f t="shared" si="134"/>
        <v>2019-12-23</v>
      </c>
      <c r="J1226" s="23" t="str">
        <f t="shared" si="135"/>
        <v>23</v>
      </c>
      <c r="K1226" t="str">
        <f t="shared" si="136"/>
        <v>no</v>
      </c>
      <c r="L1226">
        <v>23</v>
      </c>
      <c r="M1226" t="str">
        <f t="shared" si="137"/>
        <v>2019-12-23</v>
      </c>
      <c r="N1226" s="20">
        <f t="shared" si="138"/>
        <v>43823</v>
      </c>
      <c r="O1226" t="str">
        <f t="shared" si="139"/>
        <v>2019-12-24</v>
      </c>
    </row>
    <row r="1227" spans="1:15" x14ac:dyDescent="0.2">
      <c r="A1227" s="21" t="str">
        <f t="shared" si="133"/>
        <v>y</v>
      </c>
      <c r="B1227" s="24" t="s">
        <v>1782</v>
      </c>
      <c r="C1227" t="s">
        <v>84</v>
      </c>
      <c r="D1227" t="s">
        <v>13</v>
      </c>
      <c r="E1227" t="s">
        <v>8</v>
      </c>
      <c r="F1227" t="s">
        <v>2</v>
      </c>
      <c r="G1227" t="s">
        <v>793</v>
      </c>
      <c r="H1227" t="s">
        <v>2029</v>
      </c>
      <c r="I1227" s="22" t="str">
        <f t="shared" si="134"/>
        <v>2019-12-22</v>
      </c>
      <c r="J1227" s="23" t="str">
        <f t="shared" si="135"/>
        <v>22</v>
      </c>
      <c r="K1227" t="str">
        <f t="shared" si="136"/>
        <v>no</v>
      </c>
      <c r="L1227">
        <v>22</v>
      </c>
      <c r="M1227" t="str">
        <f t="shared" si="137"/>
        <v>2019-12-22</v>
      </c>
      <c r="N1227" s="20">
        <f t="shared" si="138"/>
        <v>43822</v>
      </c>
      <c r="O1227" t="str">
        <f t="shared" si="139"/>
        <v>2019-12-23</v>
      </c>
    </row>
    <row r="1228" spans="1:15" x14ac:dyDescent="0.2">
      <c r="A1228" s="21" t="str">
        <f t="shared" si="133"/>
        <v>y</v>
      </c>
      <c r="B1228" s="24" t="s">
        <v>1782</v>
      </c>
      <c r="C1228" t="s">
        <v>780</v>
      </c>
      <c r="D1228" t="s">
        <v>13</v>
      </c>
      <c r="E1228" t="s">
        <v>27</v>
      </c>
      <c r="F1228" t="s">
        <v>2</v>
      </c>
      <c r="G1228" t="s">
        <v>793</v>
      </c>
      <c r="H1228" t="s">
        <v>2038</v>
      </c>
      <c r="I1228" s="22" t="str">
        <f t="shared" si="134"/>
        <v>2019-12-22</v>
      </c>
      <c r="J1228" s="23" t="str">
        <f t="shared" si="135"/>
        <v>22</v>
      </c>
      <c r="K1228" t="str">
        <f t="shared" si="136"/>
        <v>no</v>
      </c>
      <c r="L1228">
        <v>22</v>
      </c>
      <c r="M1228" t="str">
        <f t="shared" si="137"/>
        <v>2019-12-22</v>
      </c>
      <c r="N1228" s="20">
        <f t="shared" si="138"/>
        <v>43822</v>
      </c>
      <c r="O1228" t="str">
        <f t="shared" si="139"/>
        <v>2019-12-23</v>
      </c>
    </row>
    <row r="1229" spans="1:15" x14ac:dyDescent="0.2">
      <c r="A1229" s="21" t="str">
        <f t="shared" si="133"/>
        <v>y</v>
      </c>
      <c r="B1229" s="24" t="s">
        <v>1782</v>
      </c>
      <c r="C1229" t="s">
        <v>235</v>
      </c>
      <c r="D1229" t="s">
        <v>13</v>
      </c>
      <c r="E1229" t="s">
        <v>27</v>
      </c>
      <c r="F1229" t="s">
        <v>2</v>
      </c>
      <c r="H1229" t="s">
        <v>2037</v>
      </c>
      <c r="I1229" s="22" t="str">
        <f t="shared" si="134"/>
        <v>2019-12-22</v>
      </c>
      <c r="J1229" s="23" t="str">
        <f t="shared" si="135"/>
        <v>22</v>
      </c>
      <c r="K1229" t="str">
        <f t="shared" si="136"/>
        <v>no</v>
      </c>
      <c r="L1229">
        <v>22</v>
      </c>
      <c r="M1229" t="str">
        <f t="shared" si="137"/>
        <v>2019-12-22</v>
      </c>
      <c r="N1229" s="20">
        <f t="shared" si="138"/>
        <v>43822</v>
      </c>
      <c r="O1229" t="str">
        <f t="shared" si="139"/>
        <v>2019-12-23</v>
      </c>
    </row>
    <row r="1230" spans="1:15" x14ac:dyDescent="0.2">
      <c r="A1230" s="21" t="str">
        <f t="shared" si="133"/>
        <v>y</v>
      </c>
      <c r="B1230" s="24" t="s">
        <v>1782</v>
      </c>
      <c r="C1230" t="s">
        <v>770</v>
      </c>
      <c r="D1230" t="s">
        <v>13</v>
      </c>
      <c r="E1230" t="s">
        <v>34</v>
      </c>
      <c r="F1230" t="s">
        <v>2</v>
      </c>
      <c r="H1230" t="s">
        <v>2021</v>
      </c>
      <c r="I1230" s="22" t="str">
        <f t="shared" si="134"/>
        <v>2019-12-22</v>
      </c>
      <c r="J1230" s="23" t="str">
        <f t="shared" si="135"/>
        <v>22</v>
      </c>
      <c r="K1230" t="str">
        <f t="shared" si="136"/>
        <v>no</v>
      </c>
      <c r="L1230">
        <v>22</v>
      </c>
      <c r="M1230" t="str">
        <f t="shared" si="137"/>
        <v>2019-12-22</v>
      </c>
      <c r="N1230" s="20">
        <f t="shared" si="138"/>
        <v>43822</v>
      </c>
      <c r="O1230" t="str">
        <f t="shared" si="139"/>
        <v>2019-12-23</v>
      </c>
    </row>
    <row r="1231" spans="1:15" x14ac:dyDescent="0.2">
      <c r="A1231" s="21" t="str">
        <f t="shared" si="133"/>
        <v>y</v>
      </c>
      <c r="B1231" s="24" t="s">
        <v>1782</v>
      </c>
      <c r="C1231" t="s">
        <v>345</v>
      </c>
      <c r="D1231" t="s">
        <v>13</v>
      </c>
      <c r="E1231" t="s">
        <v>34</v>
      </c>
      <c r="F1231" t="s">
        <v>29</v>
      </c>
      <c r="G1231" t="s">
        <v>794</v>
      </c>
      <c r="H1231" t="s">
        <v>2040</v>
      </c>
      <c r="I1231" s="22" t="str">
        <f t="shared" si="134"/>
        <v>2019-12-22</v>
      </c>
      <c r="J1231" s="23" t="str">
        <f t="shared" si="135"/>
        <v>22</v>
      </c>
      <c r="K1231" t="str">
        <f t="shared" si="136"/>
        <v>no</v>
      </c>
      <c r="L1231">
        <v>22</v>
      </c>
      <c r="M1231" t="str">
        <f t="shared" si="137"/>
        <v>2019-12-22</v>
      </c>
      <c r="N1231" s="20" t="str">
        <f t="shared" si="138"/>
        <v>2019-12-22</v>
      </c>
      <c r="O1231" t="str">
        <f t="shared" si="139"/>
        <v>2019-12-22</v>
      </c>
    </row>
    <row r="1232" spans="1:15" x14ac:dyDescent="0.2">
      <c r="A1232" s="21" t="str">
        <f t="shared" si="133"/>
        <v>y</v>
      </c>
      <c r="B1232" s="24" t="s">
        <v>1783</v>
      </c>
      <c r="C1232" t="s">
        <v>84</v>
      </c>
      <c r="D1232" t="s">
        <v>13</v>
      </c>
      <c r="E1232" t="s">
        <v>8</v>
      </c>
      <c r="F1232" t="s">
        <v>2</v>
      </c>
      <c r="G1232" t="s">
        <v>791</v>
      </c>
      <c r="H1232" t="s">
        <v>2029</v>
      </c>
      <c r="I1232" s="22" t="str">
        <f t="shared" si="134"/>
        <v>2019-12-19</v>
      </c>
      <c r="J1232" s="23" t="str">
        <f t="shared" si="135"/>
        <v>19</v>
      </c>
      <c r="K1232" t="str">
        <f t="shared" si="136"/>
        <v>no</v>
      </c>
      <c r="L1232">
        <v>19</v>
      </c>
      <c r="M1232" t="str">
        <f t="shared" si="137"/>
        <v>2019-12-19</v>
      </c>
      <c r="N1232" s="20">
        <f t="shared" si="138"/>
        <v>43819</v>
      </c>
      <c r="O1232" t="str">
        <f t="shared" si="139"/>
        <v>2019-12-20</v>
      </c>
    </row>
    <row r="1233" spans="1:15" x14ac:dyDescent="0.2">
      <c r="A1233" s="21" t="str">
        <f t="shared" si="133"/>
        <v>y</v>
      </c>
      <c r="B1233" s="24" t="s">
        <v>1783</v>
      </c>
      <c r="C1233" t="s">
        <v>780</v>
      </c>
      <c r="D1233" t="s">
        <v>13</v>
      </c>
      <c r="E1233" t="s">
        <v>27</v>
      </c>
      <c r="F1233" t="s">
        <v>2</v>
      </c>
      <c r="H1233" t="s">
        <v>2035</v>
      </c>
      <c r="I1233" s="22" t="str">
        <f t="shared" si="134"/>
        <v>2019-12-19</v>
      </c>
      <c r="J1233" s="23" t="str">
        <f t="shared" si="135"/>
        <v>19</v>
      </c>
      <c r="K1233" t="str">
        <f t="shared" si="136"/>
        <v>no</v>
      </c>
      <c r="L1233">
        <v>19</v>
      </c>
      <c r="M1233" t="str">
        <f t="shared" si="137"/>
        <v>2019-12-19</v>
      </c>
      <c r="N1233" s="20">
        <f t="shared" si="138"/>
        <v>43819</v>
      </c>
      <c r="O1233" t="str">
        <f t="shared" si="139"/>
        <v>2019-12-20</v>
      </c>
    </row>
    <row r="1234" spans="1:15" x14ac:dyDescent="0.2">
      <c r="A1234" s="21" t="str">
        <f t="shared" si="133"/>
        <v>y</v>
      </c>
      <c r="B1234" s="24" t="s">
        <v>1783</v>
      </c>
      <c r="C1234" t="s">
        <v>235</v>
      </c>
      <c r="D1234" t="s">
        <v>13</v>
      </c>
      <c r="E1234" t="s">
        <v>49</v>
      </c>
      <c r="F1234" t="s">
        <v>2</v>
      </c>
      <c r="H1234" t="s">
        <v>2039</v>
      </c>
      <c r="I1234" s="22" t="str">
        <f t="shared" si="134"/>
        <v>2019-12-19</v>
      </c>
      <c r="J1234" s="23" t="str">
        <f t="shared" si="135"/>
        <v>19</v>
      </c>
      <c r="K1234" t="str">
        <f t="shared" si="136"/>
        <v>no</v>
      </c>
      <c r="L1234">
        <v>19</v>
      </c>
      <c r="M1234" t="str">
        <f t="shared" si="137"/>
        <v>2019-12-19</v>
      </c>
      <c r="N1234" s="20">
        <f t="shared" si="138"/>
        <v>43819</v>
      </c>
      <c r="O1234" t="str">
        <f t="shared" si="139"/>
        <v>2019-12-20</v>
      </c>
    </row>
    <row r="1235" spans="1:15" x14ac:dyDescent="0.2">
      <c r="A1235" s="21" t="str">
        <f t="shared" si="133"/>
        <v>y</v>
      </c>
      <c r="B1235" s="24" t="s">
        <v>1783</v>
      </c>
      <c r="C1235" t="s">
        <v>499</v>
      </c>
      <c r="D1235" t="s">
        <v>13</v>
      </c>
      <c r="E1235" t="s">
        <v>8</v>
      </c>
      <c r="F1235" t="s">
        <v>29</v>
      </c>
      <c r="G1235" t="s">
        <v>790</v>
      </c>
      <c r="H1235" t="s">
        <v>2021</v>
      </c>
      <c r="I1235" s="22" t="str">
        <f t="shared" si="134"/>
        <v>2019-12-19</v>
      </c>
      <c r="J1235" s="23" t="str">
        <f t="shared" si="135"/>
        <v>19</v>
      </c>
      <c r="K1235" t="str">
        <f t="shared" si="136"/>
        <v>no</v>
      </c>
      <c r="L1235">
        <v>19</v>
      </c>
      <c r="M1235" t="str">
        <f t="shared" si="137"/>
        <v>2019-12-19</v>
      </c>
      <c r="N1235" s="20" t="str">
        <f t="shared" si="138"/>
        <v>2019-12-19</v>
      </c>
      <c r="O1235" t="str">
        <f t="shared" si="139"/>
        <v>2019-12-19</v>
      </c>
    </row>
    <row r="1236" spans="1:15" x14ac:dyDescent="0.2">
      <c r="A1236" s="21" t="str">
        <f t="shared" si="133"/>
        <v>y</v>
      </c>
      <c r="B1236" s="24" t="s">
        <v>1783</v>
      </c>
      <c r="C1236" t="s">
        <v>677</v>
      </c>
      <c r="D1236" t="s">
        <v>13</v>
      </c>
      <c r="E1236" t="s">
        <v>49</v>
      </c>
      <c r="F1236" t="s">
        <v>29</v>
      </c>
      <c r="G1236" t="s">
        <v>792</v>
      </c>
      <c r="H1236" t="s">
        <v>2040</v>
      </c>
      <c r="I1236" s="22" t="str">
        <f t="shared" si="134"/>
        <v>2019-12-19</v>
      </c>
      <c r="J1236" s="23" t="str">
        <f t="shared" si="135"/>
        <v>19</v>
      </c>
      <c r="K1236" t="str">
        <f t="shared" si="136"/>
        <v>no</v>
      </c>
      <c r="L1236">
        <v>19</v>
      </c>
      <c r="M1236" t="str">
        <f t="shared" si="137"/>
        <v>2019-12-19</v>
      </c>
      <c r="N1236" s="20" t="str">
        <f t="shared" si="138"/>
        <v>2019-12-19</v>
      </c>
      <c r="O1236" t="str">
        <f t="shared" si="139"/>
        <v>2019-12-19</v>
      </c>
    </row>
    <row r="1237" spans="1:15" x14ac:dyDescent="0.2">
      <c r="A1237" s="21" t="str">
        <f t="shared" si="133"/>
        <v>y</v>
      </c>
      <c r="B1237" s="24" t="s">
        <v>1784</v>
      </c>
      <c r="C1237" t="s">
        <v>84</v>
      </c>
      <c r="D1237" t="s">
        <v>13</v>
      </c>
      <c r="E1237" t="s">
        <v>8</v>
      </c>
      <c r="F1237" t="s">
        <v>2</v>
      </c>
      <c r="H1237" t="s">
        <v>2041</v>
      </c>
      <c r="I1237" s="22" t="str">
        <f t="shared" si="134"/>
        <v>2019-12-18</v>
      </c>
      <c r="J1237" s="23" t="str">
        <f t="shared" si="135"/>
        <v>18</v>
      </c>
      <c r="K1237" t="str">
        <f t="shared" si="136"/>
        <v>no</v>
      </c>
      <c r="L1237">
        <v>18</v>
      </c>
      <c r="M1237" t="str">
        <f t="shared" si="137"/>
        <v>2019-12-18</v>
      </c>
      <c r="N1237" s="20">
        <f t="shared" si="138"/>
        <v>43818</v>
      </c>
      <c r="O1237" t="str">
        <f t="shared" si="139"/>
        <v>2019-12-19</v>
      </c>
    </row>
    <row r="1238" spans="1:15" x14ac:dyDescent="0.2">
      <c r="A1238" s="21" t="str">
        <f t="shared" si="133"/>
        <v>y</v>
      </c>
      <c r="B1238" s="24" t="s">
        <v>1784</v>
      </c>
      <c r="C1238" t="s">
        <v>503</v>
      </c>
      <c r="D1238" t="s">
        <v>13</v>
      </c>
      <c r="E1238" t="s">
        <v>8</v>
      </c>
      <c r="F1238" t="s">
        <v>29</v>
      </c>
      <c r="G1238" t="s">
        <v>787</v>
      </c>
      <c r="H1238" t="s">
        <v>2029</v>
      </c>
      <c r="I1238" s="22" t="str">
        <f t="shared" si="134"/>
        <v>2019-12-18</v>
      </c>
      <c r="J1238" s="23" t="str">
        <f t="shared" si="135"/>
        <v>18</v>
      </c>
      <c r="K1238" t="str">
        <f t="shared" si="136"/>
        <v>no</v>
      </c>
      <c r="L1238">
        <v>18</v>
      </c>
      <c r="M1238" t="str">
        <f t="shared" si="137"/>
        <v>2019-12-18</v>
      </c>
      <c r="N1238" s="20" t="str">
        <f t="shared" si="138"/>
        <v>2019-12-18</v>
      </c>
      <c r="O1238" t="str">
        <f t="shared" si="139"/>
        <v>2019-12-18</v>
      </c>
    </row>
    <row r="1239" spans="1:15" x14ac:dyDescent="0.2">
      <c r="A1239" s="21" t="str">
        <f t="shared" si="133"/>
        <v>y</v>
      </c>
      <c r="B1239" s="24" t="s">
        <v>1784</v>
      </c>
      <c r="C1239" t="s">
        <v>780</v>
      </c>
      <c r="D1239" t="s">
        <v>13</v>
      </c>
      <c r="E1239" t="s">
        <v>27</v>
      </c>
      <c r="F1239" t="s">
        <v>2</v>
      </c>
      <c r="H1239" t="s">
        <v>2037</v>
      </c>
      <c r="I1239" s="22" t="str">
        <f t="shared" si="134"/>
        <v>2019-12-18</v>
      </c>
      <c r="J1239" s="23" t="str">
        <f t="shared" si="135"/>
        <v>18</v>
      </c>
      <c r="K1239" t="str">
        <f t="shared" si="136"/>
        <v>no</v>
      </c>
      <c r="L1239">
        <v>18</v>
      </c>
      <c r="M1239" t="str">
        <f t="shared" si="137"/>
        <v>2019-12-18</v>
      </c>
      <c r="N1239" s="20">
        <f t="shared" si="138"/>
        <v>43818</v>
      </c>
      <c r="O1239" t="str">
        <f t="shared" si="139"/>
        <v>2019-12-19</v>
      </c>
    </row>
    <row r="1240" spans="1:15" x14ac:dyDescent="0.2">
      <c r="A1240" s="21" t="str">
        <f t="shared" si="133"/>
        <v>y</v>
      </c>
      <c r="B1240" s="24" t="s">
        <v>1784</v>
      </c>
      <c r="C1240" t="s">
        <v>235</v>
      </c>
      <c r="D1240" t="s">
        <v>13</v>
      </c>
      <c r="E1240" t="s">
        <v>21</v>
      </c>
      <c r="F1240" t="s">
        <v>29</v>
      </c>
      <c r="G1240" t="s">
        <v>788</v>
      </c>
      <c r="H1240" t="s">
        <v>2021</v>
      </c>
      <c r="I1240" s="22" t="str">
        <f t="shared" si="134"/>
        <v>2019-12-18</v>
      </c>
      <c r="J1240" s="23" t="str">
        <f t="shared" si="135"/>
        <v>18</v>
      </c>
      <c r="K1240" t="str">
        <f t="shared" si="136"/>
        <v>no</v>
      </c>
      <c r="L1240">
        <v>18</v>
      </c>
      <c r="M1240" t="str">
        <f t="shared" si="137"/>
        <v>2019-12-18</v>
      </c>
      <c r="N1240" s="20" t="str">
        <f t="shared" si="138"/>
        <v>2019-12-18</v>
      </c>
      <c r="O1240" t="str">
        <f t="shared" si="139"/>
        <v>2019-12-18</v>
      </c>
    </row>
    <row r="1241" spans="1:15" x14ac:dyDescent="0.2">
      <c r="A1241" s="21" t="str">
        <f t="shared" si="133"/>
        <v>y</v>
      </c>
      <c r="B1241" s="24" t="s">
        <v>1784</v>
      </c>
      <c r="C1241" t="s">
        <v>345</v>
      </c>
      <c r="D1241" t="s">
        <v>13</v>
      </c>
      <c r="E1241" t="s">
        <v>64</v>
      </c>
      <c r="F1241" t="s">
        <v>29</v>
      </c>
      <c r="G1241" t="s">
        <v>789</v>
      </c>
      <c r="H1241" t="s">
        <v>2040</v>
      </c>
      <c r="I1241" s="22" t="str">
        <f t="shared" si="134"/>
        <v>2019-12-18</v>
      </c>
      <c r="J1241" s="23" t="str">
        <f t="shared" si="135"/>
        <v>18</v>
      </c>
      <c r="K1241" t="str">
        <f t="shared" si="136"/>
        <v>no</v>
      </c>
      <c r="L1241">
        <v>18</v>
      </c>
      <c r="M1241" t="str">
        <f t="shared" si="137"/>
        <v>2019-12-18</v>
      </c>
      <c r="N1241" s="20" t="str">
        <f t="shared" si="138"/>
        <v>2019-12-18</v>
      </c>
      <c r="O1241" t="str">
        <f t="shared" si="139"/>
        <v>2019-12-18</v>
      </c>
    </row>
    <row r="1242" spans="1:15" x14ac:dyDescent="0.2">
      <c r="A1242" s="21" t="str">
        <f t="shared" si="133"/>
        <v>y</v>
      </c>
      <c r="B1242" s="24" t="s">
        <v>1785</v>
      </c>
      <c r="C1242" t="s">
        <v>84</v>
      </c>
      <c r="D1242" t="s">
        <v>13</v>
      </c>
      <c r="E1242" t="s">
        <v>8</v>
      </c>
      <c r="F1242" t="s">
        <v>2</v>
      </c>
      <c r="H1242" t="s">
        <v>2041</v>
      </c>
      <c r="I1242" s="22" t="str">
        <f t="shared" si="134"/>
        <v>2019-12-17</v>
      </c>
      <c r="J1242" s="23" t="str">
        <f t="shared" si="135"/>
        <v>17</v>
      </c>
      <c r="K1242" t="str">
        <f t="shared" si="136"/>
        <v>no</v>
      </c>
      <c r="L1242">
        <v>17</v>
      </c>
      <c r="M1242" t="str">
        <f t="shared" si="137"/>
        <v>2019-12-17</v>
      </c>
      <c r="N1242" s="20">
        <f t="shared" si="138"/>
        <v>43817</v>
      </c>
      <c r="O1242" t="str">
        <f t="shared" si="139"/>
        <v>2019-12-18</v>
      </c>
    </row>
    <row r="1243" spans="1:15" x14ac:dyDescent="0.2">
      <c r="A1243" s="21" t="str">
        <f t="shared" si="133"/>
        <v>y</v>
      </c>
      <c r="B1243" s="24" t="s">
        <v>1785</v>
      </c>
      <c r="C1243" t="s">
        <v>503</v>
      </c>
      <c r="D1243" t="s">
        <v>13</v>
      </c>
      <c r="E1243" t="s">
        <v>8</v>
      </c>
      <c r="F1243" t="s">
        <v>2</v>
      </c>
      <c r="G1243" t="s">
        <v>784</v>
      </c>
      <c r="H1243" t="s">
        <v>2029</v>
      </c>
      <c r="I1243" s="22" t="str">
        <f t="shared" si="134"/>
        <v>2019-12-17</v>
      </c>
      <c r="J1243" s="23" t="str">
        <f t="shared" si="135"/>
        <v>17</v>
      </c>
      <c r="K1243" t="str">
        <f t="shared" si="136"/>
        <v>no</v>
      </c>
      <c r="L1243">
        <v>17</v>
      </c>
      <c r="M1243" t="str">
        <f t="shared" si="137"/>
        <v>2019-12-17</v>
      </c>
      <c r="N1243" s="20">
        <f t="shared" si="138"/>
        <v>43817</v>
      </c>
      <c r="O1243" t="str">
        <f t="shared" si="139"/>
        <v>2019-12-18</v>
      </c>
    </row>
    <row r="1244" spans="1:15" x14ac:dyDescent="0.2">
      <c r="A1244" s="21" t="str">
        <f t="shared" si="133"/>
        <v>y</v>
      </c>
      <c r="B1244" s="24" t="s">
        <v>1785</v>
      </c>
      <c r="C1244" t="s">
        <v>780</v>
      </c>
      <c r="D1244" t="s">
        <v>13</v>
      </c>
      <c r="E1244" t="s">
        <v>27</v>
      </c>
      <c r="F1244" t="s">
        <v>2</v>
      </c>
      <c r="H1244" t="s">
        <v>2021</v>
      </c>
      <c r="I1244" s="22" t="str">
        <f t="shared" si="134"/>
        <v>2019-12-17</v>
      </c>
      <c r="J1244" s="23" t="str">
        <f t="shared" si="135"/>
        <v>17</v>
      </c>
      <c r="K1244" t="str">
        <f t="shared" si="136"/>
        <v>no</v>
      </c>
      <c r="L1244">
        <v>17</v>
      </c>
      <c r="M1244" t="str">
        <f t="shared" si="137"/>
        <v>2019-12-17</v>
      </c>
      <c r="N1244" s="20">
        <f t="shared" si="138"/>
        <v>43817</v>
      </c>
      <c r="O1244" t="str">
        <f t="shared" si="139"/>
        <v>2019-12-18</v>
      </c>
    </row>
    <row r="1245" spans="1:15" x14ac:dyDescent="0.2">
      <c r="A1245" s="21" t="str">
        <f t="shared" si="133"/>
        <v>y</v>
      </c>
      <c r="B1245" s="24" t="s">
        <v>1785</v>
      </c>
      <c r="C1245" t="s">
        <v>235</v>
      </c>
      <c r="D1245" t="s">
        <v>13</v>
      </c>
      <c r="E1245" t="s">
        <v>49</v>
      </c>
      <c r="F1245" t="s">
        <v>29</v>
      </c>
      <c r="G1245" t="s">
        <v>786</v>
      </c>
      <c r="H1245" t="s">
        <v>2039</v>
      </c>
      <c r="I1245" s="22" t="str">
        <f t="shared" si="134"/>
        <v>2019-12-17</v>
      </c>
      <c r="J1245" s="23" t="str">
        <f t="shared" si="135"/>
        <v>17</v>
      </c>
      <c r="K1245" t="str">
        <f t="shared" si="136"/>
        <v>no</v>
      </c>
      <c r="L1245">
        <v>17</v>
      </c>
      <c r="M1245" t="str">
        <f t="shared" si="137"/>
        <v>2019-12-17</v>
      </c>
      <c r="N1245" s="20" t="str">
        <f t="shared" si="138"/>
        <v>2019-12-17</v>
      </c>
      <c r="O1245" t="str">
        <f t="shared" si="139"/>
        <v>2019-12-17</v>
      </c>
    </row>
    <row r="1246" spans="1:15" x14ac:dyDescent="0.2">
      <c r="A1246" s="21" t="str">
        <f t="shared" si="133"/>
        <v>y</v>
      </c>
      <c r="B1246" s="24" t="s">
        <v>1786</v>
      </c>
      <c r="C1246" t="s">
        <v>677</v>
      </c>
      <c r="D1246" t="s">
        <v>13</v>
      </c>
      <c r="E1246" t="s">
        <v>27</v>
      </c>
      <c r="F1246" t="s">
        <v>29</v>
      </c>
      <c r="G1246" t="s">
        <v>782</v>
      </c>
      <c r="H1246" t="s">
        <v>2040</v>
      </c>
      <c r="I1246" s="22" t="str">
        <f t="shared" si="134"/>
        <v>2019-12-16</v>
      </c>
      <c r="J1246" s="23" t="str">
        <f t="shared" si="135"/>
        <v>16</v>
      </c>
      <c r="K1246" t="str">
        <f t="shared" si="136"/>
        <v>no</v>
      </c>
      <c r="L1246">
        <v>16</v>
      </c>
      <c r="M1246" t="str">
        <f t="shared" si="137"/>
        <v>2019-12-16</v>
      </c>
      <c r="N1246" s="20" t="str">
        <f t="shared" si="138"/>
        <v>2019-12-16</v>
      </c>
      <c r="O1246" t="str">
        <f t="shared" si="139"/>
        <v>2019-12-16</v>
      </c>
    </row>
    <row r="1247" spans="1:15" x14ac:dyDescent="0.2">
      <c r="A1247" s="21" t="str">
        <f t="shared" si="133"/>
        <v>y</v>
      </c>
      <c r="B1247" s="24" t="s">
        <v>1786</v>
      </c>
      <c r="C1247" t="s">
        <v>84</v>
      </c>
      <c r="D1247" t="s">
        <v>13</v>
      </c>
      <c r="E1247" t="s">
        <v>8</v>
      </c>
      <c r="F1247" t="s">
        <v>2</v>
      </c>
      <c r="H1247" t="s">
        <v>2037</v>
      </c>
      <c r="I1247" s="22" t="str">
        <f t="shared" si="134"/>
        <v>2019-12-16</v>
      </c>
      <c r="J1247" s="23" t="str">
        <f t="shared" si="135"/>
        <v>16</v>
      </c>
      <c r="K1247" t="str">
        <f t="shared" si="136"/>
        <v>no</v>
      </c>
      <c r="L1247">
        <v>16</v>
      </c>
      <c r="M1247" t="str">
        <f t="shared" si="137"/>
        <v>2019-12-16</v>
      </c>
      <c r="N1247" s="20">
        <f t="shared" si="138"/>
        <v>43816</v>
      </c>
      <c r="O1247" t="str">
        <f t="shared" si="139"/>
        <v>2019-12-17</v>
      </c>
    </row>
    <row r="1248" spans="1:15" x14ac:dyDescent="0.2">
      <c r="A1248" s="21" t="str">
        <f t="shared" si="133"/>
        <v>y</v>
      </c>
      <c r="B1248" s="24" t="s">
        <v>1786</v>
      </c>
      <c r="C1248" t="s">
        <v>345</v>
      </c>
      <c r="D1248" t="s">
        <v>13</v>
      </c>
      <c r="E1248" t="s">
        <v>64</v>
      </c>
      <c r="F1248" t="s">
        <v>29</v>
      </c>
      <c r="G1248" t="s">
        <v>783</v>
      </c>
      <c r="H1248" t="s">
        <v>2042</v>
      </c>
      <c r="I1248" s="22" t="str">
        <f t="shared" si="134"/>
        <v>2019-12-16</v>
      </c>
      <c r="J1248" s="23" t="str">
        <f t="shared" si="135"/>
        <v>16</v>
      </c>
      <c r="K1248" t="str">
        <f t="shared" si="136"/>
        <v>no</v>
      </c>
      <c r="L1248">
        <v>16</v>
      </c>
      <c r="M1248" t="str">
        <f t="shared" si="137"/>
        <v>2019-12-16</v>
      </c>
      <c r="N1248" s="20" t="str">
        <f t="shared" si="138"/>
        <v>2019-12-16</v>
      </c>
      <c r="O1248" t="str">
        <f t="shared" si="139"/>
        <v>2019-12-16</v>
      </c>
    </row>
    <row r="1249" spans="1:15" x14ac:dyDescent="0.2">
      <c r="A1249" s="21" t="str">
        <f t="shared" si="133"/>
        <v>y</v>
      </c>
      <c r="B1249" s="24" t="s">
        <v>1786</v>
      </c>
      <c r="C1249" t="s">
        <v>503</v>
      </c>
      <c r="D1249" t="s">
        <v>13</v>
      </c>
      <c r="E1249" t="s">
        <v>8</v>
      </c>
      <c r="F1249" t="s">
        <v>29</v>
      </c>
      <c r="G1249" t="s">
        <v>784</v>
      </c>
      <c r="H1249" t="s">
        <v>2041</v>
      </c>
      <c r="I1249" s="22" t="str">
        <f t="shared" si="134"/>
        <v>2019-12-16</v>
      </c>
      <c r="J1249" s="23" t="str">
        <f t="shared" si="135"/>
        <v>16</v>
      </c>
      <c r="K1249" t="str">
        <f t="shared" si="136"/>
        <v>no</v>
      </c>
      <c r="L1249">
        <v>16</v>
      </c>
      <c r="M1249" t="str">
        <f t="shared" si="137"/>
        <v>2019-12-16</v>
      </c>
      <c r="N1249" s="20" t="str">
        <f t="shared" si="138"/>
        <v>2019-12-16</v>
      </c>
      <c r="O1249" t="str">
        <f t="shared" si="139"/>
        <v>2019-12-16</v>
      </c>
    </row>
    <row r="1250" spans="1:15" x14ac:dyDescent="0.2">
      <c r="A1250" s="21" t="str">
        <f t="shared" si="133"/>
        <v>y</v>
      </c>
      <c r="B1250" s="24" t="s">
        <v>1786</v>
      </c>
      <c r="C1250" t="s">
        <v>770</v>
      </c>
      <c r="D1250" t="s">
        <v>13</v>
      </c>
      <c r="E1250" t="s">
        <v>27</v>
      </c>
      <c r="F1250" t="s">
        <v>29</v>
      </c>
      <c r="G1250" t="s">
        <v>779</v>
      </c>
      <c r="H1250" t="s">
        <v>2021</v>
      </c>
      <c r="I1250" s="22" t="str">
        <f t="shared" si="134"/>
        <v>2019-12-16</v>
      </c>
      <c r="J1250" s="23" t="str">
        <f t="shared" si="135"/>
        <v>16</v>
      </c>
      <c r="K1250" t="str">
        <f t="shared" si="136"/>
        <v>no</v>
      </c>
      <c r="L1250">
        <v>16</v>
      </c>
      <c r="M1250" t="str">
        <f t="shared" si="137"/>
        <v>2019-12-16</v>
      </c>
      <c r="N1250" s="20" t="str">
        <f t="shared" si="138"/>
        <v>2019-12-16</v>
      </c>
      <c r="O1250" t="str">
        <f t="shared" si="139"/>
        <v>2019-12-16</v>
      </c>
    </row>
    <row r="1251" spans="1:15" x14ac:dyDescent="0.2">
      <c r="A1251" s="21" t="str">
        <f t="shared" si="133"/>
        <v>y</v>
      </c>
      <c r="B1251" s="24" t="s">
        <v>1786</v>
      </c>
      <c r="C1251" t="s">
        <v>780</v>
      </c>
      <c r="D1251" t="s">
        <v>13</v>
      </c>
      <c r="E1251" t="s">
        <v>4</v>
      </c>
      <c r="F1251" t="s">
        <v>29</v>
      </c>
      <c r="G1251" t="s">
        <v>781</v>
      </c>
      <c r="H1251" t="s">
        <v>2039</v>
      </c>
      <c r="I1251" s="22" t="str">
        <f t="shared" si="134"/>
        <v>2019-12-16</v>
      </c>
      <c r="J1251" s="23" t="str">
        <f t="shared" si="135"/>
        <v>16</v>
      </c>
      <c r="K1251" t="str">
        <f t="shared" si="136"/>
        <v>no</v>
      </c>
      <c r="L1251">
        <v>16</v>
      </c>
      <c r="M1251" t="str">
        <f t="shared" si="137"/>
        <v>2019-12-16</v>
      </c>
      <c r="N1251" s="20" t="str">
        <f t="shared" si="138"/>
        <v>2019-12-16</v>
      </c>
      <c r="O1251" t="str">
        <f t="shared" si="139"/>
        <v>2019-12-16</v>
      </c>
    </row>
    <row r="1252" spans="1:15" x14ac:dyDescent="0.2">
      <c r="A1252" s="21" t="str">
        <f t="shared" si="133"/>
        <v>y</v>
      </c>
      <c r="B1252" s="24" t="s">
        <v>1786</v>
      </c>
      <c r="C1252" t="s">
        <v>780</v>
      </c>
      <c r="D1252" t="s">
        <v>13</v>
      </c>
      <c r="E1252" t="s">
        <v>8</v>
      </c>
      <c r="F1252" t="s">
        <v>29</v>
      </c>
      <c r="G1252" t="s">
        <v>785</v>
      </c>
      <c r="H1252" t="s">
        <v>2035</v>
      </c>
      <c r="I1252" s="22" t="str">
        <f t="shared" si="134"/>
        <v>2019-12-16</v>
      </c>
      <c r="J1252" s="23" t="str">
        <f t="shared" si="135"/>
        <v>16</v>
      </c>
      <c r="K1252" t="str">
        <f t="shared" si="136"/>
        <v>no</v>
      </c>
      <c r="L1252">
        <v>16</v>
      </c>
      <c r="M1252" t="str">
        <f t="shared" si="137"/>
        <v>2019-12-16</v>
      </c>
      <c r="N1252" s="20" t="str">
        <f t="shared" si="138"/>
        <v>2019-12-16</v>
      </c>
      <c r="O1252" t="str">
        <f t="shared" si="139"/>
        <v>2019-12-16</v>
      </c>
    </row>
    <row r="1253" spans="1:15" x14ac:dyDescent="0.2">
      <c r="A1253" s="21" t="str">
        <f t="shared" si="133"/>
        <v>y</v>
      </c>
      <c r="B1253" s="24" t="s">
        <v>1786</v>
      </c>
      <c r="C1253" t="s">
        <v>780</v>
      </c>
      <c r="D1253" t="s">
        <v>13</v>
      </c>
      <c r="E1253" t="s">
        <v>27</v>
      </c>
      <c r="F1253" t="s">
        <v>2</v>
      </c>
      <c r="H1253" t="s">
        <v>1988</v>
      </c>
      <c r="I1253" s="22" t="str">
        <f t="shared" si="134"/>
        <v>2019-12-16</v>
      </c>
      <c r="J1253" s="23" t="str">
        <f t="shared" si="135"/>
        <v>16</v>
      </c>
      <c r="K1253" t="str">
        <f t="shared" si="136"/>
        <v>no</v>
      </c>
      <c r="L1253">
        <v>16</v>
      </c>
      <c r="M1253" t="str">
        <f t="shared" si="137"/>
        <v>2019-12-16</v>
      </c>
      <c r="N1253" s="20">
        <f t="shared" si="138"/>
        <v>43816</v>
      </c>
      <c r="O1253" t="str">
        <f t="shared" si="139"/>
        <v>2019-12-17</v>
      </c>
    </row>
    <row r="1254" spans="1:15" x14ac:dyDescent="0.2">
      <c r="A1254" s="21" t="str">
        <f t="shared" si="133"/>
        <v>y</v>
      </c>
      <c r="B1254" s="24" t="s">
        <v>1787</v>
      </c>
      <c r="C1254" t="s">
        <v>677</v>
      </c>
      <c r="D1254" t="s">
        <v>13</v>
      </c>
      <c r="E1254" t="s">
        <v>27</v>
      </c>
      <c r="F1254" t="s">
        <v>29</v>
      </c>
      <c r="G1254" t="s">
        <v>778</v>
      </c>
      <c r="H1254" t="s">
        <v>2040</v>
      </c>
      <c r="I1254" s="22" t="str">
        <f t="shared" si="134"/>
        <v>2019-12-15</v>
      </c>
      <c r="J1254" s="23" t="str">
        <f t="shared" si="135"/>
        <v>15</v>
      </c>
      <c r="K1254" t="str">
        <f t="shared" si="136"/>
        <v>no</v>
      </c>
      <c r="L1254">
        <v>15</v>
      </c>
      <c r="M1254" t="str">
        <f t="shared" si="137"/>
        <v>2019-12-15</v>
      </c>
      <c r="N1254" s="20" t="str">
        <f t="shared" si="138"/>
        <v>2019-12-15</v>
      </c>
      <c r="O1254" t="str">
        <f t="shared" si="139"/>
        <v>2019-12-15</v>
      </c>
    </row>
    <row r="1255" spans="1:15" x14ac:dyDescent="0.2">
      <c r="A1255" s="21" t="str">
        <f t="shared" si="133"/>
        <v>y</v>
      </c>
      <c r="B1255" s="24" t="s">
        <v>1787</v>
      </c>
      <c r="C1255" t="s">
        <v>499</v>
      </c>
      <c r="D1255" t="s">
        <v>13</v>
      </c>
      <c r="E1255" t="s">
        <v>64</v>
      </c>
      <c r="F1255" t="s">
        <v>29</v>
      </c>
      <c r="G1255" t="s">
        <v>773</v>
      </c>
      <c r="H1255" t="s">
        <v>2043</v>
      </c>
      <c r="I1255" s="22" t="str">
        <f t="shared" si="134"/>
        <v>2019-12-15</v>
      </c>
      <c r="J1255" s="23" t="str">
        <f t="shared" si="135"/>
        <v>15</v>
      </c>
      <c r="K1255" t="str">
        <f t="shared" si="136"/>
        <v>no</v>
      </c>
      <c r="L1255">
        <v>15</v>
      </c>
      <c r="M1255" t="str">
        <f t="shared" si="137"/>
        <v>2019-12-15</v>
      </c>
      <c r="N1255" s="20" t="str">
        <f t="shared" si="138"/>
        <v>2019-12-15</v>
      </c>
      <c r="O1255" t="str">
        <f t="shared" si="139"/>
        <v>2019-12-15</v>
      </c>
    </row>
    <row r="1256" spans="1:15" x14ac:dyDescent="0.2">
      <c r="A1256" s="21" t="str">
        <f t="shared" si="133"/>
        <v>y</v>
      </c>
      <c r="B1256" s="24" t="s">
        <v>1787</v>
      </c>
      <c r="C1256" t="s">
        <v>151</v>
      </c>
      <c r="D1256" t="s">
        <v>13</v>
      </c>
      <c r="E1256" t="s">
        <v>8</v>
      </c>
      <c r="F1256" t="s">
        <v>29</v>
      </c>
      <c r="G1256" t="s">
        <v>774</v>
      </c>
      <c r="H1256" t="s">
        <v>2021</v>
      </c>
      <c r="I1256" s="22" t="str">
        <f t="shared" si="134"/>
        <v>2019-12-15</v>
      </c>
      <c r="J1256" s="23" t="str">
        <f t="shared" si="135"/>
        <v>15</v>
      </c>
      <c r="K1256" t="str">
        <f t="shared" si="136"/>
        <v>no</v>
      </c>
      <c r="L1256">
        <v>15</v>
      </c>
      <c r="M1256" t="str">
        <f t="shared" si="137"/>
        <v>2019-12-15</v>
      </c>
      <c r="N1256" s="20" t="str">
        <f t="shared" si="138"/>
        <v>2019-12-15</v>
      </c>
      <c r="O1256" t="str">
        <f t="shared" si="139"/>
        <v>2019-12-15</v>
      </c>
    </row>
    <row r="1257" spans="1:15" x14ac:dyDescent="0.2">
      <c r="A1257" s="21" t="str">
        <f t="shared" si="133"/>
        <v>y</v>
      </c>
      <c r="B1257" s="24" t="s">
        <v>1787</v>
      </c>
      <c r="C1257" t="s">
        <v>84</v>
      </c>
      <c r="D1257" t="s">
        <v>13</v>
      </c>
      <c r="E1257" t="s">
        <v>8</v>
      </c>
      <c r="F1257" t="s">
        <v>2</v>
      </c>
      <c r="G1257" t="s">
        <v>777</v>
      </c>
      <c r="H1257" t="s">
        <v>2010</v>
      </c>
      <c r="I1257" s="22" t="str">
        <f t="shared" si="134"/>
        <v>2019-12-15</v>
      </c>
      <c r="J1257" s="23" t="str">
        <f t="shared" si="135"/>
        <v>15</v>
      </c>
      <c r="K1257" t="str">
        <f t="shared" si="136"/>
        <v>no</v>
      </c>
      <c r="L1257">
        <v>15</v>
      </c>
      <c r="M1257" t="str">
        <f t="shared" si="137"/>
        <v>2019-12-15</v>
      </c>
      <c r="N1257" s="20">
        <f t="shared" si="138"/>
        <v>43815</v>
      </c>
      <c r="O1257" t="str">
        <f t="shared" si="139"/>
        <v>2019-12-16</v>
      </c>
    </row>
    <row r="1258" spans="1:15" x14ac:dyDescent="0.2">
      <c r="A1258" s="21" t="str">
        <f t="shared" si="133"/>
        <v>y</v>
      </c>
      <c r="B1258" s="24" t="s">
        <v>1787</v>
      </c>
      <c r="C1258" t="s">
        <v>772</v>
      </c>
      <c r="D1258" t="s">
        <v>19</v>
      </c>
      <c r="E1258" t="s">
        <v>42</v>
      </c>
      <c r="F1258" t="s">
        <v>29</v>
      </c>
      <c r="G1258" t="s">
        <v>775</v>
      </c>
      <c r="H1258" t="s">
        <v>2039</v>
      </c>
      <c r="I1258" s="22" t="str">
        <f t="shared" si="134"/>
        <v>2019-12-15</v>
      </c>
      <c r="J1258" s="23" t="str">
        <f t="shared" si="135"/>
        <v>15</v>
      </c>
      <c r="K1258" t="str">
        <f t="shared" si="136"/>
        <v>no</v>
      </c>
      <c r="L1258">
        <v>15</v>
      </c>
      <c r="M1258" t="str">
        <f t="shared" si="137"/>
        <v>2019-12-15</v>
      </c>
      <c r="N1258" s="20" t="str">
        <f t="shared" si="138"/>
        <v>2019-12-15</v>
      </c>
      <c r="O1258" t="str">
        <f t="shared" si="139"/>
        <v>2019-12-15</v>
      </c>
    </row>
    <row r="1259" spans="1:15" x14ac:dyDescent="0.2">
      <c r="A1259" s="21" t="str">
        <f t="shared" si="133"/>
        <v>y</v>
      </c>
      <c r="B1259" s="24" t="s">
        <v>1787</v>
      </c>
      <c r="C1259" t="s">
        <v>756</v>
      </c>
      <c r="D1259" t="s">
        <v>13</v>
      </c>
      <c r="E1259" t="s">
        <v>27</v>
      </c>
      <c r="F1259" t="s">
        <v>29</v>
      </c>
      <c r="G1259" t="s">
        <v>776</v>
      </c>
      <c r="H1259" t="s">
        <v>2037</v>
      </c>
      <c r="I1259" s="22" t="str">
        <f t="shared" si="134"/>
        <v>2019-12-15</v>
      </c>
      <c r="J1259" s="23" t="str">
        <f t="shared" si="135"/>
        <v>15</v>
      </c>
      <c r="K1259" t="str">
        <f t="shared" si="136"/>
        <v>no</v>
      </c>
      <c r="L1259">
        <v>15</v>
      </c>
      <c r="M1259" t="str">
        <f t="shared" si="137"/>
        <v>2019-12-15</v>
      </c>
      <c r="N1259" s="20" t="str">
        <f t="shared" si="138"/>
        <v>2019-12-15</v>
      </c>
      <c r="O1259" t="str">
        <f t="shared" si="139"/>
        <v>2019-12-15</v>
      </c>
    </row>
    <row r="1260" spans="1:15" x14ac:dyDescent="0.2">
      <c r="A1260" s="21" t="str">
        <f t="shared" si="133"/>
        <v>y</v>
      </c>
      <c r="B1260" s="24" t="s">
        <v>1787</v>
      </c>
      <c r="C1260" t="s">
        <v>780</v>
      </c>
      <c r="D1260" t="s">
        <v>13</v>
      </c>
      <c r="E1260" t="s">
        <v>27</v>
      </c>
      <c r="F1260" t="s">
        <v>2</v>
      </c>
      <c r="H1260" t="s">
        <v>2041</v>
      </c>
      <c r="I1260" s="22" t="str">
        <f t="shared" si="134"/>
        <v>2019-12-15</v>
      </c>
      <c r="J1260" s="23" t="str">
        <f t="shared" si="135"/>
        <v>15</v>
      </c>
      <c r="K1260" t="str">
        <f t="shared" si="136"/>
        <v>no</v>
      </c>
      <c r="L1260">
        <v>15</v>
      </c>
      <c r="M1260" t="str">
        <f t="shared" si="137"/>
        <v>2019-12-15</v>
      </c>
      <c r="N1260" s="20">
        <f t="shared" si="138"/>
        <v>43815</v>
      </c>
      <c r="O1260" t="str">
        <f t="shared" si="139"/>
        <v>2019-12-16</v>
      </c>
    </row>
    <row r="1261" spans="1:15" x14ac:dyDescent="0.2">
      <c r="A1261" s="21" t="str">
        <f t="shared" si="133"/>
        <v>y</v>
      </c>
      <c r="B1261" s="24" t="s">
        <v>1788</v>
      </c>
      <c r="C1261" t="s">
        <v>345</v>
      </c>
      <c r="D1261" t="s">
        <v>13</v>
      </c>
      <c r="E1261" t="s">
        <v>8</v>
      </c>
      <c r="F1261" t="s">
        <v>29</v>
      </c>
      <c r="G1261" t="s">
        <v>768</v>
      </c>
      <c r="H1261" t="s">
        <v>2042</v>
      </c>
      <c r="I1261" s="22" t="str">
        <f t="shared" si="134"/>
        <v>2019-12-14</v>
      </c>
      <c r="J1261" s="23" t="str">
        <f t="shared" si="135"/>
        <v>14</v>
      </c>
      <c r="K1261" t="str">
        <f t="shared" si="136"/>
        <v>no</v>
      </c>
      <c r="L1261">
        <v>14</v>
      </c>
      <c r="M1261" t="str">
        <f t="shared" si="137"/>
        <v>2019-12-14</v>
      </c>
      <c r="N1261" s="20" t="str">
        <f t="shared" si="138"/>
        <v>2019-12-14</v>
      </c>
      <c r="O1261" t="str">
        <f t="shared" si="139"/>
        <v>2019-12-14</v>
      </c>
    </row>
    <row r="1262" spans="1:15" x14ac:dyDescent="0.2">
      <c r="A1262" s="21" t="str">
        <f t="shared" si="133"/>
        <v>y</v>
      </c>
      <c r="B1262" s="24" t="s">
        <v>1788</v>
      </c>
      <c r="C1262" t="s">
        <v>677</v>
      </c>
      <c r="D1262" t="s">
        <v>13</v>
      </c>
      <c r="E1262" t="s">
        <v>27</v>
      </c>
      <c r="F1262" t="s">
        <v>2</v>
      </c>
      <c r="G1262" t="s">
        <v>767</v>
      </c>
      <c r="H1262" t="s">
        <v>2021</v>
      </c>
      <c r="I1262" s="22" t="str">
        <f t="shared" si="134"/>
        <v>2019-12-14</v>
      </c>
      <c r="J1262" s="23" t="str">
        <f t="shared" si="135"/>
        <v>14</v>
      </c>
      <c r="K1262" t="str">
        <f t="shared" si="136"/>
        <v>no</v>
      </c>
      <c r="L1262">
        <v>14</v>
      </c>
      <c r="M1262" t="str">
        <f t="shared" si="137"/>
        <v>2019-12-14</v>
      </c>
      <c r="N1262" s="20">
        <f t="shared" si="138"/>
        <v>43814</v>
      </c>
      <c r="O1262" t="str">
        <f t="shared" si="139"/>
        <v>2019-12-15</v>
      </c>
    </row>
    <row r="1263" spans="1:15" x14ac:dyDescent="0.2">
      <c r="A1263" s="21" t="str">
        <f t="shared" si="133"/>
        <v>y</v>
      </c>
      <c r="B1263" s="24" t="s">
        <v>1788</v>
      </c>
      <c r="C1263" t="s">
        <v>756</v>
      </c>
      <c r="D1263" t="s">
        <v>13</v>
      </c>
      <c r="E1263" t="s">
        <v>27</v>
      </c>
      <c r="F1263" t="s">
        <v>29</v>
      </c>
      <c r="G1263" t="s">
        <v>766</v>
      </c>
      <c r="H1263" t="s">
        <v>2010</v>
      </c>
      <c r="I1263" s="22" t="str">
        <f t="shared" si="134"/>
        <v>2019-12-14</v>
      </c>
      <c r="J1263" s="23" t="str">
        <f t="shared" si="135"/>
        <v>14</v>
      </c>
      <c r="K1263" t="str">
        <f t="shared" si="136"/>
        <v>no</v>
      </c>
      <c r="L1263">
        <v>14</v>
      </c>
      <c r="M1263" t="str">
        <f t="shared" si="137"/>
        <v>2019-12-14</v>
      </c>
      <c r="N1263" s="20" t="str">
        <f t="shared" si="138"/>
        <v>2019-12-14</v>
      </c>
      <c r="O1263" t="str">
        <f t="shared" si="139"/>
        <v>2019-12-14</v>
      </c>
    </row>
    <row r="1264" spans="1:15" x14ac:dyDescent="0.2">
      <c r="A1264" s="21" t="str">
        <f t="shared" si="133"/>
        <v>y</v>
      </c>
      <c r="B1264" s="24" t="s">
        <v>1788</v>
      </c>
      <c r="C1264" t="s">
        <v>503</v>
      </c>
      <c r="D1264" t="s">
        <v>13</v>
      </c>
      <c r="E1264" t="s">
        <v>49</v>
      </c>
      <c r="F1264" t="s">
        <v>29</v>
      </c>
      <c r="G1264" t="s">
        <v>769</v>
      </c>
      <c r="H1264" t="s">
        <v>2037</v>
      </c>
      <c r="I1264" s="22" t="str">
        <f t="shared" si="134"/>
        <v>2019-12-14</v>
      </c>
      <c r="J1264" s="23" t="str">
        <f t="shared" si="135"/>
        <v>14</v>
      </c>
      <c r="K1264" t="str">
        <f t="shared" si="136"/>
        <v>no</v>
      </c>
      <c r="L1264">
        <v>14</v>
      </c>
      <c r="M1264" t="str">
        <f t="shared" si="137"/>
        <v>2019-12-14</v>
      </c>
      <c r="N1264" s="20" t="str">
        <f t="shared" si="138"/>
        <v>2019-12-14</v>
      </c>
      <c r="O1264" t="str">
        <f t="shared" si="139"/>
        <v>2019-12-14</v>
      </c>
    </row>
    <row r="1265" spans="1:15" x14ac:dyDescent="0.2">
      <c r="A1265" s="21" t="str">
        <f t="shared" si="133"/>
        <v>y</v>
      </c>
      <c r="B1265" s="24" t="s">
        <v>1788</v>
      </c>
      <c r="C1265" t="s">
        <v>770</v>
      </c>
      <c r="D1265" t="s">
        <v>13</v>
      </c>
      <c r="E1265" t="s">
        <v>27</v>
      </c>
      <c r="F1265" t="s">
        <v>29</v>
      </c>
      <c r="G1265" t="s">
        <v>771</v>
      </c>
      <c r="H1265" t="s">
        <v>2039</v>
      </c>
      <c r="I1265" s="22" t="str">
        <f t="shared" si="134"/>
        <v>2019-12-14</v>
      </c>
      <c r="J1265" s="23" t="str">
        <f t="shared" si="135"/>
        <v>14</v>
      </c>
      <c r="K1265" t="str">
        <f t="shared" si="136"/>
        <v>no</v>
      </c>
      <c r="L1265">
        <v>14</v>
      </c>
      <c r="M1265" t="str">
        <f t="shared" si="137"/>
        <v>2019-12-14</v>
      </c>
      <c r="N1265" s="20" t="str">
        <f t="shared" si="138"/>
        <v>2019-12-14</v>
      </c>
      <c r="O1265" t="str">
        <f t="shared" si="139"/>
        <v>2019-12-14</v>
      </c>
    </row>
    <row r="1266" spans="1:15" x14ac:dyDescent="0.2">
      <c r="A1266" s="21" t="str">
        <f t="shared" si="133"/>
        <v>y</v>
      </c>
      <c r="B1266" s="24" t="s">
        <v>1788</v>
      </c>
      <c r="C1266" t="s">
        <v>780</v>
      </c>
      <c r="D1266" t="s">
        <v>13</v>
      </c>
      <c r="E1266" t="s">
        <v>27</v>
      </c>
      <c r="F1266" t="s">
        <v>2</v>
      </c>
      <c r="H1266" t="s">
        <v>2044</v>
      </c>
      <c r="I1266" s="22" t="str">
        <f t="shared" si="134"/>
        <v>2019-12-14</v>
      </c>
      <c r="J1266" s="23" t="str">
        <f t="shared" si="135"/>
        <v>14</v>
      </c>
      <c r="K1266" t="str">
        <f t="shared" si="136"/>
        <v>no</v>
      </c>
      <c r="L1266">
        <v>14</v>
      </c>
      <c r="M1266" t="str">
        <f t="shared" si="137"/>
        <v>2019-12-14</v>
      </c>
      <c r="N1266" s="20">
        <f t="shared" si="138"/>
        <v>43814</v>
      </c>
      <c r="O1266" t="str">
        <f t="shared" si="139"/>
        <v>2019-12-15</v>
      </c>
    </row>
    <row r="1267" spans="1:15" x14ac:dyDescent="0.2">
      <c r="A1267" s="21" t="str">
        <f t="shared" si="133"/>
        <v>y</v>
      </c>
      <c r="B1267" s="24">
        <v>43811</v>
      </c>
      <c r="C1267" t="s">
        <v>345</v>
      </c>
      <c r="D1267" t="s">
        <v>13</v>
      </c>
      <c r="E1267" t="s">
        <v>64</v>
      </c>
      <c r="F1267" t="s">
        <v>29</v>
      </c>
      <c r="G1267" t="s">
        <v>765</v>
      </c>
      <c r="H1267" t="s">
        <v>2029</v>
      </c>
      <c r="I1267" s="22" t="str">
        <f t="shared" si="134"/>
        <v>2019-12-12</v>
      </c>
      <c r="J1267" s="23" t="str">
        <f t="shared" si="135"/>
        <v>43</v>
      </c>
      <c r="K1267" t="str">
        <f t="shared" si="136"/>
        <v>yes</v>
      </c>
      <c r="L1267">
        <v>43</v>
      </c>
      <c r="M1267" t="str">
        <f t="shared" si="137"/>
        <v>2019-12-12</v>
      </c>
      <c r="N1267" s="20" t="str">
        <f t="shared" si="138"/>
        <v>2019-12-12</v>
      </c>
      <c r="O1267" t="str">
        <f t="shared" si="139"/>
        <v>2019-12-12</v>
      </c>
    </row>
    <row r="1268" spans="1:15" x14ac:dyDescent="0.2">
      <c r="A1268" s="21" t="str">
        <f t="shared" si="133"/>
        <v>y</v>
      </c>
      <c r="B1268" s="24">
        <v>43811</v>
      </c>
      <c r="C1268" t="s">
        <v>677</v>
      </c>
      <c r="D1268" t="s">
        <v>13</v>
      </c>
      <c r="E1268" t="s">
        <v>27</v>
      </c>
      <c r="F1268" t="s">
        <v>2</v>
      </c>
      <c r="G1268" t="s">
        <v>763</v>
      </c>
      <c r="H1268" t="s">
        <v>2021</v>
      </c>
      <c r="I1268" s="22" t="str">
        <f t="shared" si="134"/>
        <v>2019-12-12</v>
      </c>
      <c r="J1268" s="23" t="str">
        <f t="shared" si="135"/>
        <v>43</v>
      </c>
      <c r="K1268" t="str">
        <f t="shared" si="136"/>
        <v>yes</v>
      </c>
      <c r="L1268">
        <v>43</v>
      </c>
      <c r="M1268" t="str">
        <f t="shared" si="137"/>
        <v>2019-12-12</v>
      </c>
      <c r="N1268" s="20">
        <f t="shared" si="138"/>
        <v>43812</v>
      </c>
      <c r="O1268" t="str">
        <f t="shared" si="139"/>
        <v>2019-12-13</v>
      </c>
    </row>
    <row r="1269" spans="1:15" x14ac:dyDescent="0.2">
      <c r="A1269" s="21" t="str">
        <f t="shared" si="133"/>
        <v>y</v>
      </c>
      <c r="B1269" s="24">
        <v>43811</v>
      </c>
      <c r="C1269" t="s">
        <v>752</v>
      </c>
      <c r="D1269" t="s">
        <v>13</v>
      </c>
      <c r="E1269" t="s">
        <v>27</v>
      </c>
      <c r="F1269" t="s">
        <v>29</v>
      </c>
      <c r="G1269" t="s">
        <v>762</v>
      </c>
      <c r="H1269" t="s">
        <v>2010</v>
      </c>
      <c r="I1269" s="22" t="str">
        <f t="shared" si="134"/>
        <v>2019-12-12</v>
      </c>
      <c r="J1269" s="23" t="str">
        <f t="shared" si="135"/>
        <v>43</v>
      </c>
      <c r="K1269" t="str">
        <f t="shared" si="136"/>
        <v>yes</v>
      </c>
      <c r="L1269">
        <v>43</v>
      </c>
      <c r="M1269" t="str">
        <f t="shared" si="137"/>
        <v>2019-12-12</v>
      </c>
      <c r="N1269" s="20" t="str">
        <f t="shared" si="138"/>
        <v>2019-12-12</v>
      </c>
      <c r="O1269" t="str">
        <f t="shared" si="139"/>
        <v>2019-12-12</v>
      </c>
    </row>
    <row r="1270" spans="1:15" x14ac:dyDescent="0.2">
      <c r="A1270" s="21" t="str">
        <f t="shared" si="133"/>
        <v>y</v>
      </c>
      <c r="B1270" s="24">
        <v>43811</v>
      </c>
      <c r="C1270" t="s">
        <v>756</v>
      </c>
      <c r="D1270" t="s">
        <v>13</v>
      </c>
      <c r="E1270" t="s">
        <v>27</v>
      </c>
      <c r="F1270" t="s">
        <v>2</v>
      </c>
      <c r="G1270" t="s">
        <v>761</v>
      </c>
      <c r="H1270" t="s">
        <v>2037</v>
      </c>
      <c r="I1270" s="22" t="str">
        <f t="shared" si="134"/>
        <v>2019-12-12</v>
      </c>
      <c r="J1270" s="23" t="str">
        <f t="shared" si="135"/>
        <v>43</v>
      </c>
      <c r="K1270" t="str">
        <f t="shared" si="136"/>
        <v>yes</v>
      </c>
      <c r="L1270">
        <v>43</v>
      </c>
      <c r="M1270" t="str">
        <f t="shared" si="137"/>
        <v>2019-12-12</v>
      </c>
      <c r="N1270" s="20">
        <f t="shared" si="138"/>
        <v>43812</v>
      </c>
      <c r="O1270" t="str">
        <f t="shared" si="139"/>
        <v>2019-12-13</v>
      </c>
    </row>
    <row r="1271" spans="1:15" x14ac:dyDescent="0.2">
      <c r="A1271" s="21" t="str">
        <f t="shared" si="133"/>
        <v>y</v>
      </c>
      <c r="B1271" s="24">
        <v>43811</v>
      </c>
      <c r="C1271" t="s">
        <v>235</v>
      </c>
      <c r="D1271" t="s">
        <v>13</v>
      </c>
      <c r="E1271" t="s">
        <v>27</v>
      </c>
      <c r="F1271" t="s">
        <v>29</v>
      </c>
      <c r="G1271" t="s">
        <v>764</v>
      </c>
      <c r="H1271" t="s">
        <v>2039</v>
      </c>
      <c r="I1271" s="22" t="str">
        <f t="shared" si="134"/>
        <v>2019-12-12</v>
      </c>
      <c r="J1271" s="23" t="str">
        <f t="shared" si="135"/>
        <v>43</v>
      </c>
      <c r="K1271" t="str">
        <f t="shared" si="136"/>
        <v>yes</v>
      </c>
      <c r="L1271">
        <v>43</v>
      </c>
      <c r="M1271" t="str">
        <f t="shared" si="137"/>
        <v>2019-12-12</v>
      </c>
      <c r="N1271" s="20" t="str">
        <f t="shared" si="138"/>
        <v>2019-12-12</v>
      </c>
      <c r="O1271" t="str">
        <f t="shared" si="139"/>
        <v>2019-12-12</v>
      </c>
    </row>
    <row r="1272" spans="1:15" x14ac:dyDescent="0.2">
      <c r="A1272" s="21" t="str">
        <f t="shared" si="133"/>
        <v>y</v>
      </c>
      <c r="B1272" s="24">
        <v>43811</v>
      </c>
      <c r="C1272" t="s">
        <v>780</v>
      </c>
      <c r="D1272" t="s">
        <v>13</v>
      </c>
      <c r="E1272" t="s">
        <v>27</v>
      </c>
      <c r="F1272" t="s">
        <v>2</v>
      </c>
      <c r="H1272" t="s">
        <v>2044</v>
      </c>
      <c r="I1272" s="22" t="str">
        <f t="shared" si="134"/>
        <v>2019-12-12</v>
      </c>
      <c r="J1272" s="23" t="str">
        <f t="shared" si="135"/>
        <v>43</v>
      </c>
      <c r="K1272" t="str">
        <f t="shared" si="136"/>
        <v>yes</v>
      </c>
      <c r="L1272">
        <v>43</v>
      </c>
      <c r="M1272" t="str">
        <f t="shared" si="137"/>
        <v>2019-12-12</v>
      </c>
      <c r="N1272" s="20">
        <f t="shared" si="138"/>
        <v>43812</v>
      </c>
      <c r="O1272" t="str">
        <f t="shared" si="139"/>
        <v>2019-12-13</v>
      </c>
    </row>
    <row r="1273" spans="1:15" x14ac:dyDescent="0.2">
      <c r="A1273" s="21" t="str">
        <f t="shared" si="133"/>
        <v>y</v>
      </c>
      <c r="B1273" s="24">
        <v>43781</v>
      </c>
      <c r="C1273" t="s">
        <v>345</v>
      </c>
      <c r="D1273" t="s">
        <v>13</v>
      </c>
      <c r="E1273" t="s">
        <v>64</v>
      </c>
      <c r="F1273" t="s">
        <v>2</v>
      </c>
      <c r="G1273" t="s">
        <v>755</v>
      </c>
      <c r="H1273" t="s">
        <v>2010</v>
      </c>
      <c r="I1273" s="22" t="str">
        <f t="shared" si="134"/>
        <v>2019-12-11</v>
      </c>
      <c r="J1273" s="23" t="str">
        <f t="shared" si="135"/>
        <v>43</v>
      </c>
      <c r="K1273" t="str">
        <f t="shared" si="136"/>
        <v>yes</v>
      </c>
      <c r="L1273">
        <v>43</v>
      </c>
      <c r="M1273" t="str">
        <f t="shared" si="137"/>
        <v>2019-12-11</v>
      </c>
      <c r="N1273" s="20">
        <f t="shared" si="138"/>
        <v>43811</v>
      </c>
      <c r="O1273" t="str">
        <f t="shared" si="139"/>
        <v>2019-12-12</v>
      </c>
    </row>
    <row r="1274" spans="1:15" x14ac:dyDescent="0.2">
      <c r="A1274" s="21" t="str">
        <f t="shared" si="133"/>
        <v>y</v>
      </c>
      <c r="B1274" s="24">
        <v>43781</v>
      </c>
      <c r="C1274" t="s">
        <v>677</v>
      </c>
      <c r="D1274" t="s">
        <v>13</v>
      </c>
      <c r="E1274" t="s">
        <v>27</v>
      </c>
      <c r="F1274" t="s">
        <v>2</v>
      </c>
      <c r="H1274" t="s">
        <v>2037</v>
      </c>
      <c r="I1274" s="22" t="str">
        <f t="shared" si="134"/>
        <v>2019-12-11</v>
      </c>
      <c r="J1274" s="23" t="str">
        <f t="shared" si="135"/>
        <v>43</v>
      </c>
      <c r="K1274" t="str">
        <f t="shared" si="136"/>
        <v>yes</v>
      </c>
      <c r="L1274">
        <v>43</v>
      </c>
      <c r="M1274" t="str">
        <f t="shared" si="137"/>
        <v>2019-12-11</v>
      </c>
      <c r="N1274" s="20">
        <f t="shared" si="138"/>
        <v>43811</v>
      </c>
      <c r="O1274" t="str">
        <f t="shared" si="139"/>
        <v>2019-12-12</v>
      </c>
    </row>
    <row r="1275" spans="1:15" x14ac:dyDescent="0.2">
      <c r="A1275" s="21" t="str">
        <f t="shared" si="133"/>
        <v>y</v>
      </c>
      <c r="B1275" s="24">
        <v>43781</v>
      </c>
      <c r="C1275" t="s">
        <v>752</v>
      </c>
      <c r="D1275" t="s">
        <v>13</v>
      </c>
      <c r="E1275" t="s">
        <v>27</v>
      </c>
      <c r="F1275" t="s">
        <v>29</v>
      </c>
      <c r="G1275" t="s">
        <v>762</v>
      </c>
      <c r="H1275" t="s">
        <v>2041</v>
      </c>
      <c r="I1275" s="22" t="str">
        <f t="shared" si="134"/>
        <v>2019-12-11</v>
      </c>
      <c r="J1275" s="23" t="str">
        <f t="shared" si="135"/>
        <v>43</v>
      </c>
      <c r="K1275" t="str">
        <f t="shared" si="136"/>
        <v>yes</v>
      </c>
      <c r="L1275">
        <v>43</v>
      </c>
      <c r="M1275" t="str">
        <f t="shared" si="137"/>
        <v>2019-12-11</v>
      </c>
      <c r="N1275" s="20" t="str">
        <f t="shared" si="138"/>
        <v>2019-12-11</v>
      </c>
      <c r="O1275" t="str">
        <f t="shared" si="139"/>
        <v>2019-12-11</v>
      </c>
    </row>
    <row r="1276" spans="1:15" x14ac:dyDescent="0.2">
      <c r="A1276" s="21" t="str">
        <f t="shared" si="133"/>
        <v>y</v>
      </c>
      <c r="B1276" s="24">
        <v>43781</v>
      </c>
      <c r="C1276" t="s">
        <v>756</v>
      </c>
      <c r="D1276" t="s">
        <v>13</v>
      </c>
      <c r="E1276" t="s">
        <v>27</v>
      </c>
      <c r="F1276" t="s">
        <v>2</v>
      </c>
      <c r="G1276" t="s">
        <v>761</v>
      </c>
      <c r="H1276" t="s">
        <v>2044</v>
      </c>
      <c r="I1276" s="22" t="str">
        <f t="shared" si="134"/>
        <v>2019-12-11</v>
      </c>
      <c r="J1276" s="23" t="str">
        <f t="shared" si="135"/>
        <v>43</v>
      </c>
      <c r="K1276" t="str">
        <f t="shared" si="136"/>
        <v>yes</v>
      </c>
      <c r="L1276">
        <v>43</v>
      </c>
      <c r="M1276" t="str">
        <f t="shared" si="137"/>
        <v>2019-12-11</v>
      </c>
      <c r="N1276" s="20">
        <f t="shared" si="138"/>
        <v>43811</v>
      </c>
      <c r="O1276" t="str">
        <f t="shared" si="139"/>
        <v>2019-12-12</v>
      </c>
    </row>
    <row r="1277" spans="1:15" x14ac:dyDescent="0.2">
      <c r="A1277" s="21" t="str">
        <f t="shared" si="133"/>
        <v>y</v>
      </c>
      <c r="B1277" s="24">
        <v>43750</v>
      </c>
      <c r="C1277" t="s">
        <v>345</v>
      </c>
      <c r="D1277" t="s">
        <v>13</v>
      </c>
      <c r="E1277" t="s">
        <v>64</v>
      </c>
      <c r="F1277" t="s">
        <v>2</v>
      </c>
      <c r="G1277" t="s">
        <v>755</v>
      </c>
      <c r="H1277" t="s">
        <v>2039</v>
      </c>
      <c r="I1277" s="22" t="str">
        <f t="shared" si="134"/>
        <v>2019-12-10</v>
      </c>
      <c r="J1277" s="23" t="str">
        <f t="shared" si="135"/>
        <v>43</v>
      </c>
      <c r="K1277" t="str">
        <f t="shared" si="136"/>
        <v>yes</v>
      </c>
      <c r="L1277">
        <v>43</v>
      </c>
      <c r="M1277" t="str">
        <f t="shared" si="137"/>
        <v>2019-12-10</v>
      </c>
      <c r="N1277" s="20">
        <f t="shared" si="138"/>
        <v>43810</v>
      </c>
      <c r="O1277" t="str">
        <f t="shared" si="139"/>
        <v>2019-12-11</v>
      </c>
    </row>
    <row r="1278" spans="1:15" x14ac:dyDescent="0.2">
      <c r="A1278" s="21" t="str">
        <f t="shared" si="133"/>
        <v>y</v>
      </c>
      <c r="B1278" s="24">
        <v>43750</v>
      </c>
      <c r="C1278" t="s">
        <v>677</v>
      </c>
      <c r="D1278" t="s">
        <v>13</v>
      </c>
      <c r="E1278" t="s">
        <v>27</v>
      </c>
      <c r="F1278" t="s">
        <v>2</v>
      </c>
      <c r="G1278" t="s">
        <v>760</v>
      </c>
      <c r="H1278" t="s">
        <v>2010</v>
      </c>
      <c r="I1278" s="22" t="str">
        <f t="shared" si="134"/>
        <v>2019-12-10</v>
      </c>
      <c r="J1278" s="23" t="str">
        <f t="shared" si="135"/>
        <v>43</v>
      </c>
      <c r="K1278" t="str">
        <f t="shared" si="136"/>
        <v>yes</v>
      </c>
      <c r="L1278">
        <v>43</v>
      </c>
      <c r="M1278" t="str">
        <f t="shared" si="137"/>
        <v>2019-12-10</v>
      </c>
      <c r="N1278" s="20">
        <f t="shared" si="138"/>
        <v>43810</v>
      </c>
      <c r="O1278" t="str">
        <f t="shared" si="139"/>
        <v>2019-12-11</v>
      </c>
    </row>
    <row r="1279" spans="1:15" x14ac:dyDescent="0.2">
      <c r="A1279" s="21" t="str">
        <f t="shared" si="133"/>
        <v>y</v>
      </c>
      <c r="B1279" s="24">
        <v>43750</v>
      </c>
      <c r="C1279" t="s">
        <v>503</v>
      </c>
      <c r="D1279" t="s">
        <v>13</v>
      </c>
      <c r="E1279" t="s">
        <v>49</v>
      </c>
      <c r="F1279" t="s">
        <v>29</v>
      </c>
      <c r="G1279" t="s">
        <v>759</v>
      </c>
      <c r="H1279" t="s">
        <v>2037</v>
      </c>
      <c r="I1279" s="22" t="str">
        <f t="shared" si="134"/>
        <v>2019-12-10</v>
      </c>
      <c r="J1279" s="23" t="str">
        <f t="shared" si="135"/>
        <v>43</v>
      </c>
      <c r="K1279" t="str">
        <f t="shared" si="136"/>
        <v>yes</v>
      </c>
      <c r="L1279">
        <v>43</v>
      </c>
      <c r="M1279" t="str">
        <f t="shared" si="137"/>
        <v>2019-12-10</v>
      </c>
      <c r="N1279" s="20" t="str">
        <f t="shared" si="138"/>
        <v>2019-12-10</v>
      </c>
      <c r="O1279" t="str">
        <f t="shared" si="139"/>
        <v>2019-12-10</v>
      </c>
    </row>
    <row r="1280" spans="1:15" x14ac:dyDescent="0.2">
      <c r="A1280" s="21" t="str">
        <f t="shared" si="133"/>
        <v>y</v>
      </c>
      <c r="B1280" s="24">
        <v>43750</v>
      </c>
      <c r="C1280" t="s">
        <v>752</v>
      </c>
      <c r="D1280" t="s">
        <v>13</v>
      </c>
      <c r="E1280" t="s">
        <v>27</v>
      </c>
      <c r="F1280" t="s">
        <v>2</v>
      </c>
      <c r="G1280" t="s">
        <v>758</v>
      </c>
      <c r="H1280" t="s">
        <v>1988</v>
      </c>
      <c r="I1280" s="22" t="str">
        <f t="shared" si="134"/>
        <v>2019-12-10</v>
      </c>
      <c r="J1280" s="23" t="str">
        <f t="shared" si="135"/>
        <v>43</v>
      </c>
      <c r="K1280" t="str">
        <f t="shared" si="136"/>
        <v>yes</v>
      </c>
      <c r="L1280">
        <v>43</v>
      </c>
      <c r="M1280" t="str">
        <f t="shared" si="137"/>
        <v>2019-12-10</v>
      </c>
      <c r="N1280" s="20">
        <f t="shared" si="138"/>
        <v>43810</v>
      </c>
      <c r="O1280" t="str">
        <f t="shared" si="139"/>
        <v>2019-12-11</v>
      </c>
    </row>
    <row r="1281" spans="1:15" x14ac:dyDescent="0.2">
      <c r="A1281" s="21" t="str">
        <f t="shared" si="133"/>
        <v>y</v>
      </c>
      <c r="B1281" s="24">
        <v>43750</v>
      </c>
      <c r="C1281" t="s">
        <v>756</v>
      </c>
      <c r="D1281" t="s">
        <v>13</v>
      </c>
      <c r="E1281" t="s">
        <v>4</v>
      </c>
      <c r="F1281" t="s">
        <v>29</v>
      </c>
      <c r="G1281" t="s">
        <v>757</v>
      </c>
      <c r="H1281" t="s">
        <v>2036</v>
      </c>
      <c r="I1281" s="22" t="str">
        <f t="shared" si="134"/>
        <v>2019-12-10</v>
      </c>
      <c r="J1281" s="23" t="str">
        <f t="shared" si="135"/>
        <v>43</v>
      </c>
      <c r="K1281" t="str">
        <f t="shared" si="136"/>
        <v>yes</v>
      </c>
      <c r="L1281">
        <v>43</v>
      </c>
      <c r="M1281" t="str">
        <f t="shared" si="137"/>
        <v>2019-12-10</v>
      </c>
      <c r="N1281" s="20" t="str">
        <f t="shared" si="138"/>
        <v>2019-12-10</v>
      </c>
      <c r="O1281" t="str">
        <f t="shared" si="139"/>
        <v>2019-12-10</v>
      </c>
    </row>
    <row r="1282" spans="1:15" x14ac:dyDescent="0.2">
      <c r="A1282" s="21" t="str">
        <f t="shared" si="133"/>
        <v>y</v>
      </c>
      <c r="B1282" s="24">
        <v>43720</v>
      </c>
      <c r="C1282" t="s">
        <v>345</v>
      </c>
      <c r="D1282" t="s">
        <v>13</v>
      </c>
      <c r="E1282" t="s">
        <v>4</v>
      </c>
      <c r="F1282" t="s">
        <v>29</v>
      </c>
      <c r="G1282" t="s">
        <v>750</v>
      </c>
      <c r="H1282" t="s">
        <v>2041</v>
      </c>
      <c r="I1282" s="22" t="str">
        <f t="shared" si="134"/>
        <v>2019-12-09</v>
      </c>
      <c r="J1282" s="23" t="str">
        <f t="shared" si="135"/>
        <v>43</v>
      </c>
      <c r="K1282" t="str">
        <f t="shared" si="136"/>
        <v>yes</v>
      </c>
      <c r="L1282">
        <v>43</v>
      </c>
      <c r="M1282" t="str">
        <f t="shared" si="137"/>
        <v>2019-12-09</v>
      </c>
      <c r="N1282" s="20" t="str">
        <f t="shared" si="138"/>
        <v>2019-12-09</v>
      </c>
      <c r="O1282" t="str">
        <f t="shared" si="139"/>
        <v>2019-12-09</v>
      </c>
    </row>
    <row r="1283" spans="1:15" x14ac:dyDescent="0.2">
      <c r="A1283" s="21" t="str">
        <f t="shared" si="133"/>
        <v>y</v>
      </c>
      <c r="B1283" s="24">
        <v>43720</v>
      </c>
      <c r="C1283" t="s">
        <v>151</v>
      </c>
      <c r="D1283" t="s">
        <v>13</v>
      </c>
      <c r="E1283" t="s">
        <v>8</v>
      </c>
      <c r="F1283" t="s">
        <v>29</v>
      </c>
      <c r="G1283" t="s">
        <v>753</v>
      </c>
      <c r="H1283" t="s">
        <v>2044</v>
      </c>
      <c r="I1283" s="22" t="str">
        <f t="shared" si="134"/>
        <v>2019-12-09</v>
      </c>
      <c r="J1283" s="23" t="str">
        <f t="shared" si="135"/>
        <v>43</v>
      </c>
      <c r="K1283" t="str">
        <f t="shared" si="136"/>
        <v>yes</v>
      </c>
      <c r="L1283">
        <v>43</v>
      </c>
      <c r="M1283" t="str">
        <f t="shared" si="137"/>
        <v>2019-12-09</v>
      </c>
      <c r="N1283" s="20" t="str">
        <f t="shared" si="138"/>
        <v>2019-12-09</v>
      </c>
      <c r="O1283" t="str">
        <f t="shared" si="139"/>
        <v>2019-12-09</v>
      </c>
    </row>
    <row r="1284" spans="1:15" x14ac:dyDescent="0.2">
      <c r="A1284" s="21" t="str">
        <f t="shared" ref="A1284:A1347" si="140">IF(LEFT(B1284,2)&gt;12,"y","-")</f>
        <v>y</v>
      </c>
      <c r="B1284" s="24">
        <v>43720</v>
      </c>
      <c r="C1284" t="s">
        <v>677</v>
      </c>
      <c r="D1284" t="s">
        <v>13</v>
      </c>
      <c r="E1284" t="s">
        <v>27</v>
      </c>
      <c r="F1284" t="s">
        <v>2</v>
      </c>
      <c r="G1284" t="s">
        <v>754</v>
      </c>
      <c r="H1284" t="s">
        <v>2039</v>
      </c>
      <c r="I1284" s="22" t="str">
        <f t="shared" ref="I1284:I1347" si="141">IF(K1284="yes",TEXT(B1284,"YYYY-DD-MM"),TEXT(B1284,"YYYY-MM-DD"))</f>
        <v>2019-12-09</v>
      </c>
      <c r="J1284" s="23" t="str">
        <f t="shared" ref="J1284:J1347" si="142">LEFT(B1284,2)</f>
        <v>43</v>
      </c>
      <c r="K1284" t="str">
        <f t="shared" ref="K1284:K1347" si="143">IF(L1284&gt;31,"yes","no")</f>
        <v>yes</v>
      </c>
      <c r="L1284">
        <v>43</v>
      </c>
      <c r="M1284" t="str">
        <f t="shared" ref="M1284:M1347" si="144">I1284</f>
        <v>2019-12-09</v>
      </c>
      <c r="N1284" s="20">
        <f t="shared" ref="N1284:N1347" si="145">IF(F1284="DONE",M1284,M1284+1)</f>
        <v>43809</v>
      </c>
      <c r="O1284" t="str">
        <f t="shared" ref="O1284:O1347" si="146">TEXT(N1284,"YYYY-MM-DD")</f>
        <v>2019-12-10</v>
      </c>
    </row>
    <row r="1285" spans="1:15" x14ac:dyDescent="0.2">
      <c r="A1285" s="21" t="str">
        <f t="shared" si="140"/>
        <v>y</v>
      </c>
      <c r="B1285" s="24">
        <v>43720</v>
      </c>
      <c r="C1285" t="s">
        <v>540</v>
      </c>
      <c r="D1285" t="s">
        <v>13</v>
      </c>
      <c r="E1285" t="s">
        <v>27</v>
      </c>
      <c r="F1285" t="s">
        <v>29</v>
      </c>
      <c r="G1285" t="s">
        <v>688</v>
      </c>
      <c r="H1285" t="s">
        <v>2037</v>
      </c>
      <c r="I1285" s="22" t="str">
        <f t="shared" si="141"/>
        <v>2019-12-09</v>
      </c>
      <c r="J1285" s="23" t="str">
        <f t="shared" si="142"/>
        <v>43</v>
      </c>
      <c r="K1285" t="str">
        <f t="shared" si="143"/>
        <v>yes</v>
      </c>
      <c r="L1285">
        <v>43</v>
      </c>
      <c r="M1285" t="str">
        <f t="shared" si="144"/>
        <v>2019-12-09</v>
      </c>
      <c r="N1285" s="20" t="str">
        <f t="shared" si="145"/>
        <v>2019-12-09</v>
      </c>
      <c r="O1285" t="str">
        <f t="shared" si="146"/>
        <v>2019-12-09</v>
      </c>
    </row>
    <row r="1286" spans="1:15" x14ac:dyDescent="0.2">
      <c r="A1286" s="21" t="str">
        <f t="shared" si="140"/>
        <v>y</v>
      </c>
      <c r="B1286" s="24">
        <v>43720</v>
      </c>
      <c r="C1286" t="s">
        <v>503</v>
      </c>
      <c r="D1286" t="s">
        <v>13</v>
      </c>
      <c r="E1286" t="s">
        <v>49</v>
      </c>
      <c r="F1286" t="s">
        <v>2</v>
      </c>
      <c r="H1286" t="s">
        <v>2045</v>
      </c>
      <c r="I1286" s="22" t="str">
        <f t="shared" si="141"/>
        <v>2019-12-09</v>
      </c>
      <c r="J1286" s="23" t="str">
        <f t="shared" si="142"/>
        <v>43</v>
      </c>
      <c r="K1286" t="str">
        <f t="shared" si="143"/>
        <v>yes</v>
      </c>
      <c r="L1286">
        <v>43</v>
      </c>
      <c r="M1286" t="str">
        <f t="shared" si="144"/>
        <v>2019-12-09</v>
      </c>
      <c r="N1286" s="20">
        <f t="shared" si="145"/>
        <v>43809</v>
      </c>
      <c r="O1286" t="str">
        <f t="shared" si="146"/>
        <v>2019-12-10</v>
      </c>
    </row>
    <row r="1287" spans="1:15" x14ac:dyDescent="0.2">
      <c r="A1287" s="21" t="str">
        <f t="shared" si="140"/>
        <v>y</v>
      </c>
      <c r="B1287" s="24">
        <v>43720</v>
      </c>
      <c r="C1287" t="s">
        <v>752</v>
      </c>
      <c r="D1287" t="s">
        <v>13</v>
      </c>
      <c r="E1287" t="s">
        <v>27</v>
      </c>
      <c r="F1287" t="s">
        <v>2</v>
      </c>
      <c r="H1287" t="s">
        <v>1988</v>
      </c>
      <c r="I1287" s="22" t="str">
        <f t="shared" si="141"/>
        <v>2019-12-09</v>
      </c>
      <c r="J1287" s="23" t="str">
        <f t="shared" si="142"/>
        <v>43</v>
      </c>
      <c r="K1287" t="str">
        <f t="shared" si="143"/>
        <v>yes</v>
      </c>
      <c r="L1287">
        <v>43</v>
      </c>
      <c r="M1287" t="str">
        <f t="shared" si="144"/>
        <v>2019-12-09</v>
      </c>
      <c r="N1287" s="20">
        <f t="shared" si="145"/>
        <v>43809</v>
      </c>
      <c r="O1287" t="str">
        <f t="shared" si="146"/>
        <v>2019-12-10</v>
      </c>
    </row>
    <row r="1288" spans="1:15" x14ac:dyDescent="0.2">
      <c r="A1288" s="21" t="str">
        <f t="shared" si="140"/>
        <v>y</v>
      </c>
      <c r="B1288" s="24">
        <v>43689</v>
      </c>
      <c r="C1288" t="s">
        <v>345</v>
      </c>
      <c r="D1288" t="s">
        <v>13</v>
      </c>
      <c r="E1288" t="s">
        <v>49</v>
      </c>
      <c r="F1288" t="s">
        <v>2</v>
      </c>
      <c r="G1288" t="s">
        <v>749</v>
      </c>
      <c r="H1288" t="s">
        <v>2037</v>
      </c>
      <c r="I1288" s="22" t="str">
        <f t="shared" si="141"/>
        <v>2019-12-08</v>
      </c>
      <c r="J1288" s="23" t="str">
        <f t="shared" si="142"/>
        <v>43</v>
      </c>
      <c r="K1288" t="str">
        <f t="shared" si="143"/>
        <v>yes</v>
      </c>
      <c r="L1288">
        <v>43</v>
      </c>
      <c r="M1288" t="str">
        <f t="shared" si="144"/>
        <v>2019-12-08</v>
      </c>
      <c r="N1288" s="20">
        <f t="shared" si="145"/>
        <v>43808</v>
      </c>
      <c r="O1288" t="str">
        <f t="shared" si="146"/>
        <v>2019-12-09</v>
      </c>
    </row>
    <row r="1289" spans="1:15" x14ac:dyDescent="0.2">
      <c r="A1289" s="21" t="str">
        <f t="shared" si="140"/>
        <v>y</v>
      </c>
      <c r="B1289" s="24">
        <v>43689</v>
      </c>
      <c r="C1289" t="s">
        <v>345</v>
      </c>
      <c r="D1289" t="s">
        <v>13</v>
      </c>
      <c r="E1289" t="s">
        <v>8</v>
      </c>
      <c r="F1289" t="s">
        <v>2</v>
      </c>
      <c r="H1289" t="s">
        <v>2039</v>
      </c>
      <c r="I1289" s="22" t="str">
        <f t="shared" si="141"/>
        <v>2019-12-08</v>
      </c>
      <c r="J1289" s="23" t="str">
        <f t="shared" si="142"/>
        <v>43</v>
      </c>
      <c r="K1289" t="str">
        <f t="shared" si="143"/>
        <v>yes</v>
      </c>
      <c r="L1289">
        <v>43</v>
      </c>
      <c r="M1289" t="str">
        <f t="shared" si="144"/>
        <v>2019-12-08</v>
      </c>
      <c r="N1289" s="20">
        <f t="shared" si="145"/>
        <v>43808</v>
      </c>
      <c r="O1289" t="str">
        <f t="shared" si="146"/>
        <v>2019-12-09</v>
      </c>
    </row>
    <row r="1290" spans="1:15" x14ac:dyDescent="0.2">
      <c r="A1290" s="21" t="str">
        <f t="shared" si="140"/>
        <v>y</v>
      </c>
      <c r="B1290" s="24">
        <v>43689</v>
      </c>
      <c r="C1290" t="s">
        <v>489</v>
      </c>
      <c r="D1290" t="s">
        <v>19</v>
      </c>
      <c r="E1290" t="s">
        <v>27</v>
      </c>
      <c r="F1290" t="s">
        <v>29</v>
      </c>
      <c r="G1290" t="s">
        <v>748</v>
      </c>
      <c r="H1290" t="s">
        <v>2037</v>
      </c>
      <c r="I1290" s="22" t="str">
        <f t="shared" si="141"/>
        <v>2019-12-08</v>
      </c>
      <c r="J1290" s="23" t="str">
        <f t="shared" si="142"/>
        <v>43</v>
      </c>
      <c r="K1290" t="str">
        <f t="shared" si="143"/>
        <v>yes</v>
      </c>
      <c r="L1290">
        <v>43</v>
      </c>
      <c r="M1290" t="str">
        <f t="shared" si="144"/>
        <v>2019-12-08</v>
      </c>
      <c r="N1290" s="20" t="str">
        <f t="shared" si="145"/>
        <v>2019-12-08</v>
      </c>
      <c r="O1290" t="str">
        <f t="shared" si="146"/>
        <v>2019-12-08</v>
      </c>
    </row>
    <row r="1291" spans="1:15" x14ac:dyDescent="0.2">
      <c r="A1291" s="21" t="str">
        <f t="shared" si="140"/>
        <v>y</v>
      </c>
      <c r="B1291" s="24">
        <v>43689</v>
      </c>
      <c r="C1291" t="s">
        <v>151</v>
      </c>
      <c r="D1291" t="s">
        <v>13</v>
      </c>
      <c r="E1291" t="s">
        <v>8</v>
      </c>
      <c r="F1291" t="s">
        <v>2</v>
      </c>
      <c r="H1291" t="s">
        <v>2045</v>
      </c>
      <c r="I1291" s="22" t="str">
        <f t="shared" si="141"/>
        <v>2019-12-08</v>
      </c>
      <c r="J1291" s="23" t="str">
        <f t="shared" si="142"/>
        <v>43</v>
      </c>
      <c r="K1291" t="str">
        <f t="shared" si="143"/>
        <v>yes</v>
      </c>
      <c r="L1291">
        <v>43</v>
      </c>
      <c r="M1291" t="str">
        <f t="shared" si="144"/>
        <v>2019-12-08</v>
      </c>
      <c r="N1291" s="20">
        <f t="shared" si="145"/>
        <v>43808</v>
      </c>
      <c r="O1291" t="str">
        <f t="shared" si="146"/>
        <v>2019-12-09</v>
      </c>
    </row>
    <row r="1292" spans="1:15" x14ac:dyDescent="0.2">
      <c r="A1292" s="21" t="str">
        <f t="shared" si="140"/>
        <v>y</v>
      </c>
      <c r="B1292" s="24">
        <v>43689</v>
      </c>
      <c r="C1292" t="s">
        <v>677</v>
      </c>
      <c r="D1292" t="s">
        <v>13</v>
      </c>
      <c r="E1292" t="s">
        <v>27</v>
      </c>
      <c r="F1292" t="s">
        <v>2</v>
      </c>
      <c r="G1292" t="s">
        <v>751</v>
      </c>
      <c r="H1292" t="s">
        <v>2036</v>
      </c>
      <c r="I1292" s="22" t="str">
        <f t="shared" si="141"/>
        <v>2019-12-08</v>
      </c>
      <c r="J1292" s="23" t="str">
        <f t="shared" si="142"/>
        <v>43</v>
      </c>
      <c r="K1292" t="str">
        <f t="shared" si="143"/>
        <v>yes</v>
      </c>
      <c r="L1292">
        <v>43</v>
      </c>
      <c r="M1292" t="str">
        <f t="shared" si="144"/>
        <v>2019-12-08</v>
      </c>
      <c r="N1292" s="20">
        <f t="shared" si="145"/>
        <v>43808</v>
      </c>
      <c r="O1292" t="str">
        <f t="shared" si="146"/>
        <v>2019-12-09</v>
      </c>
    </row>
    <row r="1293" spans="1:15" x14ac:dyDescent="0.2">
      <c r="A1293" s="21" t="str">
        <f t="shared" si="140"/>
        <v>y</v>
      </c>
      <c r="B1293" s="24">
        <v>43597</v>
      </c>
      <c r="C1293" t="s">
        <v>345</v>
      </c>
      <c r="D1293" t="s">
        <v>13</v>
      </c>
      <c r="E1293" t="s">
        <v>8</v>
      </c>
      <c r="F1293" t="s">
        <v>2</v>
      </c>
      <c r="G1293" t="s">
        <v>747</v>
      </c>
      <c r="H1293" t="s">
        <v>1960</v>
      </c>
      <c r="I1293" s="22" t="str">
        <f t="shared" si="141"/>
        <v>2019-12-05</v>
      </c>
      <c r="J1293" s="23" t="str">
        <f t="shared" si="142"/>
        <v>43</v>
      </c>
      <c r="K1293" t="str">
        <f t="shared" si="143"/>
        <v>yes</v>
      </c>
      <c r="L1293">
        <v>43</v>
      </c>
      <c r="M1293" t="str">
        <f t="shared" si="144"/>
        <v>2019-12-05</v>
      </c>
      <c r="N1293" s="20">
        <f t="shared" si="145"/>
        <v>43805</v>
      </c>
      <c r="O1293" t="str">
        <f t="shared" si="146"/>
        <v>2019-12-06</v>
      </c>
    </row>
    <row r="1294" spans="1:15" x14ac:dyDescent="0.2">
      <c r="A1294" s="21" t="str">
        <f t="shared" si="140"/>
        <v>y</v>
      </c>
      <c r="B1294" s="24">
        <v>43597</v>
      </c>
      <c r="C1294" t="s">
        <v>489</v>
      </c>
      <c r="D1294" t="s">
        <v>19</v>
      </c>
      <c r="E1294" t="s">
        <v>27</v>
      </c>
      <c r="F1294" t="s">
        <v>2</v>
      </c>
      <c r="H1294" t="s">
        <v>2046</v>
      </c>
      <c r="I1294" s="22" t="str">
        <f t="shared" si="141"/>
        <v>2019-12-05</v>
      </c>
      <c r="J1294" s="23" t="str">
        <f t="shared" si="142"/>
        <v>43</v>
      </c>
      <c r="K1294" t="str">
        <f t="shared" si="143"/>
        <v>yes</v>
      </c>
      <c r="L1294">
        <v>43</v>
      </c>
      <c r="M1294" t="str">
        <f t="shared" si="144"/>
        <v>2019-12-05</v>
      </c>
      <c r="N1294" s="20">
        <f t="shared" si="145"/>
        <v>43805</v>
      </c>
      <c r="O1294" t="str">
        <f t="shared" si="146"/>
        <v>2019-12-06</v>
      </c>
    </row>
    <row r="1295" spans="1:15" x14ac:dyDescent="0.2">
      <c r="A1295" s="21" t="str">
        <f t="shared" si="140"/>
        <v>y</v>
      </c>
      <c r="B1295" s="24">
        <v>43567</v>
      </c>
      <c r="C1295" t="s">
        <v>540</v>
      </c>
      <c r="D1295" t="s">
        <v>13</v>
      </c>
      <c r="E1295" t="s">
        <v>27</v>
      </c>
      <c r="F1295" t="s">
        <v>29</v>
      </c>
      <c r="G1295" t="s">
        <v>742</v>
      </c>
      <c r="H1295" t="s">
        <v>2045</v>
      </c>
      <c r="I1295" s="22" t="str">
        <f t="shared" si="141"/>
        <v>2019-12-04</v>
      </c>
      <c r="J1295" s="23" t="str">
        <f t="shared" si="142"/>
        <v>43</v>
      </c>
      <c r="K1295" t="str">
        <f t="shared" si="143"/>
        <v>yes</v>
      </c>
      <c r="L1295">
        <v>43</v>
      </c>
      <c r="M1295" t="str">
        <f t="shared" si="144"/>
        <v>2019-12-04</v>
      </c>
      <c r="N1295" s="20" t="str">
        <f t="shared" si="145"/>
        <v>2019-12-04</v>
      </c>
      <c r="O1295" t="str">
        <f t="shared" si="146"/>
        <v>2019-12-04</v>
      </c>
    </row>
    <row r="1296" spans="1:15" x14ac:dyDescent="0.2">
      <c r="A1296" s="21" t="str">
        <f t="shared" si="140"/>
        <v>y</v>
      </c>
      <c r="B1296" s="24">
        <v>43567</v>
      </c>
      <c r="C1296" t="s">
        <v>145</v>
      </c>
      <c r="D1296" t="s">
        <v>13</v>
      </c>
      <c r="E1296" t="s">
        <v>27</v>
      </c>
      <c r="F1296" t="s">
        <v>29</v>
      </c>
      <c r="G1296" t="s">
        <v>743</v>
      </c>
      <c r="H1296" t="s">
        <v>2027</v>
      </c>
      <c r="I1296" s="22" t="str">
        <f t="shared" si="141"/>
        <v>2019-12-04</v>
      </c>
      <c r="J1296" s="23" t="str">
        <f t="shared" si="142"/>
        <v>43</v>
      </c>
      <c r="K1296" t="str">
        <f t="shared" si="143"/>
        <v>yes</v>
      </c>
      <c r="L1296">
        <v>43</v>
      </c>
      <c r="M1296" t="str">
        <f t="shared" si="144"/>
        <v>2019-12-04</v>
      </c>
      <c r="N1296" s="20" t="str">
        <f t="shared" si="145"/>
        <v>2019-12-04</v>
      </c>
      <c r="O1296" t="str">
        <f t="shared" si="146"/>
        <v>2019-12-04</v>
      </c>
    </row>
    <row r="1297" spans="1:15" x14ac:dyDescent="0.2">
      <c r="A1297" s="21" t="str">
        <f t="shared" si="140"/>
        <v>y</v>
      </c>
      <c r="B1297" s="24">
        <v>43567</v>
      </c>
      <c r="C1297" t="s">
        <v>345</v>
      </c>
      <c r="D1297" t="s">
        <v>13</v>
      </c>
      <c r="E1297" t="s">
        <v>4</v>
      </c>
      <c r="F1297" t="s">
        <v>29</v>
      </c>
      <c r="G1297" t="s">
        <v>744</v>
      </c>
      <c r="H1297" t="s">
        <v>2047</v>
      </c>
      <c r="I1297" s="22" t="str">
        <f t="shared" si="141"/>
        <v>2019-12-04</v>
      </c>
      <c r="J1297" s="23" t="str">
        <f t="shared" si="142"/>
        <v>43</v>
      </c>
      <c r="K1297" t="str">
        <f t="shared" si="143"/>
        <v>yes</v>
      </c>
      <c r="L1297">
        <v>43</v>
      </c>
      <c r="M1297" t="str">
        <f t="shared" si="144"/>
        <v>2019-12-04</v>
      </c>
      <c r="N1297" s="20" t="str">
        <f t="shared" si="145"/>
        <v>2019-12-04</v>
      </c>
      <c r="O1297" t="str">
        <f t="shared" si="146"/>
        <v>2019-12-04</v>
      </c>
    </row>
    <row r="1298" spans="1:15" x14ac:dyDescent="0.2">
      <c r="A1298" s="21" t="str">
        <f t="shared" si="140"/>
        <v>y</v>
      </c>
      <c r="B1298" s="24">
        <v>43567</v>
      </c>
      <c r="C1298" t="s">
        <v>489</v>
      </c>
      <c r="D1298" t="s">
        <v>19</v>
      </c>
      <c r="E1298" t="s">
        <v>27</v>
      </c>
      <c r="F1298" t="s">
        <v>2</v>
      </c>
      <c r="H1298" t="s">
        <v>2036</v>
      </c>
      <c r="I1298" s="22" t="str">
        <f t="shared" si="141"/>
        <v>2019-12-04</v>
      </c>
      <c r="J1298" s="23" t="str">
        <f t="shared" si="142"/>
        <v>43</v>
      </c>
      <c r="K1298" t="str">
        <f t="shared" si="143"/>
        <v>yes</v>
      </c>
      <c r="L1298">
        <v>43</v>
      </c>
      <c r="M1298" t="str">
        <f t="shared" si="144"/>
        <v>2019-12-04</v>
      </c>
      <c r="N1298" s="20">
        <f t="shared" si="145"/>
        <v>43804</v>
      </c>
      <c r="O1298" t="str">
        <f t="shared" si="146"/>
        <v>2019-12-05</v>
      </c>
    </row>
    <row r="1299" spans="1:15" x14ac:dyDescent="0.2">
      <c r="A1299" s="21" t="str">
        <f t="shared" si="140"/>
        <v>y</v>
      </c>
      <c r="B1299" s="24">
        <v>43567</v>
      </c>
      <c r="C1299" t="s">
        <v>148</v>
      </c>
      <c r="D1299" t="s">
        <v>13</v>
      </c>
      <c r="E1299" t="s">
        <v>8</v>
      </c>
      <c r="F1299" t="s">
        <v>29</v>
      </c>
      <c r="G1299" t="s">
        <v>745</v>
      </c>
      <c r="H1299" t="s">
        <v>1960</v>
      </c>
      <c r="I1299" s="22" t="str">
        <f t="shared" si="141"/>
        <v>2019-12-04</v>
      </c>
      <c r="J1299" s="23" t="str">
        <f t="shared" si="142"/>
        <v>43</v>
      </c>
      <c r="K1299" t="str">
        <f t="shared" si="143"/>
        <v>yes</v>
      </c>
      <c r="L1299">
        <v>43</v>
      </c>
      <c r="M1299" t="str">
        <f t="shared" si="144"/>
        <v>2019-12-04</v>
      </c>
      <c r="N1299" s="20" t="str">
        <f t="shared" si="145"/>
        <v>2019-12-04</v>
      </c>
      <c r="O1299" t="str">
        <f t="shared" si="146"/>
        <v>2019-12-04</v>
      </c>
    </row>
    <row r="1300" spans="1:15" x14ac:dyDescent="0.2">
      <c r="A1300" s="21" t="str">
        <f t="shared" si="140"/>
        <v>y</v>
      </c>
      <c r="B1300" s="24">
        <v>43567</v>
      </c>
      <c r="C1300" t="s">
        <v>262</v>
      </c>
      <c r="D1300" t="s">
        <v>18</v>
      </c>
      <c r="E1300" t="s">
        <v>43</v>
      </c>
      <c r="F1300" t="s">
        <v>29</v>
      </c>
      <c r="G1300" t="s">
        <v>746</v>
      </c>
      <c r="H1300" t="s">
        <v>2046</v>
      </c>
      <c r="I1300" s="22" t="str">
        <f t="shared" si="141"/>
        <v>2019-12-04</v>
      </c>
      <c r="J1300" s="23" t="str">
        <f t="shared" si="142"/>
        <v>43</v>
      </c>
      <c r="K1300" t="str">
        <f t="shared" si="143"/>
        <v>yes</v>
      </c>
      <c r="L1300">
        <v>43</v>
      </c>
      <c r="M1300" t="str">
        <f t="shared" si="144"/>
        <v>2019-12-04</v>
      </c>
      <c r="N1300" s="20" t="str">
        <f t="shared" si="145"/>
        <v>2019-12-04</v>
      </c>
      <c r="O1300" t="str">
        <f t="shared" si="146"/>
        <v>2019-12-04</v>
      </c>
    </row>
    <row r="1301" spans="1:15" x14ac:dyDescent="0.2">
      <c r="A1301" s="21" t="str">
        <f t="shared" si="140"/>
        <v>y</v>
      </c>
      <c r="B1301" s="24" t="s">
        <v>1789</v>
      </c>
      <c r="C1301" t="s">
        <v>540</v>
      </c>
      <c r="D1301" t="s">
        <v>13</v>
      </c>
      <c r="E1301" t="s">
        <v>27</v>
      </c>
      <c r="F1301" t="s">
        <v>2</v>
      </c>
      <c r="H1301" t="s">
        <v>2047</v>
      </c>
      <c r="I1301" s="22" t="str">
        <f t="shared" si="141"/>
        <v>2019-11-30</v>
      </c>
      <c r="J1301" s="23" t="str">
        <f t="shared" si="142"/>
        <v>30</v>
      </c>
      <c r="K1301" t="str">
        <f t="shared" si="143"/>
        <v>no</v>
      </c>
      <c r="L1301">
        <v>30</v>
      </c>
      <c r="M1301" t="str">
        <f t="shared" si="144"/>
        <v>2019-11-30</v>
      </c>
      <c r="N1301" s="20">
        <f t="shared" si="145"/>
        <v>43800</v>
      </c>
      <c r="O1301" t="str">
        <f t="shared" si="146"/>
        <v>2019-12-01</v>
      </c>
    </row>
    <row r="1302" spans="1:15" x14ac:dyDescent="0.2">
      <c r="A1302" s="21" t="str">
        <f t="shared" si="140"/>
        <v>y</v>
      </c>
      <c r="B1302" s="24" t="s">
        <v>1789</v>
      </c>
      <c r="C1302" t="s">
        <v>145</v>
      </c>
      <c r="D1302" t="s">
        <v>13</v>
      </c>
      <c r="E1302" t="s">
        <v>43</v>
      </c>
      <c r="F1302" t="s">
        <v>2</v>
      </c>
      <c r="H1302" t="s">
        <v>2036</v>
      </c>
      <c r="I1302" s="22" t="str">
        <f t="shared" si="141"/>
        <v>2019-11-30</v>
      </c>
      <c r="J1302" s="23" t="str">
        <f t="shared" si="142"/>
        <v>30</v>
      </c>
      <c r="K1302" t="str">
        <f t="shared" si="143"/>
        <v>no</v>
      </c>
      <c r="L1302">
        <v>30</v>
      </c>
      <c r="M1302" t="str">
        <f t="shared" si="144"/>
        <v>2019-11-30</v>
      </c>
      <c r="N1302" s="20">
        <f t="shared" si="145"/>
        <v>43800</v>
      </c>
      <c r="O1302" t="str">
        <f t="shared" si="146"/>
        <v>2019-12-01</v>
      </c>
    </row>
    <row r="1303" spans="1:15" x14ac:dyDescent="0.2">
      <c r="A1303" s="21" t="str">
        <f t="shared" si="140"/>
        <v>y</v>
      </c>
      <c r="B1303" s="24" t="s">
        <v>1789</v>
      </c>
      <c r="C1303" t="s">
        <v>345</v>
      </c>
      <c r="D1303" t="s">
        <v>13</v>
      </c>
      <c r="E1303" t="s">
        <v>8</v>
      </c>
      <c r="F1303" t="s">
        <v>29</v>
      </c>
      <c r="G1303" t="s">
        <v>741</v>
      </c>
      <c r="H1303" t="s">
        <v>1960</v>
      </c>
      <c r="I1303" s="22" t="str">
        <f t="shared" si="141"/>
        <v>2019-11-30</v>
      </c>
      <c r="J1303" s="23" t="str">
        <f t="shared" si="142"/>
        <v>30</v>
      </c>
      <c r="K1303" t="str">
        <f t="shared" si="143"/>
        <v>no</v>
      </c>
      <c r="L1303">
        <v>30</v>
      </c>
      <c r="M1303" t="str">
        <f t="shared" si="144"/>
        <v>2019-11-30</v>
      </c>
      <c r="N1303" s="20" t="str">
        <f t="shared" si="145"/>
        <v>2019-11-30</v>
      </c>
      <c r="O1303" t="str">
        <f t="shared" si="146"/>
        <v>2019-11-30</v>
      </c>
    </row>
    <row r="1304" spans="1:15" x14ac:dyDescent="0.2">
      <c r="A1304" s="21" t="str">
        <f t="shared" si="140"/>
        <v>y</v>
      </c>
      <c r="B1304" s="24" t="s">
        <v>1790</v>
      </c>
      <c r="C1304" t="s">
        <v>262</v>
      </c>
      <c r="D1304" t="s">
        <v>18</v>
      </c>
      <c r="E1304" t="s">
        <v>43</v>
      </c>
      <c r="F1304" t="s">
        <v>29</v>
      </c>
      <c r="G1304" t="s">
        <v>740</v>
      </c>
      <c r="H1304" t="s">
        <v>2047</v>
      </c>
      <c r="I1304" s="22" t="str">
        <f t="shared" si="141"/>
        <v>2019-11-28</v>
      </c>
      <c r="J1304" s="23" t="str">
        <f t="shared" si="142"/>
        <v>28</v>
      </c>
      <c r="K1304" t="str">
        <f t="shared" si="143"/>
        <v>no</v>
      </c>
      <c r="L1304">
        <v>28</v>
      </c>
      <c r="M1304" t="str">
        <f t="shared" si="144"/>
        <v>2019-11-28</v>
      </c>
      <c r="N1304" s="20" t="str">
        <f t="shared" si="145"/>
        <v>2019-11-28</v>
      </c>
      <c r="O1304" t="str">
        <f t="shared" si="146"/>
        <v>2019-11-28</v>
      </c>
    </row>
    <row r="1305" spans="1:15" x14ac:dyDescent="0.2">
      <c r="A1305" s="21" t="str">
        <f t="shared" si="140"/>
        <v>y</v>
      </c>
      <c r="B1305" s="24" t="s">
        <v>1790</v>
      </c>
      <c r="C1305" t="s">
        <v>540</v>
      </c>
      <c r="D1305" t="s">
        <v>13</v>
      </c>
      <c r="E1305" t="s">
        <v>27</v>
      </c>
      <c r="F1305" t="s">
        <v>2</v>
      </c>
      <c r="H1305" t="s">
        <v>2036</v>
      </c>
      <c r="I1305" s="22" t="str">
        <f t="shared" si="141"/>
        <v>2019-11-28</v>
      </c>
      <c r="J1305" s="23" t="str">
        <f t="shared" si="142"/>
        <v>28</v>
      </c>
      <c r="K1305" t="str">
        <f t="shared" si="143"/>
        <v>no</v>
      </c>
      <c r="L1305">
        <v>28</v>
      </c>
      <c r="M1305" t="str">
        <f t="shared" si="144"/>
        <v>2019-11-28</v>
      </c>
      <c r="N1305" s="20">
        <f t="shared" si="145"/>
        <v>43798</v>
      </c>
      <c r="O1305" t="str">
        <f t="shared" si="146"/>
        <v>2019-11-29</v>
      </c>
    </row>
    <row r="1306" spans="1:15" x14ac:dyDescent="0.2">
      <c r="A1306" s="21" t="str">
        <f t="shared" si="140"/>
        <v>y</v>
      </c>
      <c r="B1306" s="24" t="s">
        <v>1790</v>
      </c>
      <c r="C1306" t="s">
        <v>145</v>
      </c>
      <c r="D1306" t="s">
        <v>13</v>
      </c>
      <c r="E1306" t="s">
        <v>43</v>
      </c>
      <c r="F1306" t="s">
        <v>2</v>
      </c>
      <c r="H1306" t="s">
        <v>1960</v>
      </c>
      <c r="I1306" s="22" t="str">
        <f t="shared" si="141"/>
        <v>2019-11-28</v>
      </c>
      <c r="J1306" s="23" t="str">
        <f t="shared" si="142"/>
        <v>28</v>
      </c>
      <c r="K1306" t="str">
        <f t="shared" si="143"/>
        <v>no</v>
      </c>
      <c r="L1306">
        <v>28</v>
      </c>
      <c r="M1306" t="str">
        <f t="shared" si="144"/>
        <v>2019-11-28</v>
      </c>
      <c r="N1306" s="20">
        <f t="shared" si="145"/>
        <v>43798</v>
      </c>
      <c r="O1306" t="str">
        <f t="shared" si="146"/>
        <v>2019-11-29</v>
      </c>
    </row>
    <row r="1307" spans="1:15" x14ac:dyDescent="0.2">
      <c r="A1307" s="21" t="str">
        <f t="shared" si="140"/>
        <v>y</v>
      </c>
      <c r="B1307" s="24" t="s">
        <v>1791</v>
      </c>
      <c r="C1307" t="s">
        <v>262</v>
      </c>
      <c r="D1307" t="s">
        <v>18</v>
      </c>
      <c r="E1307" t="s">
        <v>43</v>
      </c>
      <c r="F1307" t="s">
        <v>2</v>
      </c>
      <c r="G1307" t="s">
        <v>734</v>
      </c>
      <c r="H1307" t="s">
        <v>2045</v>
      </c>
      <c r="I1307" s="22" t="str">
        <f t="shared" si="141"/>
        <v>2019-11-27</v>
      </c>
      <c r="J1307" s="23" t="str">
        <f t="shared" si="142"/>
        <v>27</v>
      </c>
      <c r="K1307" t="str">
        <f t="shared" si="143"/>
        <v>no</v>
      </c>
      <c r="L1307">
        <v>27</v>
      </c>
      <c r="M1307" t="str">
        <f t="shared" si="144"/>
        <v>2019-11-27</v>
      </c>
      <c r="N1307" s="20">
        <f t="shared" si="145"/>
        <v>43797</v>
      </c>
      <c r="O1307" t="str">
        <f t="shared" si="146"/>
        <v>2019-11-28</v>
      </c>
    </row>
    <row r="1308" spans="1:15" x14ac:dyDescent="0.2">
      <c r="A1308" s="21" t="str">
        <f t="shared" si="140"/>
        <v>y</v>
      </c>
      <c r="B1308" s="24" t="s">
        <v>1791</v>
      </c>
      <c r="C1308" t="s">
        <v>711</v>
      </c>
      <c r="D1308" t="s">
        <v>13</v>
      </c>
      <c r="E1308" t="s">
        <v>27</v>
      </c>
      <c r="F1308" t="s">
        <v>29</v>
      </c>
      <c r="G1308" t="s">
        <v>735</v>
      </c>
      <c r="H1308" t="s">
        <v>2048</v>
      </c>
      <c r="I1308" s="22" t="str">
        <f t="shared" si="141"/>
        <v>2019-11-27</v>
      </c>
      <c r="J1308" s="23" t="str">
        <f t="shared" si="142"/>
        <v>27</v>
      </c>
      <c r="K1308" t="str">
        <f t="shared" si="143"/>
        <v>no</v>
      </c>
      <c r="L1308">
        <v>27</v>
      </c>
      <c r="M1308" t="str">
        <f t="shared" si="144"/>
        <v>2019-11-27</v>
      </c>
      <c r="N1308" s="20" t="str">
        <f t="shared" si="145"/>
        <v>2019-11-27</v>
      </c>
      <c r="O1308" t="str">
        <f t="shared" si="146"/>
        <v>2019-11-27</v>
      </c>
    </row>
    <row r="1309" spans="1:15" x14ac:dyDescent="0.2">
      <c r="A1309" s="21" t="str">
        <f t="shared" si="140"/>
        <v>y</v>
      </c>
      <c r="B1309" s="24" t="s">
        <v>1791</v>
      </c>
      <c r="C1309" t="s">
        <v>540</v>
      </c>
      <c r="D1309" t="s">
        <v>13</v>
      </c>
      <c r="E1309" t="s">
        <v>27</v>
      </c>
      <c r="F1309" t="s">
        <v>2</v>
      </c>
      <c r="H1309" t="s">
        <v>2026</v>
      </c>
      <c r="I1309" s="22" t="str">
        <f t="shared" si="141"/>
        <v>2019-11-27</v>
      </c>
      <c r="J1309" s="23" t="str">
        <f t="shared" si="142"/>
        <v>27</v>
      </c>
      <c r="K1309" t="str">
        <f t="shared" si="143"/>
        <v>no</v>
      </c>
      <c r="L1309">
        <v>27</v>
      </c>
      <c r="M1309" t="str">
        <f t="shared" si="144"/>
        <v>2019-11-27</v>
      </c>
      <c r="N1309" s="20">
        <f t="shared" si="145"/>
        <v>43797</v>
      </c>
      <c r="O1309" t="str">
        <f t="shared" si="146"/>
        <v>2019-11-28</v>
      </c>
    </row>
    <row r="1310" spans="1:15" x14ac:dyDescent="0.2">
      <c r="A1310" s="21" t="str">
        <f t="shared" si="140"/>
        <v>y</v>
      </c>
      <c r="B1310" s="24" t="s">
        <v>1791</v>
      </c>
      <c r="C1310" t="s">
        <v>145</v>
      </c>
      <c r="D1310" t="s">
        <v>13</v>
      </c>
      <c r="E1310" t="s">
        <v>43</v>
      </c>
      <c r="F1310" t="s">
        <v>2</v>
      </c>
      <c r="G1310" t="s">
        <v>737</v>
      </c>
      <c r="H1310" t="s">
        <v>2047</v>
      </c>
      <c r="I1310" s="22" t="str">
        <f t="shared" si="141"/>
        <v>2019-11-27</v>
      </c>
      <c r="J1310" s="23" t="str">
        <f t="shared" si="142"/>
        <v>27</v>
      </c>
      <c r="K1310" t="str">
        <f t="shared" si="143"/>
        <v>no</v>
      </c>
      <c r="L1310">
        <v>27</v>
      </c>
      <c r="M1310" t="str">
        <f t="shared" si="144"/>
        <v>2019-11-27</v>
      </c>
      <c r="N1310" s="20">
        <f t="shared" si="145"/>
        <v>43797</v>
      </c>
      <c r="O1310" t="str">
        <f t="shared" si="146"/>
        <v>2019-11-28</v>
      </c>
    </row>
    <row r="1311" spans="1:15" x14ac:dyDescent="0.2">
      <c r="A1311" s="21" t="str">
        <f t="shared" si="140"/>
        <v>y</v>
      </c>
      <c r="B1311" s="24" t="s">
        <v>1791</v>
      </c>
      <c r="C1311" t="s">
        <v>489</v>
      </c>
      <c r="D1311" t="s">
        <v>19</v>
      </c>
      <c r="E1311" t="s">
        <v>8</v>
      </c>
      <c r="F1311" t="s">
        <v>29</v>
      </c>
      <c r="G1311" t="s">
        <v>739</v>
      </c>
      <c r="H1311" t="s">
        <v>2036</v>
      </c>
      <c r="I1311" s="22" t="str">
        <f t="shared" si="141"/>
        <v>2019-11-27</v>
      </c>
      <c r="J1311" s="23" t="str">
        <f t="shared" si="142"/>
        <v>27</v>
      </c>
      <c r="K1311" t="str">
        <f t="shared" si="143"/>
        <v>no</v>
      </c>
      <c r="L1311">
        <v>27</v>
      </c>
      <c r="M1311" t="str">
        <f t="shared" si="144"/>
        <v>2019-11-27</v>
      </c>
      <c r="N1311" s="20" t="str">
        <f t="shared" si="145"/>
        <v>2019-11-27</v>
      </c>
      <c r="O1311" t="str">
        <f t="shared" si="146"/>
        <v>2019-11-27</v>
      </c>
    </row>
    <row r="1312" spans="1:15" x14ac:dyDescent="0.2">
      <c r="A1312" s="21" t="str">
        <f t="shared" si="140"/>
        <v>y</v>
      </c>
      <c r="B1312" s="24" t="s">
        <v>1791</v>
      </c>
      <c r="C1312" t="s">
        <v>65</v>
      </c>
      <c r="D1312" t="s">
        <v>14</v>
      </c>
      <c r="E1312" t="s">
        <v>115</v>
      </c>
      <c r="F1312" t="s">
        <v>29</v>
      </c>
      <c r="G1312" t="s">
        <v>738</v>
      </c>
      <c r="H1312" t="s">
        <v>1960</v>
      </c>
      <c r="I1312" s="22" t="str">
        <f t="shared" si="141"/>
        <v>2019-11-27</v>
      </c>
      <c r="J1312" s="23" t="str">
        <f t="shared" si="142"/>
        <v>27</v>
      </c>
      <c r="K1312" t="str">
        <f t="shared" si="143"/>
        <v>no</v>
      </c>
      <c r="L1312">
        <v>27</v>
      </c>
      <c r="M1312" t="str">
        <f t="shared" si="144"/>
        <v>2019-11-27</v>
      </c>
      <c r="N1312" s="20" t="str">
        <f t="shared" si="145"/>
        <v>2019-11-27</v>
      </c>
      <c r="O1312" t="str">
        <f t="shared" si="146"/>
        <v>2019-11-27</v>
      </c>
    </row>
    <row r="1313" spans="1:15" x14ac:dyDescent="0.2">
      <c r="A1313" s="21" t="str">
        <f t="shared" si="140"/>
        <v>y</v>
      </c>
      <c r="B1313" s="24" t="s">
        <v>1792</v>
      </c>
      <c r="C1313" t="s">
        <v>262</v>
      </c>
      <c r="D1313" t="s">
        <v>18</v>
      </c>
      <c r="E1313" t="s">
        <v>43</v>
      </c>
      <c r="F1313" t="s">
        <v>2</v>
      </c>
      <c r="H1313" t="s">
        <v>2046</v>
      </c>
      <c r="I1313" s="22" t="str">
        <f t="shared" si="141"/>
        <v>2019-11-26</v>
      </c>
      <c r="J1313" s="23" t="str">
        <f t="shared" si="142"/>
        <v>26</v>
      </c>
      <c r="K1313" t="str">
        <f t="shared" si="143"/>
        <v>no</v>
      </c>
      <c r="L1313">
        <v>26</v>
      </c>
      <c r="M1313" t="str">
        <f t="shared" si="144"/>
        <v>2019-11-26</v>
      </c>
      <c r="N1313" s="20">
        <f t="shared" si="145"/>
        <v>43796</v>
      </c>
      <c r="O1313" t="str">
        <f t="shared" si="146"/>
        <v>2019-11-27</v>
      </c>
    </row>
    <row r="1314" spans="1:15" x14ac:dyDescent="0.2">
      <c r="A1314" s="21" t="str">
        <f t="shared" si="140"/>
        <v>y</v>
      </c>
      <c r="B1314" s="24" t="s">
        <v>1792</v>
      </c>
      <c r="C1314" t="s">
        <v>711</v>
      </c>
      <c r="D1314" t="s">
        <v>13</v>
      </c>
      <c r="E1314" t="s">
        <v>27</v>
      </c>
      <c r="F1314" t="s">
        <v>2</v>
      </c>
      <c r="H1314" t="s">
        <v>2045</v>
      </c>
      <c r="I1314" s="22" t="str">
        <f t="shared" si="141"/>
        <v>2019-11-26</v>
      </c>
      <c r="J1314" s="23" t="str">
        <f t="shared" si="142"/>
        <v>26</v>
      </c>
      <c r="K1314" t="str">
        <f t="shared" si="143"/>
        <v>no</v>
      </c>
      <c r="L1314">
        <v>26</v>
      </c>
      <c r="M1314" t="str">
        <f t="shared" si="144"/>
        <v>2019-11-26</v>
      </c>
      <c r="N1314" s="20">
        <f t="shared" si="145"/>
        <v>43796</v>
      </c>
      <c r="O1314" t="str">
        <f t="shared" si="146"/>
        <v>2019-11-27</v>
      </c>
    </row>
    <row r="1315" spans="1:15" x14ac:dyDescent="0.2">
      <c r="A1315" s="21" t="str">
        <f t="shared" si="140"/>
        <v>y</v>
      </c>
      <c r="B1315" s="24" t="s">
        <v>1792</v>
      </c>
      <c r="C1315" t="s">
        <v>345</v>
      </c>
      <c r="D1315" t="s">
        <v>13</v>
      </c>
      <c r="E1315" t="s">
        <v>34</v>
      </c>
      <c r="F1315" t="s">
        <v>29</v>
      </c>
      <c r="G1315" t="s">
        <v>730</v>
      </c>
      <c r="H1315" t="s">
        <v>2048</v>
      </c>
      <c r="I1315" s="22" t="str">
        <f t="shared" si="141"/>
        <v>2019-11-26</v>
      </c>
      <c r="J1315" s="23" t="str">
        <f t="shared" si="142"/>
        <v>26</v>
      </c>
      <c r="K1315" t="str">
        <f t="shared" si="143"/>
        <v>no</v>
      </c>
      <c r="L1315">
        <v>26</v>
      </c>
      <c r="M1315" t="str">
        <f t="shared" si="144"/>
        <v>2019-11-26</v>
      </c>
      <c r="N1315" s="20" t="str">
        <f t="shared" si="145"/>
        <v>2019-11-26</v>
      </c>
      <c r="O1315" t="str">
        <f t="shared" si="146"/>
        <v>2019-11-26</v>
      </c>
    </row>
    <row r="1316" spans="1:15" x14ac:dyDescent="0.2">
      <c r="A1316" s="21" t="str">
        <f t="shared" si="140"/>
        <v>y</v>
      </c>
      <c r="B1316" s="24" t="s">
        <v>1792</v>
      </c>
      <c r="C1316" t="s">
        <v>540</v>
      </c>
      <c r="D1316" t="s">
        <v>13</v>
      </c>
      <c r="E1316" t="s">
        <v>27</v>
      </c>
      <c r="F1316" t="s">
        <v>2</v>
      </c>
      <c r="H1316" t="s">
        <v>2047</v>
      </c>
      <c r="I1316" s="22" t="str">
        <f t="shared" si="141"/>
        <v>2019-11-26</v>
      </c>
      <c r="J1316" s="23" t="str">
        <f t="shared" si="142"/>
        <v>26</v>
      </c>
      <c r="K1316" t="str">
        <f t="shared" si="143"/>
        <v>no</v>
      </c>
      <c r="L1316">
        <v>26</v>
      </c>
      <c r="M1316" t="str">
        <f t="shared" si="144"/>
        <v>2019-11-26</v>
      </c>
      <c r="N1316" s="20">
        <f t="shared" si="145"/>
        <v>43796</v>
      </c>
      <c r="O1316" t="str">
        <f t="shared" si="146"/>
        <v>2019-11-27</v>
      </c>
    </row>
    <row r="1317" spans="1:15" x14ac:dyDescent="0.2">
      <c r="A1317" s="21" t="str">
        <f t="shared" si="140"/>
        <v>y</v>
      </c>
      <c r="B1317" s="24" t="s">
        <v>1792</v>
      </c>
      <c r="C1317" t="s">
        <v>145</v>
      </c>
      <c r="D1317" t="s">
        <v>13</v>
      </c>
      <c r="E1317" t="s">
        <v>27</v>
      </c>
      <c r="F1317" t="s">
        <v>2</v>
      </c>
      <c r="G1317" t="s">
        <v>736</v>
      </c>
      <c r="H1317" t="s">
        <v>2046</v>
      </c>
      <c r="I1317" s="22" t="str">
        <f t="shared" si="141"/>
        <v>2019-11-26</v>
      </c>
      <c r="J1317" s="23" t="str">
        <f t="shared" si="142"/>
        <v>26</v>
      </c>
      <c r="K1317" t="str">
        <f t="shared" si="143"/>
        <v>no</v>
      </c>
      <c r="L1317">
        <v>26</v>
      </c>
      <c r="M1317" t="str">
        <f t="shared" si="144"/>
        <v>2019-11-26</v>
      </c>
      <c r="N1317" s="20">
        <f t="shared" si="145"/>
        <v>43796</v>
      </c>
      <c r="O1317" t="str">
        <f t="shared" si="146"/>
        <v>2019-11-27</v>
      </c>
    </row>
    <row r="1318" spans="1:15" x14ac:dyDescent="0.2">
      <c r="A1318" s="21" t="str">
        <f t="shared" si="140"/>
        <v>y</v>
      </c>
      <c r="B1318" s="24" t="s">
        <v>1792</v>
      </c>
      <c r="C1318" t="s">
        <v>489</v>
      </c>
      <c r="D1318" t="s">
        <v>19</v>
      </c>
      <c r="E1318" t="s">
        <v>8</v>
      </c>
      <c r="F1318" t="s">
        <v>2</v>
      </c>
      <c r="G1318" t="s">
        <v>733</v>
      </c>
      <c r="H1318" t="s">
        <v>2045</v>
      </c>
      <c r="I1318" s="22" t="str">
        <f t="shared" si="141"/>
        <v>2019-11-26</v>
      </c>
      <c r="J1318" s="23" t="str">
        <f t="shared" si="142"/>
        <v>26</v>
      </c>
      <c r="K1318" t="str">
        <f t="shared" si="143"/>
        <v>no</v>
      </c>
      <c r="L1318">
        <v>26</v>
      </c>
      <c r="M1318" t="str">
        <f t="shared" si="144"/>
        <v>2019-11-26</v>
      </c>
      <c r="N1318" s="20">
        <f t="shared" si="145"/>
        <v>43796</v>
      </c>
      <c r="O1318" t="str">
        <f t="shared" si="146"/>
        <v>2019-11-27</v>
      </c>
    </row>
    <row r="1319" spans="1:15" x14ac:dyDescent="0.2">
      <c r="A1319" s="21" t="str">
        <f t="shared" si="140"/>
        <v>y</v>
      </c>
      <c r="B1319" s="24" t="s">
        <v>1793</v>
      </c>
      <c r="C1319" t="s">
        <v>345</v>
      </c>
      <c r="D1319" t="s">
        <v>13</v>
      </c>
      <c r="E1319" t="s">
        <v>34</v>
      </c>
      <c r="F1319" t="s">
        <v>29</v>
      </c>
      <c r="G1319" t="s">
        <v>730</v>
      </c>
      <c r="H1319" t="s">
        <v>2036</v>
      </c>
      <c r="I1319" s="22" t="str">
        <f t="shared" si="141"/>
        <v>2019-11-25</v>
      </c>
      <c r="J1319" s="23" t="str">
        <f t="shared" si="142"/>
        <v>25</v>
      </c>
      <c r="K1319" t="str">
        <f t="shared" si="143"/>
        <v>no</v>
      </c>
      <c r="L1319">
        <v>25</v>
      </c>
      <c r="M1319" t="str">
        <f t="shared" si="144"/>
        <v>2019-11-25</v>
      </c>
      <c r="N1319" s="20" t="str">
        <f t="shared" si="145"/>
        <v>2019-11-25</v>
      </c>
      <c r="O1319" t="str">
        <f t="shared" si="146"/>
        <v>2019-11-25</v>
      </c>
    </row>
    <row r="1320" spans="1:15" x14ac:dyDescent="0.2">
      <c r="A1320" s="21" t="str">
        <f t="shared" si="140"/>
        <v>y</v>
      </c>
      <c r="B1320" s="24" t="s">
        <v>1793</v>
      </c>
      <c r="C1320" t="s">
        <v>711</v>
      </c>
      <c r="D1320" t="s">
        <v>13</v>
      </c>
      <c r="E1320" t="s">
        <v>27</v>
      </c>
      <c r="F1320" t="s">
        <v>2</v>
      </c>
      <c r="H1320" t="s">
        <v>2018</v>
      </c>
      <c r="I1320" s="22" t="str">
        <f t="shared" si="141"/>
        <v>2019-11-25</v>
      </c>
      <c r="J1320" s="23" t="str">
        <f t="shared" si="142"/>
        <v>25</v>
      </c>
      <c r="K1320" t="str">
        <f t="shared" si="143"/>
        <v>no</v>
      </c>
      <c r="L1320">
        <v>25</v>
      </c>
      <c r="M1320" t="str">
        <f t="shared" si="144"/>
        <v>2019-11-25</v>
      </c>
      <c r="N1320" s="20">
        <f t="shared" si="145"/>
        <v>43795</v>
      </c>
      <c r="O1320" t="str">
        <f t="shared" si="146"/>
        <v>2019-11-26</v>
      </c>
    </row>
    <row r="1321" spans="1:15" x14ac:dyDescent="0.2">
      <c r="A1321" s="21" t="str">
        <f t="shared" si="140"/>
        <v>y</v>
      </c>
      <c r="B1321" s="24" t="s">
        <v>1793</v>
      </c>
      <c r="C1321" t="s">
        <v>262</v>
      </c>
      <c r="D1321" t="s">
        <v>18</v>
      </c>
      <c r="E1321" t="s">
        <v>43</v>
      </c>
      <c r="F1321" t="s">
        <v>2</v>
      </c>
      <c r="H1321" t="s">
        <v>1960</v>
      </c>
      <c r="I1321" s="22" t="str">
        <f t="shared" si="141"/>
        <v>2019-11-25</v>
      </c>
      <c r="J1321" s="23" t="str">
        <f t="shared" si="142"/>
        <v>25</v>
      </c>
      <c r="K1321" t="str">
        <f t="shared" si="143"/>
        <v>no</v>
      </c>
      <c r="L1321">
        <v>25</v>
      </c>
      <c r="M1321" t="str">
        <f t="shared" si="144"/>
        <v>2019-11-25</v>
      </c>
      <c r="N1321" s="20">
        <f t="shared" si="145"/>
        <v>43795</v>
      </c>
      <c r="O1321" t="str">
        <f t="shared" si="146"/>
        <v>2019-11-26</v>
      </c>
    </row>
    <row r="1322" spans="1:15" x14ac:dyDescent="0.2">
      <c r="A1322" s="21" t="str">
        <f t="shared" si="140"/>
        <v>y</v>
      </c>
      <c r="B1322" s="24" t="s">
        <v>1793</v>
      </c>
      <c r="C1322" t="s">
        <v>489</v>
      </c>
      <c r="D1322" t="s">
        <v>19</v>
      </c>
      <c r="E1322" t="s">
        <v>8</v>
      </c>
      <c r="F1322" t="s">
        <v>29</v>
      </c>
      <c r="G1322" t="s">
        <v>732</v>
      </c>
      <c r="H1322" t="s">
        <v>2048</v>
      </c>
      <c r="I1322" s="22" t="str">
        <f t="shared" si="141"/>
        <v>2019-11-25</v>
      </c>
      <c r="J1322" s="23" t="str">
        <f t="shared" si="142"/>
        <v>25</v>
      </c>
      <c r="K1322" t="str">
        <f t="shared" si="143"/>
        <v>no</v>
      </c>
      <c r="L1322">
        <v>25</v>
      </c>
      <c r="M1322" t="str">
        <f t="shared" si="144"/>
        <v>2019-11-25</v>
      </c>
      <c r="N1322" s="20" t="str">
        <f t="shared" si="145"/>
        <v>2019-11-25</v>
      </c>
      <c r="O1322" t="str">
        <f t="shared" si="146"/>
        <v>2019-11-25</v>
      </c>
    </row>
    <row r="1323" spans="1:15" x14ac:dyDescent="0.2">
      <c r="A1323" s="21" t="str">
        <f t="shared" si="140"/>
        <v>y</v>
      </c>
      <c r="B1323" s="24" t="s">
        <v>1793</v>
      </c>
      <c r="C1323" t="s">
        <v>540</v>
      </c>
      <c r="D1323" t="s">
        <v>13</v>
      </c>
      <c r="E1323" t="s">
        <v>27</v>
      </c>
      <c r="F1323" t="s">
        <v>2</v>
      </c>
      <c r="H1323" t="s">
        <v>2046</v>
      </c>
      <c r="I1323" s="22" t="str">
        <f t="shared" si="141"/>
        <v>2019-11-25</v>
      </c>
      <c r="J1323" s="23" t="str">
        <f t="shared" si="142"/>
        <v>25</v>
      </c>
      <c r="K1323" t="str">
        <f t="shared" si="143"/>
        <v>no</v>
      </c>
      <c r="L1323">
        <v>25</v>
      </c>
      <c r="M1323" t="str">
        <f t="shared" si="144"/>
        <v>2019-11-25</v>
      </c>
      <c r="N1323" s="20">
        <f t="shared" si="145"/>
        <v>43795</v>
      </c>
      <c r="O1323" t="str">
        <f t="shared" si="146"/>
        <v>2019-11-26</v>
      </c>
    </row>
    <row r="1324" spans="1:15" x14ac:dyDescent="0.2">
      <c r="A1324" s="21" t="str">
        <f t="shared" si="140"/>
        <v>y</v>
      </c>
      <c r="B1324" s="24" t="s">
        <v>1793</v>
      </c>
      <c r="C1324" t="s">
        <v>687</v>
      </c>
      <c r="D1324" t="s">
        <v>13</v>
      </c>
      <c r="E1324" t="s">
        <v>27</v>
      </c>
      <c r="F1324" t="s">
        <v>29</v>
      </c>
      <c r="G1324" t="s">
        <v>731</v>
      </c>
      <c r="H1324" t="s">
        <v>2049</v>
      </c>
      <c r="I1324" s="22" t="str">
        <f t="shared" si="141"/>
        <v>2019-11-25</v>
      </c>
      <c r="J1324" s="23" t="str">
        <f t="shared" si="142"/>
        <v>25</v>
      </c>
      <c r="K1324" t="str">
        <f t="shared" si="143"/>
        <v>no</v>
      </c>
      <c r="L1324">
        <v>25</v>
      </c>
      <c r="M1324" t="str">
        <f t="shared" si="144"/>
        <v>2019-11-25</v>
      </c>
      <c r="N1324" s="20" t="str">
        <f t="shared" si="145"/>
        <v>2019-11-25</v>
      </c>
      <c r="O1324" t="str">
        <f t="shared" si="146"/>
        <v>2019-11-25</v>
      </c>
    </row>
    <row r="1325" spans="1:15" x14ac:dyDescent="0.2">
      <c r="A1325" s="21" t="str">
        <f t="shared" si="140"/>
        <v>y</v>
      </c>
      <c r="B1325" s="24" t="s">
        <v>1793</v>
      </c>
      <c r="C1325" t="s">
        <v>145</v>
      </c>
      <c r="D1325" t="s">
        <v>13</v>
      </c>
      <c r="E1325" t="s">
        <v>43</v>
      </c>
      <c r="F1325" t="s">
        <v>2</v>
      </c>
      <c r="H1325" t="s">
        <v>2047</v>
      </c>
      <c r="I1325" s="22" t="str">
        <f t="shared" si="141"/>
        <v>2019-11-25</v>
      </c>
      <c r="J1325" s="23" t="str">
        <f t="shared" si="142"/>
        <v>25</v>
      </c>
      <c r="K1325" t="str">
        <f t="shared" si="143"/>
        <v>no</v>
      </c>
      <c r="L1325">
        <v>25</v>
      </c>
      <c r="M1325" t="str">
        <f t="shared" si="144"/>
        <v>2019-11-25</v>
      </c>
      <c r="N1325" s="20">
        <f t="shared" si="145"/>
        <v>43795</v>
      </c>
      <c r="O1325" t="str">
        <f t="shared" si="146"/>
        <v>2019-11-26</v>
      </c>
    </row>
    <row r="1326" spans="1:15" x14ac:dyDescent="0.2">
      <c r="A1326" s="21" t="str">
        <f t="shared" si="140"/>
        <v>y</v>
      </c>
      <c r="B1326" s="24" t="s">
        <v>1794</v>
      </c>
      <c r="C1326" t="s">
        <v>345</v>
      </c>
      <c r="D1326" t="s">
        <v>13</v>
      </c>
      <c r="E1326" t="s">
        <v>4</v>
      </c>
      <c r="F1326" t="s">
        <v>29</v>
      </c>
      <c r="G1326" t="s">
        <v>724</v>
      </c>
      <c r="H1326" t="s">
        <v>2050</v>
      </c>
      <c r="I1326" s="22" t="str">
        <f t="shared" si="141"/>
        <v>2019-11-24</v>
      </c>
      <c r="J1326" s="23" t="str">
        <f t="shared" si="142"/>
        <v>24</v>
      </c>
      <c r="K1326" t="str">
        <f t="shared" si="143"/>
        <v>no</v>
      </c>
      <c r="L1326">
        <v>24</v>
      </c>
      <c r="M1326" t="str">
        <f t="shared" si="144"/>
        <v>2019-11-24</v>
      </c>
      <c r="N1326" s="20" t="str">
        <f t="shared" si="145"/>
        <v>2019-11-24</v>
      </c>
      <c r="O1326" t="str">
        <f t="shared" si="146"/>
        <v>2019-11-24</v>
      </c>
    </row>
    <row r="1327" spans="1:15" x14ac:dyDescent="0.2">
      <c r="A1327" s="21" t="str">
        <f t="shared" si="140"/>
        <v>y</v>
      </c>
      <c r="B1327" s="24" t="s">
        <v>1794</v>
      </c>
      <c r="C1327" t="s">
        <v>345</v>
      </c>
      <c r="D1327" t="s">
        <v>13</v>
      </c>
      <c r="E1327" t="s">
        <v>34</v>
      </c>
      <c r="F1327" t="s">
        <v>2</v>
      </c>
      <c r="G1327" t="s">
        <v>726</v>
      </c>
      <c r="H1327" t="s">
        <v>2046</v>
      </c>
      <c r="I1327" s="22" t="str">
        <f t="shared" si="141"/>
        <v>2019-11-24</v>
      </c>
      <c r="J1327" s="23" t="str">
        <f t="shared" si="142"/>
        <v>24</v>
      </c>
      <c r="K1327" t="str">
        <f t="shared" si="143"/>
        <v>no</v>
      </c>
      <c r="L1327">
        <v>24</v>
      </c>
      <c r="M1327" t="str">
        <f t="shared" si="144"/>
        <v>2019-11-24</v>
      </c>
      <c r="N1327" s="20">
        <f t="shared" si="145"/>
        <v>43794</v>
      </c>
      <c r="O1327" t="str">
        <f t="shared" si="146"/>
        <v>2019-11-25</v>
      </c>
    </row>
    <row r="1328" spans="1:15" x14ac:dyDescent="0.2">
      <c r="A1328" s="21" t="str">
        <f t="shared" si="140"/>
        <v>y</v>
      </c>
      <c r="B1328" s="24" t="s">
        <v>1794</v>
      </c>
      <c r="C1328" t="s">
        <v>711</v>
      </c>
      <c r="D1328" t="s">
        <v>13</v>
      </c>
      <c r="E1328" t="s">
        <v>27</v>
      </c>
      <c r="F1328" t="s">
        <v>2</v>
      </c>
      <c r="H1328" t="s">
        <v>2045</v>
      </c>
      <c r="I1328" s="22" t="str">
        <f t="shared" si="141"/>
        <v>2019-11-24</v>
      </c>
      <c r="J1328" s="23" t="str">
        <f t="shared" si="142"/>
        <v>24</v>
      </c>
      <c r="K1328" t="str">
        <f t="shared" si="143"/>
        <v>no</v>
      </c>
      <c r="L1328">
        <v>24</v>
      </c>
      <c r="M1328" t="str">
        <f t="shared" si="144"/>
        <v>2019-11-24</v>
      </c>
      <c r="N1328" s="20">
        <f t="shared" si="145"/>
        <v>43794</v>
      </c>
      <c r="O1328" t="str">
        <f t="shared" si="146"/>
        <v>2019-11-25</v>
      </c>
    </row>
    <row r="1329" spans="1:15" x14ac:dyDescent="0.2">
      <c r="A1329" s="21" t="str">
        <f t="shared" si="140"/>
        <v>y</v>
      </c>
      <c r="B1329" s="24" t="s">
        <v>1794</v>
      </c>
      <c r="C1329" t="s">
        <v>717</v>
      </c>
      <c r="D1329" t="s">
        <v>15</v>
      </c>
      <c r="E1329" t="s">
        <v>27</v>
      </c>
      <c r="F1329" t="s">
        <v>29</v>
      </c>
      <c r="G1329" t="s">
        <v>729</v>
      </c>
      <c r="H1329" t="s">
        <v>2048</v>
      </c>
      <c r="I1329" s="22" t="str">
        <f t="shared" si="141"/>
        <v>2019-11-24</v>
      </c>
      <c r="J1329" s="23" t="str">
        <f t="shared" si="142"/>
        <v>24</v>
      </c>
      <c r="K1329" t="str">
        <f t="shared" si="143"/>
        <v>no</v>
      </c>
      <c r="L1329">
        <v>24</v>
      </c>
      <c r="M1329" t="str">
        <f t="shared" si="144"/>
        <v>2019-11-24</v>
      </c>
      <c r="N1329" s="20" t="str">
        <f t="shared" si="145"/>
        <v>2019-11-24</v>
      </c>
      <c r="O1329" t="str">
        <f t="shared" si="146"/>
        <v>2019-11-24</v>
      </c>
    </row>
    <row r="1330" spans="1:15" x14ac:dyDescent="0.2">
      <c r="A1330" s="21" t="str">
        <f t="shared" si="140"/>
        <v>y</v>
      </c>
      <c r="B1330" s="24" t="s">
        <v>1794</v>
      </c>
      <c r="C1330" t="s">
        <v>262</v>
      </c>
      <c r="D1330" t="s">
        <v>18</v>
      </c>
      <c r="E1330" t="s">
        <v>43</v>
      </c>
      <c r="F1330" t="s">
        <v>2</v>
      </c>
      <c r="G1330" t="s">
        <v>728</v>
      </c>
      <c r="H1330" t="s">
        <v>2019</v>
      </c>
      <c r="I1330" s="22" t="str">
        <f t="shared" si="141"/>
        <v>2019-11-24</v>
      </c>
      <c r="J1330" s="23" t="str">
        <f t="shared" si="142"/>
        <v>24</v>
      </c>
      <c r="K1330" t="str">
        <f t="shared" si="143"/>
        <v>no</v>
      </c>
      <c r="L1330">
        <v>24</v>
      </c>
      <c r="M1330" t="str">
        <f t="shared" si="144"/>
        <v>2019-11-24</v>
      </c>
      <c r="N1330" s="20">
        <f t="shared" si="145"/>
        <v>43794</v>
      </c>
      <c r="O1330" t="str">
        <f t="shared" si="146"/>
        <v>2019-11-25</v>
      </c>
    </row>
    <row r="1331" spans="1:15" x14ac:dyDescent="0.2">
      <c r="A1331" s="21" t="str">
        <f t="shared" si="140"/>
        <v>y</v>
      </c>
      <c r="B1331" s="24" t="s">
        <v>1794</v>
      </c>
      <c r="C1331" t="s">
        <v>702</v>
      </c>
      <c r="D1331" t="s">
        <v>13</v>
      </c>
      <c r="E1331" t="s">
        <v>64</v>
      </c>
      <c r="F1331" t="s">
        <v>29</v>
      </c>
      <c r="G1331" t="s">
        <v>727</v>
      </c>
      <c r="H1331" t="s">
        <v>2046</v>
      </c>
      <c r="I1331" s="22" t="str">
        <f t="shared" si="141"/>
        <v>2019-11-24</v>
      </c>
      <c r="J1331" s="23" t="str">
        <f t="shared" si="142"/>
        <v>24</v>
      </c>
      <c r="K1331" t="str">
        <f t="shared" si="143"/>
        <v>no</v>
      </c>
      <c r="L1331">
        <v>24</v>
      </c>
      <c r="M1331" t="str">
        <f t="shared" si="144"/>
        <v>2019-11-24</v>
      </c>
      <c r="N1331" s="20" t="str">
        <f t="shared" si="145"/>
        <v>2019-11-24</v>
      </c>
      <c r="O1331" t="str">
        <f t="shared" si="146"/>
        <v>2019-11-24</v>
      </c>
    </row>
    <row r="1332" spans="1:15" x14ac:dyDescent="0.2">
      <c r="A1332" s="21" t="str">
        <f t="shared" si="140"/>
        <v>y</v>
      </c>
      <c r="B1332" s="24" t="s">
        <v>1794</v>
      </c>
      <c r="C1332" t="s">
        <v>489</v>
      </c>
      <c r="D1332" t="s">
        <v>19</v>
      </c>
      <c r="E1332" t="s">
        <v>8</v>
      </c>
      <c r="F1332" t="s">
        <v>2</v>
      </c>
      <c r="H1332" t="s">
        <v>2049</v>
      </c>
      <c r="I1332" s="22" t="str">
        <f t="shared" si="141"/>
        <v>2019-11-24</v>
      </c>
      <c r="J1332" s="23" t="str">
        <f t="shared" si="142"/>
        <v>24</v>
      </c>
      <c r="K1332" t="str">
        <f t="shared" si="143"/>
        <v>no</v>
      </c>
      <c r="L1332">
        <v>24</v>
      </c>
      <c r="M1332" t="str">
        <f t="shared" si="144"/>
        <v>2019-11-24</v>
      </c>
      <c r="N1332" s="20">
        <f t="shared" si="145"/>
        <v>43794</v>
      </c>
      <c r="O1332" t="str">
        <f t="shared" si="146"/>
        <v>2019-11-25</v>
      </c>
    </row>
    <row r="1333" spans="1:15" x14ac:dyDescent="0.2">
      <c r="A1333" s="21" t="str">
        <f t="shared" si="140"/>
        <v>y</v>
      </c>
      <c r="B1333" s="24" t="s">
        <v>1795</v>
      </c>
      <c r="C1333" t="s">
        <v>345</v>
      </c>
      <c r="D1333" t="s">
        <v>13</v>
      </c>
      <c r="E1333" t="s">
        <v>34</v>
      </c>
      <c r="F1333" t="s">
        <v>29</v>
      </c>
      <c r="G1333" t="s">
        <v>722</v>
      </c>
      <c r="H1333" t="s">
        <v>2050</v>
      </c>
      <c r="I1333" s="22" t="str">
        <f t="shared" si="141"/>
        <v>2019-11-23</v>
      </c>
      <c r="J1333" s="23" t="str">
        <f t="shared" si="142"/>
        <v>23</v>
      </c>
      <c r="K1333" t="str">
        <f t="shared" si="143"/>
        <v>no</v>
      </c>
      <c r="L1333">
        <v>23</v>
      </c>
      <c r="M1333" t="str">
        <f t="shared" si="144"/>
        <v>2019-11-23</v>
      </c>
      <c r="N1333" s="20" t="str">
        <f t="shared" si="145"/>
        <v>2019-11-23</v>
      </c>
      <c r="O1333" t="str">
        <f t="shared" si="146"/>
        <v>2019-11-23</v>
      </c>
    </row>
    <row r="1334" spans="1:15" x14ac:dyDescent="0.2">
      <c r="A1334" s="21" t="str">
        <f t="shared" si="140"/>
        <v>y</v>
      </c>
      <c r="B1334" s="24" t="s">
        <v>1795</v>
      </c>
      <c r="C1334" t="s">
        <v>32</v>
      </c>
      <c r="D1334" t="s">
        <v>13</v>
      </c>
      <c r="E1334" t="s">
        <v>28</v>
      </c>
      <c r="F1334" t="s">
        <v>2</v>
      </c>
      <c r="H1334" t="s">
        <v>2047</v>
      </c>
      <c r="I1334" s="22" t="str">
        <f t="shared" si="141"/>
        <v>2019-11-23</v>
      </c>
      <c r="J1334" s="23" t="str">
        <f t="shared" si="142"/>
        <v>23</v>
      </c>
      <c r="K1334" t="str">
        <f t="shared" si="143"/>
        <v>no</v>
      </c>
      <c r="L1334">
        <v>23</v>
      </c>
      <c r="M1334" t="str">
        <f t="shared" si="144"/>
        <v>2019-11-23</v>
      </c>
      <c r="N1334" s="20">
        <f t="shared" si="145"/>
        <v>43793</v>
      </c>
      <c r="O1334" t="str">
        <f t="shared" si="146"/>
        <v>2019-11-24</v>
      </c>
    </row>
    <row r="1335" spans="1:15" x14ac:dyDescent="0.2">
      <c r="A1335" s="21" t="str">
        <f t="shared" si="140"/>
        <v>y</v>
      </c>
      <c r="B1335" s="24" t="s">
        <v>1795</v>
      </c>
      <c r="C1335" t="s">
        <v>711</v>
      </c>
      <c r="D1335" t="s">
        <v>13</v>
      </c>
      <c r="E1335" t="s">
        <v>27</v>
      </c>
      <c r="F1335" t="s">
        <v>2</v>
      </c>
      <c r="H1335" t="s">
        <v>2048</v>
      </c>
      <c r="I1335" s="22" t="str">
        <f t="shared" si="141"/>
        <v>2019-11-23</v>
      </c>
      <c r="J1335" s="23" t="str">
        <f t="shared" si="142"/>
        <v>23</v>
      </c>
      <c r="K1335" t="str">
        <f t="shared" si="143"/>
        <v>no</v>
      </c>
      <c r="L1335">
        <v>23</v>
      </c>
      <c r="M1335" t="str">
        <f t="shared" si="144"/>
        <v>2019-11-23</v>
      </c>
      <c r="N1335" s="20">
        <f t="shared" si="145"/>
        <v>43793</v>
      </c>
      <c r="O1335" t="str">
        <f t="shared" si="146"/>
        <v>2019-11-24</v>
      </c>
    </row>
    <row r="1336" spans="1:15" x14ac:dyDescent="0.2">
      <c r="A1336" s="21" t="str">
        <f t="shared" si="140"/>
        <v>y</v>
      </c>
      <c r="B1336" s="24" t="s">
        <v>1795</v>
      </c>
      <c r="C1336" t="s">
        <v>717</v>
      </c>
      <c r="D1336" t="s">
        <v>15</v>
      </c>
      <c r="E1336" t="s">
        <v>27</v>
      </c>
      <c r="F1336" t="s">
        <v>2</v>
      </c>
      <c r="G1336" t="s">
        <v>721</v>
      </c>
      <c r="H1336" t="s">
        <v>2019</v>
      </c>
      <c r="I1336" s="22" t="str">
        <f t="shared" si="141"/>
        <v>2019-11-23</v>
      </c>
      <c r="J1336" s="23" t="str">
        <f t="shared" si="142"/>
        <v>23</v>
      </c>
      <c r="K1336" t="str">
        <f t="shared" si="143"/>
        <v>no</v>
      </c>
      <c r="L1336">
        <v>23</v>
      </c>
      <c r="M1336" t="str">
        <f t="shared" si="144"/>
        <v>2019-11-23</v>
      </c>
      <c r="N1336" s="20">
        <f t="shared" si="145"/>
        <v>43793</v>
      </c>
      <c r="O1336" t="str">
        <f t="shared" si="146"/>
        <v>2019-11-24</v>
      </c>
    </row>
    <row r="1337" spans="1:15" x14ac:dyDescent="0.2">
      <c r="A1337" s="21" t="str">
        <f t="shared" si="140"/>
        <v>y</v>
      </c>
      <c r="B1337" s="24" t="s">
        <v>1795</v>
      </c>
      <c r="C1337" t="s">
        <v>702</v>
      </c>
      <c r="D1337" t="s">
        <v>13</v>
      </c>
      <c r="E1337" t="s">
        <v>64</v>
      </c>
      <c r="F1337" t="s">
        <v>29</v>
      </c>
      <c r="G1337" t="s">
        <v>725</v>
      </c>
      <c r="H1337" t="s">
        <v>2046</v>
      </c>
      <c r="I1337" s="22" t="str">
        <f t="shared" si="141"/>
        <v>2019-11-23</v>
      </c>
      <c r="J1337" s="23" t="str">
        <f t="shared" si="142"/>
        <v>23</v>
      </c>
      <c r="K1337" t="str">
        <f t="shared" si="143"/>
        <v>no</v>
      </c>
      <c r="L1337">
        <v>23</v>
      </c>
      <c r="M1337" t="str">
        <f t="shared" si="144"/>
        <v>2019-11-23</v>
      </c>
      <c r="N1337" s="20" t="str">
        <f t="shared" si="145"/>
        <v>2019-11-23</v>
      </c>
      <c r="O1337" t="str">
        <f t="shared" si="146"/>
        <v>2019-11-23</v>
      </c>
    </row>
    <row r="1338" spans="1:15" x14ac:dyDescent="0.2">
      <c r="A1338" s="21" t="str">
        <f t="shared" si="140"/>
        <v>y</v>
      </c>
      <c r="B1338" s="24" t="s">
        <v>1795</v>
      </c>
      <c r="C1338" t="s">
        <v>262</v>
      </c>
      <c r="D1338" t="s">
        <v>18</v>
      </c>
      <c r="E1338" t="s">
        <v>43</v>
      </c>
      <c r="F1338" t="s">
        <v>2</v>
      </c>
      <c r="G1338" t="s">
        <v>720</v>
      </c>
      <c r="H1338" t="s">
        <v>2049</v>
      </c>
      <c r="I1338" s="22" t="str">
        <f t="shared" si="141"/>
        <v>2019-11-23</v>
      </c>
      <c r="J1338" s="23" t="str">
        <f t="shared" si="142"/>
        <v>23</v>
      </c>
      <c r="K1338" t="str">
        <f t="shared" si="143"/>
        <v>no</v>
      </c>
      <c r="L1338">
        <v>23</v>
      </c>
      <c r="M1338" t="str">
        <f t="shared" si="144"/>
        <v>2019-11-23</v>
      </c>
      <c r="N1338" s="20">
        <f t="shared" si="145"/>
        <v>43793</v>
      </c>
      <c r="O1338" t="str">
        <f t="shared" si="146"/>
        <v>2019-11-24</v>
      </c>
    </row>
    <row r="1339" spans="1:15" x14ac:dyDescent="0.2">
      <c r="A1339" s="21" t="str">
        <f t="shared" si="140"/>
        <v>y</v>
      </c>
      <c r="B1339" s="24" t="s">
        <v>1796</v>
      </c>
      <c r="C1339" t="s">
        <v>345</v>
      </c>
      <c r="D1339" t="s">
        <v>13</v>
      </c>
      <c r="E1339" t="s">
        <v>34</v>
      </c>
      <c r="F1339" t="s">
        <v>2</v>
      </c>
      <c r="H1339" t="s">
        <v>2050</v>
      </c>
      <c r="I1339" s="22" t="str">
        <f t="shared" si="141"/>
        <v>2019-11-21</v>
      </c>
      <c r="J1339" s="23" t="str">
        <f t="shared" si="142"/>
        <v>21</v>
      </c>
      <c r="K1339" t="str">
        <f t="shared" si="143"/>
        <v>no</v>
      </c>
      <c r="L1339">
        <v>21</v>
      </c>
      <c r="M1339" t="str">
        <f t="shared" si="144"/>
        <v>2019-11-21</v>
      </c>
      <c r="N1339" s="20">
        <f t="shared" si="145"/>
        <v>43791</v>
      </c>
      <c r="O1339" t="str">
        <f t="shared" si="146"/>
        <v>2019-11-22</v>
      </c>
    </row>
    <row r="1340" spans="1:15" x14ac:dyDescent="0.2">
      <c r="A1340" s="21" t="str">
        <f t="shared" si="140"/>
        <v>y</v>
      </c>
      <c r="B1340" s="24" t="s">
        <v>1796</v>
      </c>
      <c r="C1340" t="s">
        <v>32</v>
      </c>
      <c r="D1340" t="s">
        <v>13</v>
      </c>
      <c r="E1340" t="s">
        <v>28</v>
      </c>
      <c r="F1340" t="s">
        <v>2</v>
      </c>
      <c r="H1340" t="s">
        <v>2048</v>
      </c>
      <c r="I1340" s="22" t="str">
        <f t="shared" si="141"/>
        <v>2019-11-21</v>
      </c>
      <c r="J1340" s="23" t="str">
        <f t="shared" si="142"/>
        <v>21</v>
      </c>
      <c r="K1340" t="str">
        <f t="shared" si="143"/>
        <v>no</v>
      </c>
      <c r="L1340">
        <v>21</v>
      </c>
      <c r="M1340" t="str">
        <f t="shared" si="144"/>
        <v>2019-11-21</v>
      </c>
      <c r="N1340" s="20">
        <f t="shared" si="145"/>
        <v>43791</v>
      </c>
      <c r="O1340" t="str">
        <f t="shared" si="146"/>
        <v>2019-11-22</v>
      </c>
    </row>
    <row r="1341" spans="1:15" x14ac:dyDescent="0.2">
      <c r="A1341" s="21" t="str">
        <f t="shared" si="140"/>
        <v>y</v>
      </c>
      <c r="B1341" s="24" t="s">
        <v>1796</v>
      </c>
      <c r="C1341" t="s">
        <v>711</v>
      </c>
      <c r="D1341" t="s">
        <v>13</v>
      </c>
      <c r="E1341" t="s">
        <v>4</v>
      </c>
      <c r="F1341" t="s">
        <v>29</v>
      </c>
      <c r="G1341" t="s">
        <v>723</v>
      </c>
      <c r="H1341" t="s">
        <v>2019</v>
      </c>
      <c r="I1341" s="22" t="str">
        <f t="shared" si="141"/>
        <v>2019-11-21</v>
      </c>
      <c r="J1341" s="23" t="str">
        <f t="shared" si="142"/>
        <v>21</v>
      </c>
      <c r="K1341" t="str">
        <f t="shared" si="143"/>
        <v>no</v>
      </c>
      <c r="L1341">
        <v>21</v>
      </c>
      <c r="M1341" t="str">
        <f t="shared" si="144"/>
        <v>2019-11-21</v>
      </c>
      <c r="N1341" s="20" t="str">
        <f t="shared" si="145"/>
        <v>2019-11-21</v>
      </c>
      <c r="O1341" t="str">
        <f t="shared" si="146"/>
        <v>2019-11-21</v>
      </c>
    </row>
    <row r="1342" spans="1:15" x14ac:dyDescent="0.2">
      <c r="A1342" s="21" t="str">
        <f t="shared" si="140"/>
        <v>y</v>
      </c>
      <c r="B1342" s="24" t="s">
        <v>1796</v>
      </c>
      <c r="C1342" t="s">
        <v>711</v>
      </c>
      <c r="D1342" t="s">
        <v>13</v>
      </c>
      <c r="E1342" t="s">
        <v>27</v>
      </c>
      <c r="F1342" t="s">
        <v>2</v>
      </c>
      <c r="H1342" t="s">
        <v>2046</v>
      </c>
      <c r="I1342" s="22" t="str">
        <f t="shared" si="141"/>
        <v>2019-11-21</v>
      </c>
      <c r="J1342" s="23" t="str">
        <f t="shared" si="142"/>
        <v>21</v>
      </c>
      <c r="K1342" t="str">
        <f t="shared" si="143"/>
        <v>no</v>
      </c>
      <c r="L1342">
        <v>21</v>
      </c>
      <c r="M1342" t="str">
        <f t="shared" si="144"/>
        <v>2019-11-21</v>
      </c>
      <c r="N1342" s="20">
        <f t="shared" si="145"/>
        <v>43791</v>
      </c>
      <c r="O1342" t="str">
        <f t="shared" si="146"/>
        <v>2019-11-22</v>
      </c>
    </row>
    <row r="1343" spans="1:15" x14ac:dyDescent="0.2">
      <c r="A1343" s="21" t="str">
        <f t="shared" si="140"/>
        <v>y</v>
      </c>
      <c r="B1343" s="24" t="s">
        <v>1796</v>
      </c>
      <c r="C1343" t="s">
        <v>717</v>
      </c>
      <c r="D1343" t="s">
        <v>15</v>
      </c>
      <c r="E1343" t="s">
        <v>27</v>
      </c>
      <c r="F1343" t="s">
        <v>2</v>
      </c>
      <c r="H1343" t="s">
        <v>2049</v>
      </c>
      <c r="I1343" s="22" t="str">
        <f t="shared" si="141"/>
        <v>2019-11-21</v>
      </c>
      <c r="J1343" s="23" t="str">
        <f t="shared" si="142"/>
        <v>21</v>
      </c>
      <c r="K1343" t="str">
        <f t="shared" si="143"/>
        <v>no</v>
      </c>
      <c r="L1343">
        <v>21</v>
      </c>
      <c r="M1343" t="str">
        <f t="shared" si="144"/>
        <v>2019-11-21</v>
      </c>
      <c r="N1343" s="20">
        <f t="shared" si="145"/>
        <v>43791</v>
      </c>
      <c r="O1343" t="str">
        <f t="shared" si="146"/>
        <v>2019-11-22</v>
      </c>
    </row>
    <row r="1344" spans="1:15" x14ac:dyDescent="0.2">
      <c r="A1344" s="21" t="str">
        <f t="shared" si="140"/>
        <v>y</v>
      </c>
      <c r="B1344" s="24" t="s">
        <v>1796</v>
      </c>
      <c r="C1344" t="s">
        <v>702</v>
      </c>
      <c r="D1344" t="s">
        <v>13</v>
      </c>
      <c r="E1344" t="s">
        <v>64</v>
      </c>
      <c r="F1344" t="s">
        <v>2</v>
      </c>
      <c r="H1344" t="s">
        <v>2050</v>
      </c>
      <c r="I1344" s="22" t="str">
        <f t="shared" si="141"/>
        <v>2019-11-21</v>
      </c>
      <c r="J1344" s="23" t="str">
        <f t="shared" si="142"/>
        <v>21</v>
      </c>
      <c r="K1344" t="str">
        <f t="shared" si="143"/>
        <v>no</v>
      </c>
      <c r="L1344">
        <v>21</v>
      </c>
      <c r="M1344" t="str">
        <f t="shared" si="144"/>
        <v>2019-11-21</v>
      </c>
      <c r="N1344" s="20">
        <f t="shared" si="145"/>
        <v>43791</v>
      </c>
      <c r="O1344" t="str">
        <f t="shared" si="146"/>
        <v>2019-11-22</v>
      </c>
    </row>
    <row r="1345" spans="1:15" x14ac:dyDescent="0.2">
      <c r="A1345" s="21" t="str">
        <f t="shared" si="140"/>
        <v>y</v>
      </c>
      <c r="B1345" s="24" t="s">
        <v>1797</v>
      </c>
      <c r="C1345" t="s">
        <v>345</v>
      </c>
      <c r="D1345" t="s">
        <v>13</v>
      </c>
      <c r="E1345" t="s">
        <v>34</v>
      </c>
      <c r="F1345" t="s">
        <v>2</v>
      </c>
      <c r="G1345" t="s">
        <v>708</v>
      </c>
      <c r="H1345" t="s">
        <v>2048</v>
      </c>
      <c r="I1345" s="22" t="str">
        <f t="shared" si="141"/>
        <v>2019-11-20</v>
      </c>
      <c r="J1345" s="23" t="str">
        <f t="shared" si="142"/>
        <v>20</v>
      </c>
      <c r="K1345" t="str">
        <f t="shared" si="143"/>
        <v>no</v>
      </c>
      <c r="L1345">
        <v>20</v>
      </c>
      <c r="M1345" t="str">
        <f t="shared" si="144"/>
        <v>2019-11-20</v>
      </c>
      <c r="N1345" s="20">
        <f t="shared" si="145"/>
        <v>43790</v>
      </c>
      <c r="O1345" t="str">
        <f t="shared" si="146"/>
        <v>2019-11-21</v>
      </c>
    </row>
    <row r="1346" spans="1:15" x14ac:dyDescent="0.2">
      <c r="A1346" s="21" t="str">
        <f t="shared" si="140"/>
        <v>y</v>
      </c>
      <c r="B1346" s="24" t="s">
        <v>1797</v>
      </c>
      <c r="C1346" t="s">
        <v>32</v>
      </c>
      <c r="D1346" t="s">
        <v>13</v>
      </c>
      <c r="E1346" t="s">
        <v>28</v>
      </c>
      <c r="F1346" t="s">
        <v>2</v>
      </c>
      <c r="H1346" t="s">
        <v>2019</v>
      </c>
      <c r="I1346" s="22" t="str">
        <f t="shared" si="141"/>
        <v>2019-11-20</v>
      </c>
      <c r="J1346" s="23" t="str">
        <f t="shared" si="142"/>
        <v>20</v>
      </c>
      <c r="K1346" t="str">
        <f t="shared" si="143"/>
        <v>no</v>
      </c>
      <c r="L1346">
        <v>20</v>
      </c>
      <c r="M1346" t="str">
        <f t="shared" si="144"/>
        <v>2019-11-20</v>
      </c>
      <c r="N1346" s="20">
        <f t="shared" si="145"/>
        <v>43790</v>
      </c>
      <c r="O1346" t="str">
        <f t="shared" si="146"/>
        <v>2019-11-21</v>
      </c>
    </row>
    <row r="1347" spans="1:15" x14ac:dyDescent="0.2">
      <c r="A1347" s="21" t="str">
        <f t="shared" si="140"/>
        <v>y</v>
      </c>
      <c r="B1347" s="24" t="s">
        <v>1797</v>
      </c>
      <c r="C1347" t="s">
        <v>711</v>
      </c>
      <c r="D1347" t="s">
        <v>13</v>
      </c>
      <c r="E1347" t="s">
        <v>8</v>
      </c>
      <c r="F1347" t="s">
        <v>2</v>
      </c>
      <c r="G1347" t="s">
        <v>715</v>
      </c>
      <c r="H1347" t="s">
        <v>2046</v>
      </c>
      <c r="I1347" s="22" t="str">
        <f t="shared" si="141"/>
        <v>2019-11-20</v>
      </c>
      <c r="J1347" s="23" t="str">
        <f t="shared" si="142"/>
        <v>20</v>
      </c>
      <c r="K1347" t="str">
        <f t="shared" si="143"/>
        <v>no</v>
      </c>
      <c r="L1347">
        <v>20</v>
      </c>
      <c r="M1347" t="str">
        <f t="shared" si="144"/>
        <v>2019-11-20</v>
      </c>
      <c r="N1347" s="20">
        <f t="shared" si="145"/>
        <v>43790</v>
      </c>
      <c r="O1347" t="str">
        <f t="shared" si="146"/>
        <v>2019-11-21</v>
      </c>
    </row>
    <row r="1348" spans="1:15" x14ac:dyDescent="0.2">
      <c r="A1348" s="21" t="str">
        <f t="shared" ref="A1348:A1411" si="147">IF(LEFT(B1348,2)&gt;12,"y","-")</f>
        <v>y</v>
      </c>
      <c r="B1348" s="24" t="s">
        <v>1797</v>
      </c>
      <c r="C1348" t="s">
        <v>717</v>
      </c>
      <c r="D1348" t="s">
        <v>15</v>
      </c>
      <c r="E1348" t="s">
        <v>27</v>
      </c>
      <c r="F1348" t="s">
        <v>2</v>
      </c>
      <c r="G1348" t="s">
        <v>718</v>
      </c>
      <c r="H1348" t="s">
        <v>2050</v>
      </c>
      <c r="I1348" s="22" t="str">
        <f t="shared" ref="I1348:I1411" si="148">IF(K1348="yes",TEXT(B1348,"YYYY-DD-MM"),TEXT(B1348,"YYYY-MM-DD"))</f>
        <v>2019-11-20</v>
      </c>
      <c r="J1348" s="23" t="str">
        <f t="shared" ref="J1348:J1411" si="149">LEFT(B1348,2)</f>
        <v>20</v>
      </c>
      <c r="K1348" t="str">
        <f t="shared" ref="K1348:K1411" si="150">IF(L1348&gt;31,"yes","no")</f>
        <v>no</v>
      </c>
      <c r="L1348">
        <v>20</v>
      </c>
      <c r="M1348" t="str">
        <f t="shared" ref="M1348:M1411" si="151">I1348</f>
        <v>2019-11-20</v>
      </c>
      <c r="N1348" s="20">
        <f t="shared" ref="N1348:N1411" si="152">IF(F1348="DONE",M1348,M1348+1)</f>
        <v>43790</v>
      </c>
      <c r="O1348" t="str">
        <f t="shared" ref="O1348:O1411" si="153">TEXT(N1348,"YYYY-MM-DD")</f>
        <v>2019-11-21</v>
      </c>
    </row>
    <row r="1349" spans="1:15" x14ac:dyDescent="0.2">
      <c r="A1349" s="21" t="str">
        <f t="shared" si="147"/>
        <v>y</v>
      </c>
      <c r="B1349" s="24" t="s">
        <v>1797</v>
      </c>
      <c r="C1349" t="s">
        <v>702</v>
      </c>
      <c r="D1349" t="s">
        <v>13</v>
      </c>
      <c r="E1349" t="s">
        <v>64</v>
      </c>
      <c r="F1349" t="s">
        <v>2</v>
      </c>
      <c r="G1349" t="s">
        <v>719</v>
      </c>
      <c r="H1349" t="s">
        <v>2048</v>
      </c>
      <c r="I1349" s="22" t="str">
        <f t="shared" si="148"/>
        <v>2019-11-20</v>
      </c>
      <c r="J1349" s="23" t="str">
        <f t="shared" si="149"/>
        <v>20</v>
      </c>
      <c r="K1349" t="str">
        <f t="shared" si="150"/>
        <v>no</v>
      </c>
      <c r="L1349">
        <v>20</v>
      </c>
      <c r="M1349" t="str">
        <f t="shared" si="151"/>
        <v>2019-11-20</v>
      </c>
      <c r="N1349" s="20">
        <f t="shared" si="152"/>
        <v>43790</v>
      </c>
      <c r="O1349" t="str">
        <f t="shared" si="153"/>
        <v>2019-11-21</v>
      </c>
    </row>
    <row r="1350" spans="1:15" x14ac:dyDescent="0.2">
      <c r="A1350" s="21" t="str">
        <f t="shared" si="147"/>
        <v>y</v>
      </c>
      <c r="B1350" s="24" t="s">
        <v>1798</v>
      </c>
      <c r="C1350" t="s">
        <v>345</v>
      </c>
      <c r="D1350" t="s">
        <v>13</v>
      </c>
      <c r="E1350" t="s">
        <v>34</v>
      </c>
      <c r="F1350" t="s">
        <v>2</v>
      </c>
      <c r="G1350" t="s">
        <v>708</v>
      </c>
      <c r="H1350" t="s">
        <v>2019</v>
      </c>
      <c r="I1350" s="22" t="str">
        <f t="shared" si="148"/>
        <v>2019-11-19</v>
      </c>
      <c r="J1350" s="23" t="str">
        <f t="shared" si="149"/>
        <v>19</v>
      </c>
      <c r="K1350" t="str">
        <f t="shared" si="150"/>
        <v>no</v>
      </c>
      <c r="L1350">
        <v>19</v>
      </c>
      <c r="M1350" t="str">
        <f t="shared" si="151"/>
        <v>2019-11-19</v>
      </c>
      <c r="N1350" s="20">
        <f t="shared" si="152"/>
        <v>43789</v>
      </c>
      <c r="O1350" t="str">
        <f t="shared" si="153"/>
        <v>2019-11-20</v>
      </c>
    </row>
    <row r="1351" spans="1:15" x14ac:dyDescent="0.2">
      <c r="A1351" s="21" t="str">
        <f t="shared" si="147"/>
        <v>y</v>
      </c>
      <c r="B1351" s="24" t="s">
        <v>1798</v>
      </c>
      <c r="C1351" t="s">
        <v>32</v>
      </c>
      <c r="D1351" t="s">
        <v>13</v>
      </c>
      <c r="E1351" t="s">
        <v>28</v>
      </c>
      <c r="F1351" t="s">
        <v>2</v>
      </c>
      <c r="H1351" t="s">
        <v>2046</v>
      </c>
      <c r="I1351" s="22" t="str">
        <f t="shared" si="148"/>
        <v>2019-11-19</v>
      </c>
      <c r="J1351" s="23" t="str">
        <f t="shared" si="149"/>
        <v>19</v>
      </c>
      <c r="K1351" t="str">
        <f t="shared" si="150"/>
        <v>no</v>
      </c>
      <c r="L1351">
        <v>19</v>
      </c>
      <c r="M1351" t="str">
        <f t="shared" si="151"/>
        <v>2019-11-19</v>
      </c>
      <c r="N1351" s="20">
        <f t="shared" si="152"/>
        <v>43789</v>
      </c>
      <c r="O1351" t="str">
        <f t="shared" si="153"/>
        <v>2019-11-20</v>
      </c>
    </row>
    <row r="1352" spans="1:15" x14ac:dyDescent="0.2">
      <c r="A1352" s="21" t="str">
        <f t="shared" si="147"/>
        <v>y</v>
      </c>
      <c r="B1352" s="24" t="s">
        <v>1798</v>
      </c>
      <c r="C1352" t="s">
        <v>711</v>
      </c>
      <c r="D1352" t="s">
        <v>13</v>
      </c>
      <c r="E1352" t="s">
        <v>8</v>
      </c>
      <c r="F1352" t="s">
        <v>2</v>
      </c>
      <c r="G1352" t="s">
        <v>714</v>
      </c>
      <c r="H1352" t="s">
        <v>2018</v>
      </c>
      <c r="I1352" s="22" t="str">
        <f t="shared" si="148"/>
        <v>2019-11-19</v>
      </c>
      <c r="J1352" s="23" t="str">
        <f t="shared" si="149"/>
        <v>19</v>
      </c>
      <c r="K1352" t="str">
        <f t="shared" si="150"/>
        <v>no</v>
      </c>
      <c r="L1352">
        <v>19</v>
      </c>
      <c r="M1352" t="str">
        <f t="shared" si="151"/>
        <v>2019-11-19</v>
      </c>
      <c r="N1352" s="20">
        <f t="shared" si="152"/>
        <v>43789</v>
      </c>
      <c r="O1352" t="str">
        <f t="shared" si="153"/>
        <v>2019-11-20</v>
      </c>
    </row>
    <row r="1353" spans="1:15" x14ac:dyDescent="0.2">
      <c r="A1353" s="21" t="str">
        <f t="shared" si="147"/>
        <v>y</v>
      </c>
      <c r="B1353" s="24" t="s">
        <v>1798</v>
      </c>
      <c r="C1353" t="s">
        <v>702</v>
      </c>
      <c r="D1353" t="s">
        <v>13</v>
      </c>
      <c r="E1353" t="s">
        <v>4</v>
      </c>
      <c r="F1353" t="s">
        <v>29</v>
      </c>
      <c r="G1353" t="s">
        <v>716</v>
      </c>
      <c r="H1353" t="s">
        <v>2050</v>
      </c>
      <c r="I1353" s="22" t="str">
        <f t="shared" si="148"/>
        <v>2019-11-19</v>
      </c>
      <c r="J1353" s="23" t="str">
        <f t="shared" si="149"/>
        <v>19</v>
      </c>
      <c r="K1353" t="str">
        <f t="shared" si="150"/>
        <v>no</v>
      </c>
      <c r="L1353">
        <v>19</v>
      </c>
      <c r="M1353" t="str">
        <f t="shared" si="151"/>
        <v>2019-11-19</v>
      </c>
      <c r="N1353" s="20" t="str">
        <f t="shared" si="152"/>
        <v>2019-11-19</v>
      </c>
      <c r="O1353" t="str">
        <f t="shared" si="153"/>
        <v>2019-11-19</v>
      </c>
    </row>
    <row r="1354" spans="1:15" x14ac:dyDescent="0.2">
      <c r="A1354" s="21" t="str">
        <f t="shared" si="147"/>
        <v>y</v>
      </c>
      <c r="B1354" s="24" t="s">
        <v>1799</v>
      </c>
      <c r="C1354" t="s">
        <v>345</v>
      </c>
      <c r="D1354" t="s">
        <v>13</v>
      </c>
      <c r="E1354" t="s">
        <v>34</v>
      </c>
      <c r="F1354" t="s">
        <v>2</v>
      </c>
      <c r="G1354" t="s">
        <v>708</v>
      </c>
      <c r="H1354" t="s">
        <v>2048</v>
      </c>
      <c r="I1354" s="22" t="str">
        <f t="shared" si="148"/>
        <v>2019-11-18</v>
      </c>
      <c r="J1354" s="23" t="str">
        <f t="shared" si="149"/>
        <v>18</v>
      </c>
      <c r="K1354" t="str">
        <f t="shared" si="150"/>
        <v>no</v>
      </c>
      <c r="L1354">
        <v>18</v>
      </c>
      <c r="M1354" t="str">
        <f t="shared" si="151"/>
        <v>2019-11-18</v>
      </c>
      <c r="N1354" s="20">
        <f t="shared" si="152"/>
        <v>43788</v>
      </c>
      <c r="O1354" t="str">
        <f t="shared" si="153"/>
        <v>2019-11-19</v>
      </c>
    </row>
    <row r="1355" spans="1:15" x14ac:dyDescent="0.2">
      <c r="A1355" s="21" t="str">
        <f t="shared" si="147"/>
        <v>y</v>
      </c>
      <c r="B1355" s="24" t="s">
        <v>1799</v>
      </c>
      <c r="C1355" t="s">
        <v>32</v>
      </c>
      <c r="D1355" t="s">
        <v>13</v>
      </c>
      <c r="E1355" t="s">
        <v>28</v>
      </c>
      <c r="F1355" t="s">
        <v>2</v>
      </c>
      <c r="H1355" t="s">
        <v>2019</v>
      </c>
      <c r="I1355" s="22" t="str">
        <f t="shared" si="148"/>
        <v>2019-11-18</v>
      </c>
      <c r="J1355" s="23" t="str">
        <f t="shared" si="149"/>
        <v>18</v>
      </c>
      <c r="K1355" t="str">
        <f t="shared" si="150"/>
        <v>no</v>
      </c>
      <c r="L1355">
        <v>18</v>
      </c>
      <c r="M1355" t="str">
        <f t="shared" si="151"/>
        <v>2019-11-18</v>
      </c>
      <c r="N1355" s="20">
        <f t="shared" si="152"/>
        <v>43788</v>
      </c>
      <c r="O1355" t="str">
        <f t="shared" si="153"/>
        <v>2019-11-19</v>
      </c>
    </row>
    <row r="1356" spans="1:15" x14ac:dyDescent="0.2">
      <c r="A1356" s="21" t="str">
        <f t="shared" si="147"/>
        <v>y</v>
      </c>
      <c r="B1356" s="24" t="s">
        <v>1799</v>
      </c>
      <c r="C1356" t="s">
        <v>702</v>
      </c>
      <c r="D1356" t="s">
        <v>13</v>
      </c>
      <c r="E1356" t="s">
        <v>64</v>
      </c>
      <c r="F1356" t="s">
        <v>29</v>
      </c>
      <c r="H1356" t="s">
        <v>1993</v>
      </c>
      <c r="I1356" s="22" t="str">
        <f t="shared" si="148"/>
        <v>2019-11-18</v>
      </c>
      <c r="J1356" s="23" t="str">
        <f t="shared" si="149"/>
        <v>18</v>
      </c>
      <c r="K1356" t="str">
        <f t="shared" si="150"/>
        <v>no</v>
      </c>
      <c r="L1356">
        <v>18</v>
      </c>
      <c r="M1356" t="str">
        <f t="shared" si="151"/>
        <v>2019-11-18</v>
      </c>
      <c r="N1356" s="20" t="str">
        <f t="shared" si="152"/>
        <v>2019-11-18</v>
      </c>
      <c r="O1356" t="str">
        <f t="shared" si="153"/>
        <v>2019-11-18</v>
      </c>
    </row>
    <row r="1357" spans="1:15" x14ac:dyDescent="0.2">
      <c r="A1357" s="21" t="str">
        <f t="shared" si="147"/>
        <v>y</v>
      </c>
      <c r="B1357" s="24" t="s">
        <v>1799</v>
      </c>
      <c r="C1357" t="s">
        <v>687</v>
      </c>
      <c r="D1357" t="s">
        <v>13</v>
      </c>
      <c r="E1357" t="s">
        <v>8</v>
      </c>
      <c r="F1357" t="s">
        <v>29</v>
      </c>
      <c r="H1357" t="s">
        <v>2046</v>
      </c>
      <c r="I1357" s="22" t="str">
        <f t="shared" si="148"/>
        <v>2019-11-18</v>
      </c>
      <c r="J1357" s="23" t="str">
        <f t="shared" si="149"/>
        <v>18</v>
      </c>
      <c r="K1357" t="str">
        <f t="shared" si="150"/>
        <v>no</v>
      </c>
      <c r="L1357">
        <v>18</v>
      </c>
      <c r="M1357" t="str">
        <f t="shared" si="151"/>
        <v>2019-11-18</v>
      </c>
      <c r="N1357" s="20" t="str">
        <f t="shared" si="152"/>
        <v>2019-11-18</v>
      </c>
      <c r="O1357" t="str">
        <f t="shared" si="153"/>
        <v>2019-11-18</v>
      </c>
    </row>
    <row r="1358" spans="1:15" x14ac:dyDescent="0.2">
      <c r="A1358" s="21" t="str">
        <f t="shared" si="147"/>
        <v>y</v>
      </c>
      <c r="B1358" s="24" t="s">
        <v>1799</v>
      </c>
      <c r="C1358" t="s">
        <v>711</v>
      </c>
      <c r="D1358" t="s">
        <v>13</v>
      </c>
      <c r="E1358" t="s">
        <v>8</v>
      </c>
      <c r="F1358" t="s">
        <v>2</v>
      </c>
      <c r="G1358" t="s">
        <v>713</v>
      </c>
      <c r="H1358" t="s">
        <v>2048</v>
      </c>
      <c r="I1358" s="22" t="str">
        <f t="shared" si="148"/>
        <v>2019-11-18</v>
      </c>
      <c r="J1358" s="23" t="str">
        <f t="shared" si="149"/>
        <v>18</v>
      </c>
      <c r="K1358" t="str">
        <f t="shared" si="150"/>
        <v>no</v>
      </c>
      <c r="L1358">
        <v>18</v>
      </c>
      <c r="M1358" t="str">
        <f t="shared" si="151"/>
        <v>2019-11-18</v>
      </c>
      <c r="N1358" s="20">
        <f t="shared" si="152"/>
        <v>43788</v>
      </c>
      <c r="O1358" t="str">
        <f t="shared" si="153"/>
        <v>2019-11-19</v>
      </c>
    </row>
    <row r="1359" spans="1:15" x14ac:dyDescent="0.2">
      <c r="A1359" s="21" t="str">
        <f t="shared" si="147"/>
        <v>y</v>
      </c>
      <c r="B1359" s="24" t="s">
        <v>1800</v>
      </c>
      <c r="C1359" t="s">
        <v>701</v>
      </c>
      <c r="D1359" t="s">
        <v>13</v>
      </c>
      <c r="E1359" t="s">
        <v>27</v>
      </c>
      <c r="F1359" t="s">
        <v>29</v>
      </c>
      <c r="G1359" t="s">
        <v>709</v>
      </c>
      <c r="H1359" t="s">
        <v>2019</v>
      </c>
      <c r="I1359" s="22" t="str">
        <f t="shared" si="148"/>
        <v>2019-11-17</v>
      </c>
      <c r="J1359" s="23" t="str">
        <f t="shared" si="149"/>
        <v>17</v>
      </c>
      <c r="K1359" t="str">
        <f t="shared" si="150"/>
        <v>no</v>
      </c>
      <c r="L1359">
        <v>17</v>
      </c>
      <c r="M1359" t="str">
        <f t="shared" si="151"/>
        <v>2019-11-17</v>
      </c>
      <c r="N1359" s="20" t="str">
        <f t="shared" si="152"/>
        <v>2019-11-17</v>
      </c>
      <c r="O1359" t="str">
        <f t="shared" si="153"/>
        <v>2019-11-17</v>
      </c>
    </row>
    <row r="1360" spans="1:15" x14ac:dyDescent="0.2">
      <c r="A1360" s="21" t="str">
        <f t="shared" si="147"/>
        <v>y</v>
      </c>
      <c r="B1360" s="24" t="s">
        <v>1800</v>
      </c>
      <c r="C1360" t="s">
        <v>345</v>
      </c>
      <c r="D1360" t="s">
        <v>13</v>
      </c>
      <c r="E1360" t="s">
        <v>34</v>
      </c>
      <c r="F1360" t="s">
        <v>2</v>
      </c>
      <c r="G1360" t="s">
        <v>708</v>
      </c>
      <c r="H1360" t="s">
        <v>1993</v>
      </c>
      <c r="I1360" s="22" t="str">
        <f t="shared" si="148"/>
        <v>2019-11-17</v>
      </c>
      <c r="J1360" s="23" t="str">
        <f t="shared" si="149"/>
        <v>17</v>
      </c>
      <c r="K1360" t="str">
        <f t="shared" si="150"/>
        <v>no</v>
      </c>
      <c r="L1360">
        <v>17</v>
      </c>
      <c r="M1360" t="str">
        <f t="shared" si="151"/>
        <v>2019-11-17</v>
      </c>
      <c r="N1360" s="20">
        <f t="shared" si="152"/>
        <v>43787</v>
      </c>
      <c r="O1360" t="str">
        <f t="shared" si="153"/>
        <v>2019-11-18</v>
      </c>
    </row>
    <row r="1361" spans="1:15" x14ac:dyDescent="0.2">
      <c r="A1361" s="21" t="str">
        <f t="shared" si="147"/>
        <v>y</v>
      </c>
      <c r="B1361" s="24" t="s">
        <v>1800</v>
      </c>
      <c r="C1361" t="s">
        <v>345</v>
      </c>
      <c r="D1361" t="s">
        <v>13</v>
      </c>
      <c r="E1361" t="s">
        <v>115</v>
      </c>
      <c r="F1361" t="s">
        <v>29</v>
      </c>
      <c r="G1361" t="s">
        <v>710</v>
      </c>
      <c r="H1361" t="s">
        <v>2045</v>
      </c>
      <c r="I1361" s="22" t="str">
        <f t="shared" si="148"/>
        <v>2019-11-17</v>
      </c>
      <c r="J1361" s="23" t="str">
        <f t="shared" si="149"/>
        <v>17</v>
      </c>
      <c r="K1361" t="str">
        <f t="shared" si="150"/>
        <v>no</v>
      </c>
      <c r="L1361">
        <v>17</v>
      </c>
      <c r="M1361" t="str">
        <f t="shared" si="151"/>
        <v>2019-11-17</v>
      </c>
      <c r="N1361" s="20" t="str">
        <f t="shared" si="152"/>
        <v>2019-11-17</v>
      </c>
      <c r="O1361" t="str">
        <f t="shared" si="153"/>
        <v>2019-11-17</v>
      </c>
    </row>
    <row r="1362" spans="1:15" x14ac:dyDescent="0.2">
      <c r="A1362" s="21" t="str">
        <f t="shared" si="147"/>
        <v>y</v>
      </c>
      <c r="B1362" s="24" t="s">
        <v>1800</v>
      </c>
      <c r="C1362" t="s">
        <v>32</v>
      </c>
      <c r="D1362" t="s">
        <v>13</v>
      </c>
      <c r="E1362" t="s">
        <v>28</v>
      </c>
      <c r="F1362" t="s">
        <v>2</v>
      </c>
      <c r="H1362" t="s">
        <v>2046</v>
      </c>
      <c r="I1362" s="22" t="str">
        <f t="shared" si="148"/>
        <v>2019-11-17</v>
      </c>
      <c r="J1362" s="23" t="str">
        <f t="shared" si="149"/>
        <v>17</v>
      </c>
      <c r="K1362" t="str">
        <f t="shared" si="150"/>
        <v>no</v>
      </c>
      <c r="L1362">
        <v>17</v>
      </c>
      <c r="M1362" t="str">
        <f t="shared" si="151"/>
        <v>2019-11-17</v>
      </c>
      <c r="N1362" s="20">
        <f t="shared" si="152"/>
        <v>43787</v>
      </c>
      <c r="O1362" t="str">
        <f t="shared" si="153"/>
        <v>2019-11-18</v>
      </c>
    </row>
    <row r="1363" spans="1:15" x14ac:dyDescent="0.2">
      <c r="A1363" s="21" t="str">
        <f t="shared" si="147"/>
        <v>y</v>
      </c>
      <c r="B1363" s="24" t="s">
        <v>1800</v>
      </c>
      <c r="C1363" t="s">
        <v>711</v>
      </c>
      <c r="D1363" t="s">
        <v>13</v>
      </c>
      <c r="E1363" t="s">
        <v>8</v>
      </c>
      <c r="F1363" t="s">
        <v>2</v>
      </c>
      <c r="G1363" t="s">
        <v>712</v>
      </c>
      <c r="H1363" t="s">
        <v>2050</v>
      </c>
      <c r="I1363" s="22" t="str">
        <f t="shared" si="148"/>
        <v>2019-11-17</v>
      </c>
      <c r="J1363" s="23" t="str">
        <f t="shared" si="149"/>
        <v>17</v>
      </c>
      <c r="K1363" t="str">
        <f t="shared" si="150"/>
        <v>no</v>
      </c>
      <c r="L1363">
        <v>17</v>
      </c>
      <c r="M1363" t="str">
        <f t="shared" si="151"/>
        <v>2019-11-17</v>
      </c>
      <c r="N1363" s="20">
        <f t="shared" si="152"/>
        <v>43787</v>
      </c>
      <c r="O1363" t="str">
        <f t="shared" si="153"/>
        <v>2019-11-18</v>
      </c>
    </row>
    <row r="1364" spans="1:15" x14ac:dyDescent="0.2">
      <c r="A1364" s="21" t="str">
        <f t="shared" si="147"/>
        <v>y</v>
      </c>
      <c r="B1364" s="24" t="s">
        <v>1801</v>
      </c>
      <c r="C1364" t="s">
        <v>32</v>
      </c>
      <c r="D1364" t="s">
        <v>13</v>
      </c>
      <c r="E1364" t="s">
        <v>28</v>
      </c>
      <c r="F1364" t="s">
        <v>2</v>
      </c>
      <c r="H1364" t="s">
        <v>2051</v>
      </c>
      <c r="I1364" s="22" t="str">
        <f t="shared" si="148"/>
        <v>2019-11-16</v>
      </c>
      <c r="J1364" s="23" t="str">
        <f t="shared" si="149"/>
        <v>16</v>
      </c>
      <c r="K1364" t="str">
        <f t="shared" si="150"/>
        <v>no</v>
      </c>
      <c r="L1364">
        <v>16</v>
      </c>
      <c r="M1364" t="str">
        <f t="shared" si="151"/>
        <v>2019-11-16</v>
      </c>
      <c r="N1364" s="20">
        <f t="shared" si="152"/>
        <v>43786</v>
      </c>
      <c r="O1364" t="str">
        <f t="shared" si="153"/>
        <v>2019-11-17</v>
      </c>
    </row>
    <row r="1365" spans="1:15" x14ac:dyDescent="0.2">
      <c r="A1365" s="21" t="str">
        <f t="shared" si="147"/>
        <v>y</v>
      </c>
      <c r="B1365" s="24" t="s">
        <v>1801</v>
      </c>
      <c r="C1365" t="s">
        <v>701</v>
      </c>
      <c r="D1365" t="s">
        <v>13</v>
      </c>
      <c r="E1365" t="s">
        <v>27</v>
      </c>
      <c r="F1365" t="s">
        <v>2</v>
      </c>
      <c r="H1365" t="s">
        <v>2019</v>
      </c>
      <c r="I1365" s="22" t="str">
        <f t="shared" si="148"/>
        <v>2019-11-16</v>
      </c>
      <c r="J1365" s="23" t="str">
        <f t="shared" si="149"/>
        <v>16</v>
      </c>
      <c r="K1365" t="str">
        <f t="shared" si="150"/>
        <v>no</v>
      </c>
      <c r="L1365">
        <v>16</v>
      </c>
      <c r="M1365" t="str">
        <f t="shared" si="151"/>
        <v>2019-11-16</v>
      </c>
      <c r="N1365" s="20">
        <f t="shared" si="152"/>
        <v>43786</v>
      </c>
      <c r="O1365" t="str">
        <f t="shared" si="153"/>
        <v>2019-11-17</v>
      </c>
    </row>
    <row r="1366" spans="1:15" x14ac:dyDescent="0.2">
      <c r="A1366" s="21" t="str">
        <f t="shared" si="147"/>
        <v>y</v>
      </c>
      <c r="B1366" s="24" t="s">
        <v>1801</v>
      </c>
      <c r="C1366" t="s">
        <v>702</v>
      </c>
      <c r="D1366" t="s">
        <v>13</v>
      </c>
      <c r="E1366" t="s">
        <v>4</v>
      </c>
      <c r="F1366" t="s">
        <v>29</v>
      </c>
      <c r="G1366" t="s">
        <v>705</v>
      </c>
      <c r="H1366" t="s">
        <v>1993</v>
      </c>
      <c r="I1366" s="22" t="str">
        <f t="shared" si="148"/>
        <v>2019-11-16</v>
      </c>
      <c r="J1366" s="23" t="str">
        <f t="shared" si="149"/>
        <v>16</v>
      </c>
      <c r="K1366" t="str">
        <f t="shared" si="150"/>
        <v>no</v>
      </c>
      <c r="L1366">
        <v>16</v>
      </c>
      <c r="M1366" t="str">
        <f t="shared" si="151"/>
        <v>2019-11-16</v>
      </c>
      <c r="N1366" s="20" t="str">
        <f t="shared" si="152"/>
        <v>2019-11-16</v>
      </c>
      <c r="O1366" t="str">
        <f t="shared" si="153"/>
        <v>2019-11-16</v>
      </c>
    </row>
    <row r="1367" spans="1:15" x14ac:dyDescent="0.2">
      <c r="A1367" s="21" t="str">
        <f t="shared" si="147"/>
        <v>y</v>
      </c>
      <c r="B1367" s="24" t="s">
        <v>1801</v>
      </c>
      <c r="C1367" t="s">
        <v>489</v>
      </c>
      <c r="D1367" t="s">
        <v>19</v>
      </c>
      <c r="E1367" t="s">
        <v>27</v>
      </c>
      <c r="F1367" t="s">
        <v>2</v>
      </c>
      <c r="G1367" t="s">
        <v>706</v>
      </c>
      <c r="H1367" t="s">
        <v>2027</v>
      </c>
      <c r="I1367" s="22" t="str">
        <f t="shared" si="148"/>
        <v>2019-11-16</v>
      </c>
      <c r="J1367" s="23" t="str">
        <f t="shared" si="149"/>
        <v>16</v>
      </c>
      <c r="K1367" t="str">
        <f t="shared" si="150"/>
        <v>no</v>
      </c>
      <c r="L1367">
        <v>16</v>
      </c>
      <c r="M1367" t="str">
        <f t="shared" si="151"/>
        <v>2019-11-16</v>
      </c>
      <c r="N1367" s="20">
        <f t="shared" si="152"/>
        <v>43786</v>
      </c>
      <c r="O1367" t="str">
        <f t="shared" si="153"/>
        <v>2019-11-17</v>
      </c>
    </row>
    <row r="1368" spans="1:15" x14ac:dyDescent="0.2">
      <c r="A1368" s="21" t="str">
        <f t="shared" si="147"/>
        <v>y</v>
      </c>
      <c r="B1368" s="24" t="s">
        <v>1801</v>
      </c>
      <c r="C1368" t="s">
        <v>345</v>
      </c>
      <c r="D1368" t="s">
        <v>13</v>
      </c>
      <c r="E1368" t="s">
        <v>49</v>
      </c>
      <c r="F1368" t="s">
        <v>29</v>
      </c>
      <c r="G1368" t="s">
        <v>707</v>
      </c>
      <c r="H1368" t="s">
        <v>2018</v>
      </c>
      <c r="I1368" s="22" t="str">
        <f t="shared" si="148"/>
        <v>2019-11-16</v>
      </c>
      <c r="J1368" s="23" t="str">
        <f t="shared" si="149"/>
        <v>16</v>
      </c>
      <c r="K1368" t="str">
        <f t="shared" si="150"/>
        <v>no</v>
      </c>
      <c r="L1368">
        <v>16</v>
      </c>
      <c r="M1368" t="str">
        <f t="shared" si="151"/>
        <v>2019-11-16</v>
      </c>
      <c r="N1368" s="20" t="str">
        <f t="shared" si="152"/>
        <v>2019-11-16</v>
      </c>
      <c r="O1368" t="str">
        <f t="shared" si="153"/>
        <v>2019-11-16</v>
      </c>
    </row>
    <row r="1369" spans="1:15" x14ac:dyDescent="0.2">
      <c r="A1369" s="21" t="str">
        <f t="shared" si="147"/>
        <v>y</v>
      </c>
      <c r="B1369" s="24" t="s">
        <v>1802</v>
      </c>
      <c r="C1369" t="s">
        <v>677</v>
      </c>
      <c r="D1369" t="s">
        <v>13</v>
      </c>
      <c r="E1369" t="s">
        <v>27</v>
      </c>
      <c r="F1369" t="s">
        <v>2</v>
      </c>
      <c r="G1369" t="s">
        <v>697</v>
      </c>
      <c r="H1369" t="s">
        <v>2050</v>
      </c>
      <c r="I1369" s="22" t="str">
        <f t="shared" si="148"/>
        <v>2019-11-14</v>
      </c>
      <c r="J1369" s="23" t="str">
        <f t="shared" si="149"/>
        <v>14</v>
      </c>
      <c r="K1369" t="str">
        <f t="shared" si="150"/>
        <v>no</v>
      </c>
      <c r="L1369">
        <v>14</v>
      </c>
      <c r="M1369" t="str">
        <f t="shared" si="151"/>
        <v>2019-11-14</v>
      </c>
      <c r="N1369" s="20">
        <f t="shared" si="152"/>
        <v>43784</v>
      </c>
      <c r="O1369" t="str">
        <f t="shared" si="153"/>
        <v>2019-11-15</v>
      </c>
    </row>
    <row r="1370" spans="1:15" x14ac:dyDescent="0.2">
      <c r="A1370" s="21" t="str">
        <f t="shared" si="147"/>
        <v>y</v>
      </c>
      <c r="B1370" s="24" t="s">
        <v>1802</v>
      </c>
      <c r="C1370" t="s">
        <v>32</v>
      </c>
      <c r="D1370" t="s">
        <v>13</v>
      </c>
      <c r="E1370" t="s">
        <v>28</v>
      </c>
      <c r="F1370" t="s">
        <v>2</v>
      </c>
      <c r="H1370" t="s">
        <v>2051</v>
      </c>
      <c r="I1370" s="22" t="str">
        <f t="shared" si="148"/>
        <v>2019-11-14</v>
      </c>
      <c r="J1370" s="23" t="str">
        <f t="shared" si="149"/>
        <v>14</v>
      </c>
      <c r="K1370" t="str">
        <f t="shared" si="150"/>
        <v>no</v>
      </c>
      <c r="L1370">
        <v>14</v>
      </c>
      <c r="M1370" t="str">
        <f t="shared" si="151"/>
        <v>2019-11-14</v>
      </c>
      <c r="N1370" s="20">
        <f t="shared" si="152"/>
        <v>43784</v>
      </c>
      <c r="O1370" t="str">
        <f t="shared" si="153"/>
        <v>2019-11-15</v>
      </c>
    </row>
    <row r="1371" spans="1:15" x14ac:dyDescent="0.2">
      <c r="A1371" s="21" t="str">
        <f t="shared" si="147"/>
        <v>y</v>
      </c>
      <c r="B1371" s="24" t="s">
        <v>1802</v>
      </c>
      <c r="C1371" t="s">
        <v>701</v>
      </c>
      <c r="D1371" t="s">
        <v>13</v>
      </c>
      <c r="E1371" t="s">
        <v>27</v>
      </c>
      <c r="F1371" t="s">
        <v>2</v>
      </c>
      <c r="G1371" t="s">
        <v>699</v>
      </c>
      <c r="H1371" t="s">
        <v>2019</v>
      </c>
      <c r="I1371" s="22" t="str">
        <f t="shared" si="148"/>
        <v>2019-11-14</v>
      </c>
      <c r="J1371" s="23" t="str">
        <f t="shared" si="149"/>
        <v>14</v>
      </c>
      <c r="K1371" t="str">
        <f t="shared" si="150"/>
        <v>no</v>
      </c>
      <c r="L1371">
        <v>14</v>
      </c>
      <c r="M1371" t="str">
        <f t="shared" si="151"/>
        <v>2019-11-14</v>
      </c>
      <c r="N1371" s="20">
        <f t="shared" si="152"/>
        <v>43784</v>
      </c>
      <c r="O1371" t="str">
        <f t="shared" si="153"/>
        <v>2019-11-15</v>
      </c>
    </row>
    <row r="1372" spans="1:15" x14ac:dyDescent="0.2">
      <c r="A1372" s="21" t="str">
        <f t="shared" si="147"/>
        <v>y</v>
      </c>
      <c r="B1372" s="24" t="s">
        <v>1802</v>
      </c>
      <c r="C1372" t="s">
        <v>148</v>
      </c>
      <c r="D1372" t="s">
        <v>13</v>
      </c>
      <c r="E1372" t="s">
        <v>28</v>
      </c>
      <c r="F1372" t="s">
        <v>2</v>
      </c>
      <c r="H1372" t="s">
        <v>1993</v>
      </c>
      <c r="I1372" s="22" t="str">
        <f t="shared" si="148"/>
        <v>2019-11-14</v>
      </c>
      <c r="J1372" s="23" t="str">
        <f t="shared" si="149"/>
        <v>14</v>
      </c>
      <c r="K1372" t="str">
        <f t="shared" si="150"/>
        <v>no</v>
      </c>
      <c r="L1372">
        <v>14</v>
      </c>
      <c r="M1372" t="str">
        <f t="shared" si="151"/>
        <v>2019-11-14</v>
      </c>
      <c r="N1372" s="20">
        <f t="shared" si="152"/>
        <v>43784</v>
      </c>
      <c r="O1372" t="str">
        <f t="shared" si="153"/>
        <v>2019-11-15</v>
      </c>
    </row>
    <row r="1373" spans="1:15" x14ac:dyDescent="0.2">
      <c r="A1373" s="21" t="str">
        <f t="shared" si="147"/>
        <v>y</v>
      </c>
      <c r="B1373" s="24" t="s">
        <v>1802</v>
      </c>
      <c r="C1373" t="s">
        <v>687</v>
      </c>
      <c r="D1373" t="s">
        <v>13</v>
      </c>
      <c r="E1373" t="s">
        <v>42</v>
      </c>
      <c r="F1373" t="s">
        <v>29</v>
      </c>
      <c r="G1373" t="s">
        <v>704</v>
      </c>
      <c r="H1373" t="s">
        <v>2046</v>
      </c>
      <c r="I1373" s="22" t="str">
        <f t="shared" si="148"/>
        <v>2019-11-14</v>
      </c>
      <c r="J1373" s="23" t="str">
        <f t="shared" si="149"/>
        <v>14</v>
      </c>
      <c r="K1373" t="str">
        <f t="shared" si="150"/>
        <v>no</v>
      </c>
      <c r="L1373">
        <v>14</v>
      </c>
      <c r="M1373" t="str">
        <f t="shared" si="151"/>
        <v>2019-11-14</v>
      </c>
      <c r="N1373" s="20" t="str">
        <f t="shared" si="152"/>
        <v>2019-11-14</v>
      </c>
      <c r="O1373" t="str">
        <f t="shared" si="153"/>
        <v>2019-11-14</v>
      </c>
    </row>
    <row r="1374" spans="1:15" x14ac:dyDescent="0.2">
      <c r="A1374" s="21" t="str">
        <f t="shared" si="147"/>
        <v>y</v>
      </c>
      <c r="B1374" s="24" t="s">
        <v>1802</v>
      </c>
      <c r="C1374" t="s">
        <v>702</v>
      </c>
      <c r="D1374" t="s">
        <v>13</v>
      </c>
      <c r="E1374" t="s">
        <v>4</v>
      </c>
      <c r="F1374" t="s">
        <v>29</v>
      </c>
      <c r="G1374" t="s">
        <v>703</v>
      </c>
      <c r="H1374" t="s">
        <v>2051</v>
      </c>
      <c r="I1374" s="22" t="str">
        <f t="shared" si="148"/>
        <v>2019-11-14</v>
      </c>
      <c r="J1374" s="23" t="str">
        <f t="shared" si="149"/>
        <v>14</v>
      </c>
      <c r="K1374" t="str">
        <f t="shared" si="150"/>
        <v>no</v>
      </c>
      <c r="L1374">
        <v>14</v>
      </c>
      <c r="M1374" t="str">
        <f t="shared" si="151"/>
        <v>2019-11-14</v>
      </c>
      <c r="N1374" s="20" t="str">
        <f t="shared" si="152"/>
        <v>2019-11-14</v>
      </c>
      <c r="O1374" t="str">
        <f t="shared" si="153"/>
        <v>2019-11-14</v>
      </c>
    </row>
    <row r="1375" spans="1:15" x14ac:dyDescent="0.2">
      <c r="A1375" s="21" t="str">
        <f t="shared" si="147"/>
        <v>y</v>
      </c>
      <c r="B1375" s="24" t="s">
        <v>1803</v>
      </c>
      <c r="C1375" t="s">
        <v>677</v>
      </c>
      <c r="D1375" t="s">
        <v>13</v>
      </c>
      <c r="E1375" t="s">
        <v>27</v>
      </c>
      <c r="F1375" t="s">
        <v>2</v>
      </c>
      <c r="G1375" t="s">
        <v>697</v>
      </c>
      <c r="H1375" t="s">
        <v>2019</v>
      </c>
      <c r="I1375" s="22" t="str">
        <f t="shared" si="148"/>
        <v>2019-11-13</v>
      </c>
      <c r="J1375" s="23" t="str">
        <f t="shared" si="149"/>
        <v>13</v>
      </c>
      <c r="K1375" t="str">
        <f t="shared" si="150"/>
        <v>no</v>
      </c>
      <c r="L1375">
        <v>13</v>
      </c>
      <c r="M1375" t="str">
        <f t="shared" si="151"/>
        <v>2019-11-13</v>
      </c>
      <c r="N1375" s="20">
        <f t="shared" si="152"/>
        <v>43783</v>
      </c>
      <c r="O1375" t="str">
        <f t="shared" si="153"/>
        <v>2019-11-14</v>
      </c>
    </row>
    <row r="1376" spans="1:15" x14ac:dyDescent="0.2">
      <c r="A1376" s="21" t="str">
        <f t="shared" si="147"/>
        <v>y</v>
      </c>
      <c r="B1376" s="24" t="s">
        <v>1803</v>
      </c>
      <c r="C1376" t="s">
        <v>32</v>
      </c>
      <c r="D1376" t="s">
        <v>13</v>
      </c>
      <c r="E1376" t="s">
        <v>28</v>
      </c>
      <c r="F1376" t="s">
        <v>2</v>
      </c>
      <c r="H1376" t="s">
        <v>2036</v>
      </c>
      <c r="I1376" s="22" t="str">
        <f t="shared" si="148"/>
        <v>2019-11-13</v>
      </c>
      <c r="J1376" s="23" t="str">
        <f t="shared" si="149"/>
        <v>13</v>
      </c>
      <c r="K1376" t="str">
        <f t="shared" si="150"/>
        <v>no</v>
      </c>
      <c r="L1376">
        <v>13</v>
      </c>
      <c r="M1376" t="str">
        <f t="shared" si="151"/>
        <v>2019-11-13</v>
      </c>
      <c r="N1376" s="20">
        <f t="shared" si="152"/>
        <v>43783</v>
      </c>
      <c r="O1376" t="str">
        <f t="shared" si="153"/>
        <v>2019-11-14</v>
      </c>
    </row>
    <row r="1377" spans="1:15" x14ac:dyDescent="0.2">
      <c r="A1377" s="21" t="str">
        <f t="shared" si="147"/>
        <v>y</v>
      </c>
      <c r="B1377" s="24" t="s">
        <v>1803</v>
      </c>
      <c r="C1377" t="s">
        <v>345</v>
      </c>
      <c r="D1377" t="s">
        <v>13</v>
      </c>
      <c r="E1377" t="s">
        <v>27</v>
      </c>
      <c r="F1377" t="s">
        <v>29</v>
      </c>
      <c r="G1377" t="s">
        <v>698</v>
      </c>
      <c r="H1377" t="s">
        <v>2051</v>
      </c>
      <c r="I1377" s="22" t="str">
        <f t="shared" si="148"/>
        <v>2019-11-13</v>
      </c>
      <c r="J1377" s="23" t="str">
        <f t="shared" si="149"/>
        <v>13</v>
      </c>
      <c r="K1377" t="str">
        <f t="shared" si="150"/>
        <v>no</v>
      </c>
      <c r="L1377">
        <v>13</v>
      </c>
      <c r="M1377" t="str">
        <f t="shared" si="151"/>
        <v>2019-11-13</v>
      </c>
      <c r="N1377" s="20" t="str">
        <f t="shared" si="152"/>
        <v>2019-11-13</v>
      </c>
      <c r="O1377" t="str">
        <f t="shared" si="153"/>
        <v>2019-11-13</v>
      </c>
    </row>
    <row r="1378" spans="1:15" x14ac:dyDescent="0.2">
      <c r="A1378" s="21" t="str">
        <f t="shared" si="147"/>
        <v>y</v>
      </c>
      <c r="B1378" s="24" t="s">
        <v>1803</v>
      </c>
      <c r="C1378" t="s">
        <v>701</v>
      </c>
      <c r="D1378" t="s">
        <v>13</v>
      </c>
      <c r="E1378" t="s">
        <v>4</v>
      </c>
      <c r="F1378" t="s">
        <v>29</v>
      </c>
      <c r="G1378" t="s">
        <v>700</v>
      </c>
      <c r="H1378" t="s">
        <v>2019</v>
      </c>
      <c r="I1378" s="22" t="str">
        <f t="shared" si="148"/>
        <v>2019-11-13</v>
      </c>
      <c r="J1378" s="23" t="str">
        <f t="shared" si="149"/>
        <v>13</v>
      </c>
      <c r="K1378" t="str">
        <f t="shared" si="150"/>
        <v>no</v>
      </c>
      <c r="L1378">
        <v>13</v>
      </c>
      <c r="M1378" t="str">
        <f t="shared" si="151"/>
        <v>2019-11-13</v>
      </c>
      <c r="N1378" s="20" t="str">
        <f t="shared" si="152"/>
        <v>2019-11-13</v>
      </c>
      <c r="O1378" t="str">
        <f t="shared" si="153"/>
        <v>2019-11-13</v>
      </c>
    </row>
    <row r="1379" spans="1:15" x14ac:dyDescent="0.2">
      <c r="A1379" s="21" t="str">
        <f t="shared" si="147"/>
        <v>y</v>
      </c>
      <c r="B1379" s="24" t="s">
        <v>1803</v>
      </c>
      <c r="C1379" t="s">
        <v>701</v>
      </c>
      <c r="D1379" t="s">
        <v>13</v>
      </c>
      <c r="E1379" t="s">
        <v>27</v>
      </c>
      <c r="F1379" t="s">
        <v>2</v>
      </c>
      <c r="G1379" t="s">
        <v>699</v>
      </c>
      <c r="H1379" t="s">
        <v>2045</v>
      </c>
      <c r="I1379" s="22" t="str">
        <f t="shared" si="148"/>
        <v>2019-11-13</v>
      </c>
      <c r="J1379" s="23" t="str">
        <f t="shared" si="149"/>
        <v>13</v>
      </c>
      <c r="K1379" t="str">
        <f t="shared" si="150"/>
        <v>no</v>
      </c>
      <c r="L1379">
        <v>13</v>
      </c>
      <c r="M1379" t="str">
        <f t="shared" si="151"/>
        <v>2019-11-13</v>
      </c>
      <c r="N1379" s="20">
        <f t="shared" si="152"/>
        <v>43783</v>
      </c>
      <c r="O1379" t="str">
        <f t="shared" si="153"/>
        <v>2019-11-14</v>
      </c>
    </row>
    <row r="1380" spans="1:15" x14ac:dyDescent="0.2">
      <c r="A1380" s="21" t="str">
        <f t="shared" si="147"/>
        <v>y</v>
      </c>
      <c r="B1380" s="24">
        <v>43810</v>
      </c>
      <c r="C1380" t="s">
        <v>677</v>
      </c>
      <c r="D1380" t="s">
        <v>13</v>
      </c>
      <c r="E1380" t="s">
        <v>27</v>
      </c>
      <c r="F1380" t="s">
        <v>2</v>
      </c>
      <c r="G1380" t="s">
        <v>685</v>
      </c>
      <c r="H1380" t="s">
        <v>2027</v>
      </c>
      <c r="I1380" s="22" t="str">
        <f t="shared" si="148"/>
        <v>2019-11-12</v>
      </c>
      <c r="J1380" s="23" t="str">
        <f t="shared" si="149"/>
        <v>43</v>
      </c>
      <c r="K1380" t="str">
        <f t="shared" si="150"/>
        <v>yes</v>
      </c>
      <c r="L1380">
        <v>43</v>
      </c>
      <c r="M1380" t="str">
        <f t="shared" si="151"/>
        <v>2019-11-12</v>
      </c>
      <c r="N1380" s="20">
        <f t="shared" si="152"/>
        <v>43782</v>
      </c>
      <c r="O1380" t="str">
        <f t="shared" si="153"/>
        <v>2019-11-13</v>
      </c>
    </row>
    <row r="1381" spans="1:15" x14ac:dyDescent="0.2">
      <c r="A1381" s="21" t="str">
        <f t="shared" si="147"/>
        <v>y</v>
      </c>
      <c r="B1381" s="24">
        <v>43810</v>
      </c>
      <c r="C1381" t="s">
        <v>32</v>
      </c>
      <c r="D1381" t="s">
        <v>13</v>
      </c>
      <c r="E1381" t="s">
        <v>28</v>
      </c>
      <c r="F1381" t="s">
        <v>2</v>
      </c>
      <c r="H1381" t="s">
        <v>2051</v>
      </c>
      <c r="I1381" s="22" t="str">
        <f t="shared" si="148"/>
        <v>2019-11-12</v>
      </c>
      <c r="J1381" s="23" t="str">
        <f t="shared" si="149"/>
        <v>43</v>
      </c>
      <c r="K1381" t="str">
        <f t="shared" si="150"/>
        <v>yes</v>
      </c>
      <c r="L1381">
        <v>43</v>
      </c>
      <c r="M1381" t="str">
        <f t="shared" si="151"/>
        <v>2019-11-12</v>
      </c>
      <c r="N1381" s="20">
        <f t="shared" si="152"/>
        <v>43782</v>
      </c>
      <c r="O1381" t="str">
        <f t="shared" si="153"/>
        <v>2019-11-13</v>
      </c>
    </row>
    <row r="1382" spans="1:15" x14ac:dyDescent="0.2">
      <c r="A1382" s="21" t="str">
        <f t="shared" si="147"/>
        <v>y</v>
      </c>
      <c r="B1382" s="24">
        <v>43810</v>
      </c>
      <c r="C1382" t="s">
        <v>540</v>
      </c>
      <c r="D1382" t="s">
        <v>13</v>
      </c>
      <c r="E1382" t="s">
        <v>49</v>
      </c>
      <c r="F1382" t="s">
        <v>29</v>
      </c>
      <c r="G1382" t="s">
        <v>696</v>
      </c>
      <c r="H1382" t="s">
        <v>2019</v>
      </c>
      <c r="I1382" s="22" t="str">
        <f t="shared" si="148"/>
        <v>2019-11-12</v>
      </c>
      <c r="J1382" s="23" t="str">
        <f t="shared" si="149"/>
        <v>43</v>
      </c>
      <c r="K1382" t="str">
        <f t="shared" si="150"/>
        <v>yes</v>
      </c>
      <c r="L1382">
        <v>43</v>
      </c>
      <c r="M1382" t="str">
        <f t="shared" si="151"/>
        <v>2019-11-12</v>
      </c>
      <c r="N1382" s="20" t="str">
        <f t="shared" si="152"/>
        <v>2019-11-12</v>
      </c>
      <c r="O1382" t="str">
        <f t="shared" si="153"/>
        <v>2019-11-12</v>
      </c>
    </row>
    <row r="1383" spans="1:15" x14ac:dyDescent="0.2">
      <c r="A1383" s="21" t="str">
        <f t="shared" si="147"/>
        <v>y</v>
      </c>
      <c r="B1383" s="24">
        <v>43780</v>
      </c>
      <c r="C1383" t="s">
        <v>677</v>
      </c>
      <c r="D1383" t="s">
        <v>13</v>
      </c>
      <c r="E1383" t="s">
        <v>27</v>
      </c>
      <c r="F1383" t="s">
        <v>2</v>
      </c>
      <c r="G1383" t="s">
        <v>685</v>
      </c>
      <c r="H1383" t="s">
        <v>2052</v>
      </c>
      <c r="I1383" s="22" t="str">
        <f t="shared" si="148"/>
        <v>2019-11-11</v>
      </c>
      <c r="J1383" s="23" t="str">
        <f t="shared" si="149"/>
        <v>43</v>
      </c>
      <c r="K1383" t="str">
        <f t="shared" si="150"/>
        <v>yes</v>
      </c>
      <c r="L1383">
        <v>43</v>
      </c>
      <c r="M1383" t="str">
        <f t="shared" si="151"/>
        <v>2019-11-11</v>
      </c>
      <c r="N1383" s="20">
        <f t="shared" si="152"/>
        <v>43781</v>
      </c>
      <c r="O1383" t="str">
        <f t="shared" si="153"/>
        <v>2019-11-12</v>
      </c>
    </row>
    <row r="1384" spans="1:15" x14ac:dyDescent="0.2">
      <c r="A1384" s="21" t="str">
        <f t="shared" si="147"/>
        <v>y</v>
      </c>
      <c r="B1384" s="24">
        <v>43780</v>
      </c>
      <c r="C1384" t="s">
        <v>32</v>
      </c>
      <c r="D1384" t="s">
        <v>13</v>
      </c>
      <c r="E1384" t="s">
        <v>28</v>
      </c>
      <c r="F1384" t="s">
        <v>2</v>
      </c>
      <c r="G1384" t="s">
        <v>694</v>
      </c>
      <c r="H1384" t="s">
        <v>2018</v>
      </c>
      <c r="I1384" s="22" t="str">
        <f t="shared" si="148"/>
        <v>2019-11-11</v>
      </c>
      <c r="J1384" s="23" t="str">
        <f t="shared" si="149"/>
        <v>43</v>
      </c>
      <c r="K1384" t="str">
        <f t="shared" si="150"/>
        <v>yes</v>
      </c>
      <c r="L1384">
        <v>43</v>
      </c>
      <c r="M1384" t="str">
        <f t="shared" si="151"/>
        <v>2019-11-11</v>
      </c>
      <c r="N1384" s="20">
        <f t="shared" si="152"/>
        <v>43781</v>
      </c>
      <c r="O1384" t="str">
        <f t="shared" si="153"/>
        <v>2019-11-12</v>
      </c>
    </row>
    <row r="1385" spans="1:15" x14ac:dyDescent="0.2">
      <c r="A1385" s="21" t="str">
        <f t="shared" si="147"/>
        <v>y</v>
      </c>
      <c r="B1385" s="24">
        <v>43780</v>
      </c>
      <c r="C1385" t="s">
        <v>489</v>
      </c>
      <c r="D1385" t="s">
        <v>19</v>
      </c>
      <c r="E1385" t="s">
        <v>34</v>
      </c>
      <c r="F1385" t="s">
        <v>2</v>
      </c>
      <c r="H1385" t="s">
        <v>2051</v>
      </c>
      <c r="I1385" s="22" t="str">
        <f t="shared" si="148"/>
        <v>2019-11-11</v>
      </c>
      <c r="J1385" s="23" t="str">
        <f t="shared" si="149"/>
        <v>43</v>
      </c>
      <c r="K1385" t="str">
        <f t="shared" si="150"/>
        <v>yes</v>
      </c>
      <c r="L1385">
        <v>43</v>
      </c>
      <c r="M1385" t="str">
        <f t="shared" si="151"/>
        <v>2019-11-11</v>
      </c>
      <c r="N1385" s="20">
        <f t="shared" si="152"/>
        <v>43781</v>
      </c>
      <c r="O1385" t="str">
        <f t="shared" si="153"/>
        <v>2019-11-12</v>
      </c>
    </row>
    <row r="1386" spans="1:15" x14ac:dyDescent="0.2">
      <c r="A1386" s="21" t="str">
        <f t="shared" si="147"/>
        <v>y</v>
      </c>
      <c r="B1386" s="24">
        <v>43780</v>
      </c>
      <c r="C1386" t="s">
        <v>148</v>
      </c>
      <c r="D1386" t="s">
        <v>13</v>
      </c>
      <c r="E1386" t="s">
        <v>49</v>
      </c>
      <c r="F1386" t="s">
        <v>2</v>
      </c>
      <c r="G1386" t="s">
        <v>695</v>
      </c>
      <c r="H1386" t="s">
        <v>2019</v>
      </c>
      <c r="I1386" s="22" t="str">
        <f t="shared" si="148"/>
        <v>2019-11-11</v>
      </c>
      <c r="J1386" s="23" t="str">
        <f t="shared" si="149"/>
        <v>43</v>
      </c>
      <c r="K1386" t="str">
        <f t="shared" si="150"/>
        <v>yes</v>
      </c>
      <c r="L1386">
        <v>43</v>
      </c>
      <c r="M1386" t="str">
        <f t="shared" si="151"/>
        <v>2019-11-11</v>
      </c>
      <c r="N1386" s="20">
        <f t="shared" si="152"/>
        <v>43781</v>
      </c>
      <c r="O1386" t="str">
        <f t="shared" si="153"/>
        <v>2019-11-12</v>
      </c>
    </row>
    <row r="1387" spans="1:15" x14ac:dyDescent="0.2">
      <c r="A1387" s="21" t="str">
        <f t="shared" si="147"/>
        <v>y</v>
      </c>
      <c r="B1387" s="24">
        <v>43749</v>
      </c>
      <c r="C1387" t="s">
        <v>662</v>
      </c>
      <c r="D1387" t="s">
        <v>13</v>
      </c>
      <c r="E1387" t="s">
        <v>27</v>
      </c>
      <c r="F1387" t="s">
        <v>29</v>
      </c>
      <c r="G1387" t="s">
        <v>692</v>
      </c>
      <c r="H1387" t="s">
        <v>2052</v>
      </c>
      <c r="I1387" s="22" t="str">
        <f t="shared" si="148"/>
        <v>2019-11-10</v>
      </c>
      <c r="J1387" s="23" t="str">
        <f t="shared" si="149"/>
        <v>43</v>
      </c>
      <c r="K1387" t="str">
        <f t="shared" si="150"/>
        <v>yes</v>
      </c>
      <c r="L1387">
        <v>43</v>
      </c>
      <c r="M1387" t="str">
        <f t="shared" si="151"/>
        <v>2019-11-10</v>
      </c>
      <c r="N1387" s="20" t="str">
        <f t="shared" si="152"/>
        <v>2019-11-10</v>
      </c>
      <c r="O1387" t="str">
        <f t="shared" si="153"/>
        <v>2019-11-10</v>
      </c>
    </row>
    <row r="1388" spans="1:15" x14ac:dyDescent="0.2">
      <c r="A1388" s="21" t="str">
        <f t="shared" si="147"/>
        <v>y</v>
      </c>
      <c r="B1388" s="24">
        <v>43749</v>
      </c>
      <c r="C1388" t="s">
        <v>677</v>
      </c>
      <c r="D1388" t="s">
        <v>13</v>
      </c>
      <c r="E1388" t="s">
        <v>27</v>
      </c>
      <c r="F1388" t="s">
        <v>2</v>
      </c>
      <c r="G1388" t="s">
        <v>685</v>
      </c>
      <c r="H1388" t="s">
        <v>1988</v>
      </c>
      <c r="I1388" s="22" t="str">
        <f t="shared" si="148"/>
        <v>2019-11-10</v>
      </c>
      <c r="J1388" s="23" t="str">
        <f t="shared" si="149"/>
        <v>43</v>
      </c>
      <c r="K1388" t="str">
        <f t="shared" si="150"/>
        <v>yes</v>
      </c>
      <c r="L1388">
        <v>43</v>
      </c>
      <c r="M1388" t="str">
        <f t="shared" si="151"/>
        <v>2019-11-10</v>
      </c>
      <c r="N1388" s="20">
        <f t="shared" si="152"/>
        <v>43780</v>
      </c>
      <c r="O1388" t="str">
        <f t="shared" si="153"/>
        <v>2019-11-11</v>
      </c>
    </row>
    <row r="1389" spans="1:15" x14ac:dyDescent="0.2">
      <c r="A1389" s="21" t="str">
        <f t="shared" si="147"/>
        <v>y</v>
      </c>
      <c r="B1389" s="24">
        <v>43749</v>
      </c>
      <c r="C1389" t="s">
        <v>32</v>
      </c>
      <c r="D1389" t="s">
        <v>13</v>
      </c>
      <c r="E1389" t="s">
        <v>28</v>
      </c>
      <c r="F1389" t="s">
        <v>2</v>
      </c>
      <c r="H1389" t="s">
        <v>2051</v>
      </c>
      <c r="I1389" s="22" t="str">
        <f t="shared" si="148"/>
        <v>2019-11-10</v>
      </c>
      <c r="J1389" s="23" t="str">
        <f t="shared" si="149"/>
        <v>43</v>
      </c>
      <c r="K1389" t="str">
        <f t="shared" si="150"/>
        <v>yes</v>
      </c>
      <c r="L1389">
        <v>43</v>
      </c>
      <c r="M1389" t="str">
        <f t="shared" si="151"/>
        <v>2019-11-10</v>
      </c>
      <c r="N1389" s="20">
        <f t="shared" si="152"/>
        <v>43780</v>
      </c>
      <c r="O1389" t="str">
        <f t="shared" si="153"/>
        <v>2019-11-11</v>
      </c>
    </row>
    <row r="1390" spans="1:15" x14ac:dyDescent="0.2">
      <c r="A1390" s="21" t="str">
        <f t="shared" si="147"/>
        <v>y</v>
      </c>
      <c r="B1390" s="24">
        <v>43749</v>
      </c>
      <c r="C1390" t="s">
        <v>687</v>
      </c>
      <c r="D1390" t="s">
        <v>13</v>
      </c>
      <c r="E1390" t="s">
        <v>27</v>
      </c>
      <c r="F1390" t="s">
        <v>29</v>
      </c>
      <c r="G1390" t="s">
        <v>693</v>
      </c>
      <c r="H1390" t="s">
        <v>2019</v>
      </c>
      <c r="I1390" s="22" t="str">
        <f t="shared" si="148"/>
        <v>2019-11-10</v>
      </c>
      <c r="J1390" s="23" t="str">
        <f t="shared" si="149"/>
        <v>43</v>
      </c>
      <c r="K1390" t="str">
        <f t="shared" si="150"/>
        <v>yes</v>
      </c>
      <c r="L1390">
        <v>43</v>
      </c>
      <c r="M1390" t="str">
        <f t="shared" si="151"/>
        <v>2019-11-10</v>
      </c>
      <c r="N1390" s="20" t="str">
        <f t="shared" si="152"/>
        <v>2019-11-10</v>
      </c>
      <c r="O1390" t="str">
        <f t="shared" si="153"/>
        <v>2019-11-10</v>
      </c>
    </row>
    <row r="1391" spans="1:15" x14ac:dyDescent="0.2">
      <c r="A1391" s="21" t="str">
        <f t="shared" si="147"/>
        <v>y</v>
      </c>
      <c r="B1391" s="24">
        <v>43657</v>
      </c>
      <c r="C1391" t="s">
        <v>662</v>
      </c>
      <c r="D1391" t="s">
        <v>13</v>
      </c>
      <c r="E1391" t="s">
        <v>27</v>
      </c>
      <c r="F1391" t="s">
        <v>2</v>
      </c>
      <c r="H1391" t="s">
        <v>2053</v>
      </c>
      <c r="I1391" s="22" t="str">
        <f t="shared" si="148"/>
        <v>2019-11-07</v>
      </c>
      <c r="J1391" s="23" t="str">
        <f t="shared" si="149"/>
        <v>43</v>
      </c>
      <c r="K1391" t="str">
        <f t="shared" si="150"/>
        <v>yes</v>
      </c>
      <c r="L1391">
        <v>43</v>
      </c>
      <c r="M1391" t="str">
        <f t="shared" si="151"/>
        <v>2019-11-07</v>
      </c>
      <c r="N1391" s="20">
        <f t="shared" si="152"/>
        <v>43777</v>
      </c>
      <c r="O1391" t="str">
        <f t="shared" si="153"/>
        <v>2019-11-08</v>
      </c>
    </row>
    <row r="1392" spans="1:15" x14ac:dyDescent="0.2">
      <c r="A1392" s="21" t="str">
        <f t="shared" si="147"/>
        <v>y</v>
      </c>
      <c r="B1392" s="24">
        <v>43657</v>
      </c>
      <c r="C1392" t="s">
        <v>677</v>
      </c>
      <c r="D1392" t="s">
        <v>13</v>
      </c>
      <c r="E1392" t="s">
        <v>27</v>
      </c>
      <c r="F1392" t="s">
        <v>2</v>
      </c>
      <c r="G1392" t="s">
        <v>685</v>
      </c>
      <c r="H1392" t="s">
        <v>2052</v>
      </c>
      <c r="I1392" s="22" t="str">
        <f t="shared" si="148"/>
        <v>2019-11-07</v>
      </c>
      <c r="J1392" s="23" t="str">
        <f t="shared" si="149"/>
        <v>43</v>
      </c>
      <c r="K1392" t="str">
        <f t="shared" si="150"/>
        <v>yes</v>
      </c>
      <c r="L1392">
        <v>43</v>
      </c>
      <c r="M1392" t="str">
        <f t="shared" si="151"/>
        <v>2019-11-07</v>
      </c>
      <c r="N1392" s="20">
        <f t="shared" si="152"/>
        <v>43777</v>
      </c>
      <c r="O1392" t="str">
        <f t="shared" si="153"/>
        <v>2019-11-08</v>
      </c>
    </row>
    <row r="1393" spans="1:15" x14ac:dyDescent="0.2">
      <c r="A1393" s="21" t="str">
        <f t="shared" si="147"/>
        <v>y</v>
      </c>
      <c r="B1393" s="24">
        <v>43657</v>
      </c>
      <c r="C1393" t="s">
        <v>32</v>
      </c>
      <c r="D1393" t="s">
        <v>13</v>
      </c>
      <c r="E1393" t="s">
        <v>28</v>
      </c>
      <c r="F1393" t="s">
        <v>2</v>
      </c>
      <c r="H1393" t="s">
        <v>2036</v>
      </c>
      <c r="I1393" s="22" t="str">
        <f t="shared" si="148"/>
        <v>2019-11-07</v>
      </c>
      <c r="J1393" s="23" t="str">
        <f t="shared" si="149"/>
        <v>43</v>
      </c>
      <c r="K1393" t="str">
        <f t="shared" si="150"/>
        <v>yes</v>
      </c>
      <c r="L1393">
        <v>43</v>
      </c>
      <c r="M1393" t="str">
        <f t="shared" si="151"/>
        <v>2019-11-07</v>
      </c>
      <c r="N1393" s="20">
        <f t="shared" si="152"/>
        <v>43777</v>
      </c>
      <c r="O1393" t="str">
        <f t="shared" si="153"/>
        <v>2019-11-08</v>
      </c>
    </row>
    <row r="1394" spans="1:15" x14ac:dyDescent="0.2">
      <c r="A1394" s="21" t="str">
        <f t="shared" si="147"/>
        <v>y</v>
      </c>
      <c r="B1394" s="24">
        <v>43657</v>
      </c>
      <c r="C1394" t="s">
        <v>151</v>
      </c>
      <c r="D1394" t="s">
        <v>13</v>
      </c>
      <c r="E1394" t="s">
        <v>27</v>
      </c>
      <c r="F1394" t="s">
        <v>29</v>
      </c>
      <c r="G1394" t="s">
        <v>691</v>
      </c>
      <c r="H1394" t="s">
        <v>2018</v>
      </c>
      <c r="I1394" s="22" t="str">
        <f t="shared" si="148"/>
        <v>2019-11-07</v>
      </c>
      <c r="J1394" s="23" t="str">
        <f t="shared" si="149"/>
        <v>43</v>
      </c>
      <c r="K1394" t="str">
        <f t="shared" si="150"/>
        <v>yes</v>
      </c>
      <c r="L1394">
        <v>43</v>
      </c>
      <c r="M1394" t="str">
        <f t="shared" si="151"/>
        <v>2019-11-07</v>
      </c>
      <c r="N1394" s="20" t="str">
        <f t="shared" si="152"/>
        <v>2019-11-07</v>
      </c>
      <c r="O1394" t="str">
        <f t="shared" si="153"/>
        <v>2019-11-07</v>
      </c>
    </row>
    <row r="1395" spans="1:15" x14ac:dyDescent="0.2">
      <c r="A1395" s="21" t="str">
        <f t="shared" si="147"/>
        <v>y</v>
      </c>
      <c r="B1395" s="24">
        <v>43627</v>
      </c>
      <c r="C1395" t="s">
        <v>345</v>
      </c>
      <c r="D1395" t="s">
        <v>13</v>
      </c>
      <c r="E1395" t="s">
        <v>27</v>
      </c>
      <c r="F1395" t="s">
        <v>29</v>
      </c>
      <c r="G1395" t="s">
        <v>689</v>
      </c>
      <c r="H1395" t="s">
        <v>2051</v>
      </c>
      <c r="I1395" s="22" t="str">
        <f t="shared" si="148"/>
        <v>2019-11-06</v>
      </c>
      <c r="J1395" s="23" t="str">
        <f t="shared" si="149"/>
        <v>43</v>
      </c>
      <c r="K1395" t="str">
        <f t="shared" si="150"/>
        <v>yes</v>
      </c>
      <c r="L1395">
        <v>43</v>
      </c>
      <c r="M1395" t="str">
        <f t="shared" si="151"/>
        <v>2019-11-06</v>
      </c>
      <c r="N1395" s="20" t="str">
        <f t="shared" si="152"/>
        <v>2019-11-06</v>
      </c>
      <c r="O1395" t="str">
        <f t="shared" si="153"/>
        <v>2019-11-06</v>
      </c>
    </row>
    <row r="1396" spans="1:15" x14ac:dyDescent="0.2">
      <c r="A1396" s="21" t="str">
        <f t="shared" si="147"/>
        <v>y</v>
      </c>
      <c r="B1396" s="24">
        <v>43627</v>
      </c>
      <c r="C1396" t="s">
        <v>662</v>
      </c>
      <c r="D1396" t="s">
        <v>13</v>
      </c>
      <c r="E1396" t="s">
        <v>27</v>
      </c>
      <c r="F1396" t="s">
        <v>2</v>
      </c>
      <c r="H1396" t="s">
        <v>2019</v>
      </c>
      <c r="I1396" s="22" t="str">
        <f t="shared" si="148"/>
        <v>2019-11-06</v>
      </c>
      <c r="J1396" s="23" t="str">
        <f t="shared" si="149"/>
        <v>43</v>
      </c>
      <c r="K1396" t="str">
        <f t="shared" si="150"/>
        <v>yes</v>
      </c>
      <c r="L1396">
        <v>43</v>
      </c>
      <c r="M1396" t="str">
        <f t="shared" si="151"/>
        <v>2019-11-06</v>
      </c>
      <c r="N1396" s="20">
        <f t="shared" si="152"/>
        <v>43776</v>
      </c>
      <c r="O1396" t="str">
        <f t="shared" si="153"/>
        <v>2019-11-07</v>
      </c>
    </row>
    <row r="1397" spans="1:15" x14ac:dyDescent="0.2">
      <c r="A1397" s="21" t="str">
        <f t="shared" si="147"/>
        <v>y</v>
      </c>
      <c r="B1397" s="24">
        <v>43627</v>
      </c>
      <c r="C1397" t="s">
        <v>677</v>
      </c>
      <c r="D1397" t="s">
        <v>13</v>
      </c>
      <c r="E1397" t="s">
        <v>27</v>
      </c>
      <c r="F1397" t="s">
        <v>2</v>
      </c>
      <c r="G1397" t="s">
        <v>685</v>
      </c>
      <c r="H1397" t="s">
        <v>2052</v>
      </c>
      <c r="I1397" s="22" t="str">
        <f t="shared" si="148"/>
        <v>2019-11-06</v>
      </c>
      <c r="J1397" s="23" t="str">
        <f t="shared" si="149"/>
        <v>43</v>
      </c>
      <c r="K1397" t="str">
        <f t="shared" si="150"/>
        <v>yes</v>
      </c>
      <c r="L1397">
        <v>43</v>
      </c>
      <c r="M1397" t="str">
        <f t="shared" si="151"/>
        <v>2019-11-06</v>
      </c>
      <c r="N1397" s="20">
        <f t="shared" si="152"/>
        <v>43776</v>
      </c>
      <c r="O1397" t="str">
        <f t="shared" si="153"/>
        <v>2019-11-07</v>
      </c>
    </row>
    <row r="1398" spans="1:15" x14ac:dyDescent="0.2">
      <c r="A1398" s="21" t="str">
        <f t="shared" si="147"/>
        <v>y</v>
      </c>
      <c r="B1398" s="24">
        <v>43627</v>
      </c>
      <c r="C1398" t="s">
        <v>32</v>
      </c>
      <c r="D1398" t="s">
        <v>13</v>
      </c>
      <c r="E1398" t="s">
        <v>28</v>
      </c>
      <c r="F1398" t="s">
        <v>2</v>
      </c>
      <c r="H1398" t="s">
        <v>1988</v>
      </c>
      <c r="I1398" s="22" t="str">
        <f t="shared" si="148"/>
        <v>2019-11-06</v>
      </c>
      <c r="J1398" s="23" t="str">
        <f t="shared" si="149"/>
        <v>43</v>
      </c>
      <c r="K1398" t="str">
        <f t="shared" si="150"/>
        <v>yes</v>
      </c>
      <c r="L1398">
        <v>43</v>
      </c>
      <c r="M1398" t="str">
        <f t="shared" si="151"/>
        <v>2019-11-06</v>
      </c>
      <c r="N1398" s="20">
        <f t="shared" si="152"/>
        <v>43776</v>
      </c>
      <c r="O1398" t="str">
        <f t="shared" si="153"/>
        <v>2019-11-07</v>
      </c>
    </row>
    <row r="1399" spans="1:15" x14ac:dyDescent="0.2">
      <c r="A1399" s="21" t="str">
        <f t="shared" si="147"/>
        <v>y</v>
      </c>
      <c r="B1399" s="24">
        <v>43627</v>
      </c>
      <c r="C1399" t="s">
        <v>540</v>
      </c>
      <c r="D1399" t="s">
        <v>13</v>
      </c>
      <c r="E1399" t="s">
        <v>27</v>
      </c>
      <c r="F1399" t="s">
        <v>29</v>
      </c>
      <c r="G1399" t="s">
        <v>688</v>
      </c>
      <c r="H1399" t="s">
        <v>2046</v>
      </c>
      <c r="I1399" s="22" t="str">
        <f t="shared" si="148"/>
        <v>2019-11-06</v>
      </c>
      <c r="J1399" s="23" t="str">
        <f t="shared" si="149"/>
        <v>43</v>
      </c>
      <c r="K1399" t="str">
        <f t="shared" si="150"/>
        <v>yes</v>
      </c>
      <c r="L1399">
        <v>43</v>
      </c>
      <c r="M1399" t="str">
        <f t="shared" si="151"/>
        <v>2019-11-06</v>
      </c>
      <c r="N1399" s="20" t="str">
        <f t="shared" si="152"/>
        <v>2019-11-06</v>
      </c>
      <c r="O1399" t="str">
        <f t="shared" si="153"/>
        <v>2019-11-06</v>
      </c>
    </row>
    <row r="1400" spans="1:15" x14ac:dyDescent="0.2">
      <c r="A1400" s="21" t="str">
        <f t="shared" si="147"/>
        <v>y</v>
      </c>
      <c r="B1400" s="24">
        <v>43627</v>
      </c>
      <c r="C1400" t="s">
        <v>687</v>
      </c>
      <c r="D1400" t="s">
        <v>13</v>
      </c>
      <c r="E1400" t="s">
        <v>27</v>
      </c>
      <c r="F1400" t="s">
        <v>29</v>
      </c>
      <c r="G1400" t="s">
        <v>690</v>
      </c>
      <c r="H1400" t="s">
        <v>2051</v>
      </c>
      <c r="I1400" s="22" t="str">
        <f t="shared" si="148"/>
        <v>2019-11-06</v>
      </c>
      <c r="J1400" s="23" t="str">
        <f t="shared" si="149"/>
        <v>43</v>
      </c>
      <c r="K1400" t="str">
        <f t="shared" si="150"/>
        <v>yes</v>
      </c>
      <c r="L1400">
        <v>43</v>
      </c>
      <c r="M1400" t="str">
        <f t="shared" si="151"/>
        <v>2019-11-06</v>
      </c>
      <c r="N1400" s="20" t="str">
        <f t="shared" si="152"/>
        <v>2019-11-06</v>
      </c>
      <c r="O1400" t="str">
        <f t="shared" si="153"/>
        <v>2019-11-06</v>
      </c>
    </row>
    <row r="1401" spans="1:15" x14ac:dyDescent="0.2">
      <c r="A1401" s="21" t="str">
        <f t="shared" si="147"/>
        <v>y</v>
      </c>
      <c r="B1401" s="24">
        <v>43596</v>
      </c>
      <c r="C1401" t="s">
        <v>345</v>
      </c>
      <c r="D1401" t="s">
        <v>13</v>
      </c>
      <c r="E1401" t="s">
        <v>4</v>
      </c>
      <c r="F1401" t="s">
        <v>29</v>
      </c>
      <c r="G1401" t="s">
        <v>683</v>
      </c>
      <c r="H1401" t="s">
        <v>2019</v>
      </c>
      <c r="I1401" s="22" t="str">
        <f t="shared" si="148"/>
        <v>2019-11-05</v>
      </c>
      <c r="J1401" s="23" t="str">
        <f t="shared" si="149"/>
        <v>43</v>
      </c>
      <c r="K1401" t="str">
        <f t="shared" si="150"/>
        <v>yes</v>
      </c>
      <c r="L1401">
        <v>43</v>
      </c>
      <c r="M1401" t="str">
        <f t="shared" si="151"/>
        <v>2019-11-05</v>
      </c>
      <c r="N1401" s="20" t="str">
        <f t="shared" si="152"/>
        <v>2019-11-05</v>
      </c>
      <c r="O1401" t="str">
        <f t="shared" si="153"/>
        <v>2019-11-05</v>
      </c>
    </row>
    <row r="1402" spans="1:15" x14ac:dyDescent="0.2">
      <c r="A1402" s="21" t="str">
        <f t="shared" si="147"/>
        <v>y</v>
      </c>
      <c r="B1402" s="24">
        <v>43596</v>
      </c>
      <c r="C1402" t="s">
        <v>345</v>
      </c>
      <c r="D1402" t="s">
        <v>13</v>
      </c>
      <c r="E1402" t="s">
        <v>27</v>
      </c>
      <c r="F1402" t="s">
        <v>2</v>
      </c>
      <c r="G1402" t="s">
        <v>684</v>
      </c>
      <c r="H1402" t="s">
        <v>2052</v>
      </c>
      <c r="I1402" s="22" t="str">
        <f t="shared" si="148"/>
        <v>2019-11-05</v>
      </c>
      <c r="J1402" s="23" t="str">
        <f t="shared" si="149"/>
        <v>43</v>
      </c>
      <c r="K1402" t="str">
        <f t="shared" si="150"/>
        <v>yes</v>
      </c>
      <c r="L1402">
        <v>43</v>
      </c>
      <c r="M1402" t="str">
        <f t="shared" si="151"/>
        <v>2019-11-05</v>
      </c>
      <c r="N1402" s="20">
        <f t="shared" si="152"/>
        <v>43775</v>
      </c>
      <c r="O1402" t="str">
        <f t="shared" si="153"/>
        <v>2019-11-06</v>
      </c>
    </row>
    <row r="1403" spans="1:15" x14ac:dyDescent="0.2">
      <c r="A1403" s="21" t="str">
        <f t="shared" si="147"/>
        <v>y</v>
      </c>
      <c r="B1403" s="24">
        <v>43596</v>
      </c>
      <c r="C1403" t="s">
        <v>662</v>
      </c>
      <c r="D1403" t="s">
        <v>13</v>
      </c>
      <c r="E1403" t="s">
        <v>27</v>
      </c>
      <c r="F1403" t="s">
        <v>2</v>
      </c>
      <c r="H1403" t="s">
        <v>2046</v>
      </c>
      <c r="I1403" s="22" t="str">
        <f t="shared" si="148"/>
        <v>2019-11-05</v>
      </c>
      <c r="J1403" s="23" t="str">
        <f t="shared" si="149"/>
        <v>43</v>
      </c>
      <c r="K1403" t="str">
        <f t="shared" si="150"/>
        <v>yes</v>
      </c>
      <c r="L1403">
        <v>43</v>
      </c>
      <c r="M1403" t="str">
        <f t="shared" si="151"/>
        <v>2019-11-05</v>
      </c>
      <c r="N1403" s="20">
        <f t="shared" si="152"/>
        <v>43775</v>
      </c>
      <c r="O1403" t="str">
        <f t="shared" si="153"/>
        <v>2019-11-06</v>
      </c>
    </row>
    <row r="1404" spans="1:15" x14ac:dyDescent="0.2">
      <c r="A1404" s="21" t="str">
        <f t="shared" si="147"/>
        <v>y</v>
      </c>
      <c r="B1404" s="24">
        <v>43596</v>
      </c>
      <c r="C1404" t="s">
        <v>677</v>
      </c>
      <c r="D1404" t="s">
        <v>13</v>
      </c>
      <c r="E1404" t="s">
        <v>27</v>
      </c>
      <c r="F1404" t="s">
        <v>2</v>
      </c>
      <c r="G1404" t="s">
        <v>685</v>
      </c>
      <c r="H1404" t="s">
        <v>2051</v>
      </c>
      <c r="I1404" s="22" t="str">
        <f t="shared" si="148"/>
        <v>2019-11-05</v>
      </c>
      <c r="J1404" s="23" t="str">
        <f t="shared" si="149"/>
        <v>43</v>
      </c>
      <c r="K1404" t="str">
        <f t="shared" si="150"/>
        <v>yes</v>
      </c>
      <c r="L1404">
        <v>43</v>
      </c>
      <c r="M1404" t="str">
        <f t="shared" si="151"/>
        <v>2019-11-05</v>
      </c>
      <c r="N1404" s="20">
        <f t="shared" si="152"/>
        <v>43775</v>
      </c>
      <c r="O1404" t="str">
        <f t="shared" si="153"/>
        <v>2019-11-06</v>
      </c>
    </row>
    <row r="1405" spans="1:15" x14ac:dyDescent="0.2">
      <c r="A1405" s="21" t="str">
        <f t="shared" si="147"/>
        <v>y</v>
      </c>
      <c r="B1405" s="24">
        <v>43596</v>
      </c>
      <c r="C1405" t="s">
        <v>32</v>
      </c>
      <c r="D1405" t="s">
        <v>13</v>
      </c>
      <c r="E1405" t="s">
        <v>28</v>
      </c>
      <c r="F1405" t="s">
        <v>2</v>
      </c>
      <c r="H1405" t="s">
        <v>2019</v>
      </c>
      <c r="I1405" s="22" t="str">
        <f t="shared" si="148"/>
        <v>2019-11-05</v>
      </c>
      <c r="J1405" s="23" t="str">
        <f t="shared" si="149"/>
        <v>43</v>
      </c>
      <c r="K1405" t="str">
        <f t="shared" si="150"/>
        <v>yes</v>
      </c>
      <c r="L1405">
        <v>43</v>
      </c>
      <c r="M1405" t="str">
        <f t="shared" si="151"/>
        <v>2019-11-05</v>
      </c>
      <c r="N1405" s="20">
        <f t="shared" si="152"/>
        <v>43775</v>
      </c>
      <c r="O1405" t="str">
        <f t="shared" si="153"/>
        <v>2019-11-06</v>
      </c>
    </row>
    <row r="1406" spans="1:15" x14ac:dyDescent="0.2">
      <c r="A1406" s="21" t="str">
        <f t="shared" si="147"/>
        <v>y</v>
      </c>
      <c r="B1406" s="24">
        <v>43596</v>
      </c>
      <c r="C1406" t="s">
        <v>151</v>
      </c>
      <c r="D1406" t="s">
        <v>13</v>
      </c>
      <c r="E1406" t="s">
        <v>27</v>
      </c>
      <c r="F1406" t="s">
        <v>29</v>
      </c>
      <c r="G1406" t="s">
        <v>686</v>
      </c>
      <c r="H1406" t="s">
        <v>2046</v>
      </c>
      <c r="I1406" s="22" t="str">
        <f t="shared" si="148"/>
        <v>2019-11-05</v>
      </c>
      <c r="J1406" s="23" t="str">
        <f t="shared" si="149"/>
        <v>43</v>
      </c>
      <c r="K1406" t="str">
        <f t="shared" si="150"/>
        <v>yes</v>
      </c>
      <c r="L1406">
        <v>43</v>
      </c>
      <c r="M1406" t="str">
        <f t="shared" si="151"/>
        <v>2019-11-05</v>
      </c>
      <c r="N1406" s="20" t="str">
        <f t="shared" si="152"/>
        <v>2019-11-05</v>
      </c>
      <c r="O1406" t="str">
        <f t="shared" si="153"/>
        <v>2019-11-05</v>
      </c>
    </row>
    <row r="1407" spans="1:15" x14ac:dyDescent="0.2">
      <c r="A1407" s="21" t="str">
        <f t="shared" si="147"/>
        <v>y</v>
      </c>
      <c r="B1407" s="24">
        <v>43566</v>
      </c>
      <c r="C1407" t="s">
        <v>345</v>
      </c>
      <c r="D1407" t="s">
        <v>13</v>
      </c>
      <c r="E1407" t="s">
        <v>27</v>
      </c>
      <c r="F1407" t="s">
        <v>2</v>
      </c>
      <c r="G1407" t="s">
        <v>682</v>
      </c>
      <c r="H1407" t="s">
        <v>2054</v>
      </c>
      <c r="I1407" s="22" t="str">
        <f t="shared" si="148"/>
        <v>2019-11-04</v>
      </c>
      <c r="J1407" s="23" t="str">
        <f t="shared" si="149"/>
        <v>43</v>
      </c>
      <c r="K1407" t="str">
        <f t="shared" si="150"/>
        <v>yes</v>
      </c>
      <c r="L1407">
        <v>43</v>
      </c>
      <c r="M1407" t="str">
        <f t="shared" si="151"/>
        <v>2019-11-04</v>
      </c>
      <c r="N1407" s="20">
        <f t="shared" si="152"/>
        <v>43774</v>
      </c>
      <c r="O1407" t="str">
        <f t="shared" si="153"/>
        <v>2019-11-05</v>
      </c>
    </row>
    <row r="1408" spans="1:15" x14ac:dyDescent="0.2">
      <c r="A1408" s="21" t="str">
        <f t="shared" si="147"/>
        <v>y</v>
      </c>
      <c r="B1408" s="24">
        <v>43566</v>
      </c>
      <c r="C1408" t="s">
        <v>677</v>
      </c>
      <c r="D1408" t="s">
        <v>13</v>
      </c>
      <c r="E1408" t="s">
        <v>27</v>
      </c>
      <c r="F1408" t="s">
        <v>2</v>
      </c>
      <c r="G1408" t="s">
        <v>680</v>
      </c>
      <c r="H1408" t="s">
        <v>2055</v>
      </c>
      <c r="I1408" s="22" t="str">
        <f t="shared" si="148"/>
        <v>2019-11-04</v>
      </c>
      <c r="J1408" s="23" t="str">
        <f t="shared" si="149"/>
        <v>43</v>
      </c>
      <c r="K1408" t="str">
        <f t="shared" si="150"/>
        <v>yes</v>
      </c>
      <c r="L1408">
        <v>43</v>
      </c>
      <c r="M1408" t="str">
        <f t="shared" si="151"/>
        <v>2019-11-04</v>
      </c>
      <c r="N1408" s="20">
        <f t="shared" si="152"/>
        <v>43774</v>
      </c>
      <c r="O1408" t="str">
        <f t="shared" si="153"/>
        <v>2019-11-05</v>
      </c>
    </row>
    <row r="1409" spans="1:15" x14ac:dyDescent="0.2">
      <c r="A1409" s="21" t="str">
        <f t="shared" si="147"/>
        <v>y</v>
      </c>
      <c r="B1409" s="24">
        <v>43566</v>
      </c>
      <c r="C1409" t="s">
        <v>32</v>
      </c>
      <c r="D1409" t="s">
        <v>13</v>
      </c>
      <c r="E1409" t="s">
        <v>28</v>
      </c>
      <c r="F1409" t="s">
        <v>2</v>
      </c>
      <c r="G1409" t="s">
        <v>681</v>
      </c>
      <c r="H1409" t="s">
        <v>2054</v>
      </c>
      <c r="I1409" s="22" t="str">
        <f t="shared" si="148"/>
        <v>2019-11-04</v>
      </c>
      <c r="J1409" s="23" t="str">
        <f t="shared" si="149"/>
        <v>43</v>
      </c>
      <c r="K1409" t="str">
        <f t="shared" si="150"/>
        <v>yes</v>
      </c>
      <c r="L1409">
        <v>43</v>
      </c>
      <c r="M1409" t="str">
        <f t="shared" si="151"/>
        <v>2019-11-04</v>
      </c>
      <c r="N1409" s="20">
        <f t="shared" si="152"/>
        <v>43774</v>
      </c>
      <c r="O1409" t="str">
        <f t="shared" si="153"/>
        <v>2019-11-05</v>
      </c>
    </row>
    <row r="1410" spans="1:15" x14ac:dyDescent="0.2">
      <c r="A1410" s="21" t="str">
        <f t="shared" si="147"/>
        <v>y</v>
      </c>
      <c r="B1410" s="24">
        <v>43566</v>
      </c>
      <c r="C1410" t="s">
        <v>662</v>
      </c>
      <c r="D1410" t="s">
        <v>13</v>
      </c>
      <c r="E1410" t="s">
        <v>27</v>
      </c>
      <c r="F1410" t="s">
        <v>29</v>
      </c>
      <c r="G1410" t="s">
        <v>679</v>
      </c>
      <c r="H1410" t="s">
        <v>2054</v>
      </c>
      <c r="I1410" s="22" t="str">
        <f t="shared" si="148"/>
        <v>2019-11-04</v>
      </c>
      <c r="J1410" s="23" t="str">
        <f t="shared" si="149"/>
        <v>43</v>
      </c>
      <c r="K1410" t="str">
        <f t="shared" si="150"/>
        <v>yes</v>
      </c>
      <c r="L1410">
        <v>43</v>
      </c>
      <c r="M1410" t="str">
        <f t="shared" si="151"/>
        <v>2019-11-04</v>
      </c>
      <c r="N1410" s="20" t="str">
        <f t="shared" si="152"/>
        <v>2019-11-04</v>
      </c>
      <c r="O1410" t="str">
        <f t="shared" si="153"/>
        <v>2019-11-04</v>
      </c>
    </row>
    <row r="1411" spans="1:15" x14ac:dyDescent="0.2">
      <c r="A1411" s="21" t="str">
        <f t="shared" si="147"/>
        <v>y</v>
      </c>
      <c r="B1411" s="24">
        <v>43535</v>
      </c>
      <c r="C1411" t="s">
        <v>345</v>
      </c>
      <c r="D1411" t="s">
        <v>13</v>
      </c>
      <c r="E1411" t="s">
        <v>27</v>
      </c>
      <c r="F1411" t="s">
        <v>2</v>
      </c>
      <c r="H1411" t="s">
        <v>2056</v>
      </c>
      <c r="I1411" s="22" t="str">
        <f t="shared" si="148"/>
        <v>2019-11-03</v>
      </c>
      <c r="J1411" s="23" t="str">
        <f t="shared" si="149"/>
        <v>43</v>
      </c>
      <c r="K1411" t="str">
        <f t="shared" si="150"/>
        <v>yes</v>
      </c>
      <c r="L1411">
        <v>43</v>
      </c>
      <c r="M1411" t="str">
        <f t="shared" si="151"/>
        <v>2019-11-03</v>
      </c>
      <c r="N1411" s="20">
        <f t="shared" si="152"/>
        <v>43773</v>
      </c>
      <c r="O1411" t="str">
        <f t="shared" si="153"/>
        <v>2019-11-04</v>
      </c>
    </row>
    <row r="1412" spans="1:15" x14ac:dyDescent="0.2">
      <c r="A1412" s="21" t="str">
        <f t="shared" ref="A1412:A1475" si="154">IF(LEFT(B1412,2)&gt;12,"y","-")</f>
        <v>y</v>
      </c>
      <c r="B1412" s="24">
        <v>43535</v>
      </c>
      <c r="C1412" t="s">
        <v>677</v>
      </c>
      <c r="D1412" t="s">
        <v>13</v>
      </c>
      <c r="E1412" t="s">
        <v>27</v>
      </c>
      <c r="F1412" t="s">
        <v>2</v>
      </c>
      <c r="H1412" t="s">
        <v>2057</v>
      </c>
      <c r="I1412" s="22" t="str">
        <f t="shared" ref="I1412:I1475" si="155">IF(K1412="yes",TEXT(B1412,"YYYY-DD-MM"),TEXT(B1412,"YYYY-MM-DD"))</f>
        <v>2019-11-03</v>
      </c>
      <c r="J1412" s="23" t="str">
        <f t="shared" ref="J1412:J1475" si="156">LEFT(B1412,2)</f>
        <v>43</v>
      </c>
      <c r="K1412" t="str">
        <f t="shared" ref="K1412:K1475" si="157">IF(L1412&gt;31,"yes","no")</f>
        <v>yes</v>
      </c>
      <c r="L1412">
        <v>43</v>
      </c>
      <c r="M1412" t="str">
        <f t="shared" ref="M1412:M1475" si="158">I1412</f>
        <v>2019-11-03</v>
      </c>
      <c r="N1412" s="20">
        <f t="shared" ref="N1412:N1475" si="159">IF(F1412="DONE",M1412,M1412+1)</f>
        <v>43773</v>
      </c>
      <c r="O1412" t="str">
        <f t="shared" ref="O1412:O1475" si="160">TEXT(N1412,"YYYY-MM-DD")</f>
        <v>2019-11-04</v>
      </c>
    </row>
    <row r="1413" spans="1:15" x14ac:dyDescent="0.2">
      <c r="A1413" s="21" t="str">
        <f t="shared" si="154"/>
        <v>y</v>
      </c>
      <c r="B1413" s="24">
        <v>43535</v>
      </c>
      <c r="C1413" t="s">
        <v>32</v>
      </c>
      <c r="D1413" t="s">
        <v>13</v>
      </c>
      <c r="E1413" t="s">
        <v>49</v>
      </c>
      <c r="F1413" t="s">
        <v>2</v>
      </c>
      <c r="G1413" t="s">
        <v>678</v>
      </c>
      <c r="H1413" t="s">
        <v>2052</v>
      </c>
      <c r="I1413" s="22" t="str">
        <f t="shared" si="155"/>
        <v>2019-11-03</v>
      </c>
      <c r="J1413" s="23" t="str">
        <f t="shared" si="156"/>
        <v>43</v>
      </c>
      <c r="K1413" t="str">
        <f t="shared" si="157"/>
        <v>yes</v>
      </c>
      <c r="L1413">
        <v>43</v>
      </c>
      <c r="M1413" t="str">
        <f t="shared" si="158"/>
        <v>2019-11-03</v>
      </c>
      <c r="N1413" s="20">
        <f t="shared" si="159"/>
        <v>43773</v>
      </c>
      <c r="O1413" t="str">
        <f t="shared" si="160"/>
        <v>2019-11-04</v>
      </c>
    </row>
    <row r="1414" spans="1:15" x14ac:dyDescent="0.2">
      <c r="A1414" s="21" t="str">
        <f t="shared" si="154"/>
        <v>y</v>
      </c>
      <c r="B1414" s="24" t="s">
        <v>1804</v>
      </c>
      <c r="C1414" t="s">
        <v>616</v>
      </c>
      <c r="D1414" t="s">
        <v>13</v>
      </c>
      <c r="E1414" t="s">
        <v>27</v>
      </c>
      <c r="F1414" t="s">
        <v>29</v>
      </c>
      <c r="G1414" t="s">
        <v>674</v>
      </c>
      <c r="H1414" t="s">
        <v>2058</v>
      </c>
      <c r="I1414" s="22" t="str">
        <f t="shared" si="155"/>
        <v>2019-10-31</v>
      </c>
      <c r="J1414" s="23" t="str">
        <f t="shared" si="156"/>
        <v>31</v>
      </c>
      <c r="K1414" t="str">
        <f t="shared" si="157"/>
        <v>no</v>
      </c>
      <c r="L1414">
        <v>31</v>
      </c>
      <c r="M1414" t="str">
        <f t="shared" si="158"/>
        <v>2019-10-31</v>
      </c>
      <c r="N1414" s="20" t="str">
        <f t="shared" si="159"/>
        <v>2019-10-31</v>
      </c>
      <c r="O1414" t="str">
        <f t="shared" si="160"/>
        <v>2019-10-31</v>
      </c>
    </row>
    <row r="1415" spans="1:15" x14ac:dyDescent="0.2">
      <c r="A1415" s="21" t="str">
        <f t="shared" si="154"/>
        <v>y</v>
      </c>
      <c r="B1415" s="24" t="s">
        <v>1804</v>
      </c>
      <c r="C1415" t="s">
        <v>297</v>
      </c>
      <c r="D1415" t="s">
        <v>13</v>
      </c>
      <c r="E1415" t="s">
        <v>27</v>
      </c>
      <c r="F1415" t="s">
        <v>29</v>
      </c>
      <c r="G1415" t="s">
        <v>673</v>
      </c>
      <c r="H1415" t="s">
        <v>2052</v>
      </c>
      <c r="I1415" s="22" t="str">
        <f t="shared" si="155"/>
        <v>2019-10-31</v>
      </c>
      <c r="J1415" s="23" t="str">
        <f t="shared" si="156"/>
        <v>31</v>
      </c>
      <c r="K1415" t="str">
        <f t="shared" si="157"/>
        <v>no</v>
      </c>
      <c r="L1415">
        <v>31</v>
      </c>
      <c r="M1415" t="str">
        <f t="shared" si="158"/>
        <v>2019-10-31</v>
      </c>
      <c r="N1415" s="20" t="str">
        <f t="shared" si="159"/>
        <v>2019-10-31</v>
      </c>
      <c r="O1415" t="str">
        <f t="shared" si="160"/>
        <v>2019-10-31</v>
      </c>
    </row>
    <row r="1416" spans="1:15" x14ac:dyDescent="0.2">
      <c r="A1416" s="21" t="str">
        <f t="shared" si="154"/>
        <v>y</v>
      </c>
      <c r="B1416" s="24" t="s">
        <v>1804</v>
      </c>
      <c r="C1416" t="s">
        <v>616</v>
      </c>
      <c r="D1416" t="s">
        <v>13</v>
      </c>
      <c r="E1416" t="s">
        <v>27</v>
      </c>
      <c r="F1416" t="s">
        <v>29</v>
      </c>
      <c r="G1416" t="s">
        <v>675</v>
      </c>
      <c r="H1416" t="s">
        <v>2056</v>
      </c>
      <c r="I1416" s="22" t="str">
        <f t="shared" si="155"/>
        <v>2019-10-31</v>
      </c>
      <c r="J1416" s="23" t="str">
        <f t="shared" si="156"/>
        <v>31</v>
      </c>
      <c r="K1416" t="str">
        <f t="shared" si="157"/>
        <v>no</v>
      </c>
      <c r="L1416">
        <v>31</v>
      </c>
      <c r="M1416" t="str">
        <f t="shared" si="158"/>
        <v>2019-10-31</v>
      </c>
      <c r="N1416" s="20" t="str">
        <f t="shared" si="159"/>
        <v>2019-10-31</v>
      </c>
      <c r="O1416" t="str">
        <f t="shared" si="160"/>
        <v>2019-10-31</v>
      </c>
    </row>
    <row r="1417" spans="1:15" x14ac:dyDescent="0.2">
      <c r="A1417" s="21" t="str">
        <f t="shared" si="154"/>
        <v>y</v>
      </c>
      <c r="B1417" s="24" t="s">
        <v>1804</v>
      </c>
      <c r="C1417" t="s">
        <v>616</v>
      </c>
      <c r="D1417" t="s">
        <v>13</v>
      </c>
      <c r="E1417" t="s">
        <v>27</v>
      </c>
      <c r="F1417" t="s">
        <v>29</v>
      </c>
      <c r="G1417" t="s">
        <v>676</v>
      </c>
      <c r="H1417" t="s">
        <v>2059</v>
      </c>
      <c r="I1417" s="22" t="str">
        <f t="shared" si="155"/>
        <v>2019-10-31</v>
      </c>
      <c r="J1417" s="23" t="str">
        <f t="shared" si="156"/>
        <v>31</v>
      </c>
      <c r="K1417" t="str">
        <f t="shared" si="157"/>
        <v>no</v>
      </c>
      <c r="L1417">
        <v>31</v>
      </c>
      <c r="M1417" t="str">
        <f t="shared" si="158"/>
        <v>2019-10-31</v>
      </c>
      <c r="N1417" s="20" t="str">
        <f t="shared" si="159"/>
        <v>2019-10-31</v>
      </c>
      <c r="O1417" t="str">
        <f t="shared" si="160"/>
        <v>2019-10-31</v>
      </c>
    </row>
    <row r="1418" spans="1:15" x14ac:dyDescent="0.2">
      <c r="A1418" s="21" t="str">
        <f t="shared" si="154"/>
        <v>y</v>
      </c>
      <c r="B1418" s="24" t="s">
        <v>1805</v>
      </c>
      <c r="C1418" t="s">
        <v>658</v>
      </c>
      <c r="D1418" t="s">
        <v>13</v>
      </c>
      <c r="E1418" t="s">
        <v>27</v>
      </c>
      <c r="F1418" t="s">
        <v>29</v>
      </c>
      <c r="G1418" t="s">
        <v>671</v>
      </c>
      <c r="H1418" t="s">
        <v>2058</v>
      </c>
      <c r="I1418" s="22" t="str">
        <f t="shared" si="155"/>
        <v>2019-10-30</v>
      </c>
      <c r="J1418" s="23" t="str">
        <f t="shared" si="156"/>
        <v>30</v>
      </c>
      <c r="K1418" t="str">
        <f t="shared" si="157"/>
        <v>no</v>
      </c>
      <c r="L1418">
        <v>30</v>
      </c>
      <c r="M1418" t="str">
        <f t="shared" si="158"/>
        <v>2019-10-30</v>
      </c>
      <c r="N1418" s="20" t="str">
        <f t="shared" si="159"/>
        <v>2019-10-30</v>
      </c>
      <c r="O1418" t="str">
        <f t="shared" si="160"/>
        <v>2019-10-30</v>
      </c>
    </row>
    <row r="1419" spans="1:15" x14ac:dyDescent="0.2">
      <c r="A1419" s="21" t="str">
        <f t="shared" si="154"/>
        <v>y</v>
      </c>
      <c r="B1419" s="24" t="s">
        <v>1805</v>
      </c>
      <c r="C1419" t="s">
        <v>662</v>
      </c>
      <c r="D1419" t="s">
        <v>13</v>
      </c>
      <c r="E1419" t="s">
        <v>27</v>
      </c>
      <c r="F1419" t="s">
        <v>29</v>
      </c>
      <c r="G1419" t="s">
        <v>672</v>
      </c>
      <c r="H1419" t="s">
        <v>2052</v>
      </c>
      <c r="I1419" s="22" t="str">
        <f t="shared" si="155"/>
        <v>2019-10-30</v>
      </c>
      <c r="J1419" s="23" t="str">
        <f t="shared" si="156"/>
        <v>30</v>
      </c>
      <c r="K1419" t="str">
        <f t="shared" si="157"/>
        <v>no</v>
      </c>
      <c r="L1419">
        <v>30</v>
      </c>
      <c r="M1419" t="str">
        <f t="shared" si="158"/>
        <v>2019-10-30</v>
      </c>
      <c r="N1419" s="20" t="str">
        <f t="shared" si="159"/>
        <v>2019-10-30</v>
      </c>
      <c r="O1419" t="str">
        <f t="shared" si="160"/>
        <v>2019-10-30</v>
      </c>
    </row>
    <row r="1420" spans="1:15" x14ac:dyDescent="0.2">
      <c r="A1420" s="21" t="str">
        <f t="shared" si="154"/>
        <v>y</v>
      </c>
      <c r="B1420" s="24" t="s">
        <v>1805</v>
      </c>
      <c r="C1420" t="s">
        <v>365</v>
      </c>
      <c r="D1420" t="s">
        <v>13</v>
      </c>
      <c r="E1420" t="s">
        <v>8</v>
      </c>
      <c r="F1420" t="s">
        <v>29</v>
      </c>
      <c r="G1420" t="s">
        <v>670</v>
      </c>
      <c r="H1420" t="s">
        <v>2056</v>
      </c>
      <c r="I1420" s="22" t="str">
        <f t="shared" si="155"/>
        <v>2019-10-30</v>
      </c>
      <c r="J1420" s="23" t="str">
        <f t="shared" si="156"/>
        <v>30</v>
      </c>
      <c r="K1420" t="str">
        <f t="shared" si="157"/>
        <v>no</v>
      </c>
      <c r="L1420">
        <v>30</v>
      </c>
      <c r="M1420" t="str">
        <f t="shared" si="158"/>
        <v>2019-10-30</v>
      </c>
      <c r="N1420" s="20" t="str">
        <f t="shared" si="159"/>
        <v>2019-10-30</v>
      </c>
      <c r="O1420" t="str">
        <f t="shared" si="160"/>
        <v>2019-10-30</v>
      </c>
    </row>
    <row r="1421" spans="1:15" x14ac:dyDescent="0.2">
      <c r="A1421" s="21" t="str">
        <f t="shared" si="154"/>
        <v>y</v>
      </c>
      <c r="B1421" s="24" t="s">
        <v>1806</v>
      </c>
      <c r="C1421" t="s">
        <v>658</v>
      </c>
      <c r="D1421" t="s">
        <v>13</v>
      </c>
      <c r="E1421" t="s">
        <v>27</v>
      </c>
      <c r="F1421" t="s">
        <v>2</v>
      </c>
      <c r="G1421" t="s">
        <v>667</v>
      </c>
      <c r="H1421" t="s">
        <v>2057</v>
      </c>
      <c r="I1421" s="22" t="str">
        <f t="shared" si="155"/>
        <v>2019-10-29</v>
      </c>
      <c r="J1421" s="23" t="str">
        <f t="shared" si="156"/>
        <v>29</v>
      </c>
      <c r="K1421" t="str">
        <f t="shared" si="157"/>
        <v>no</v>
      </c>
      <c r="L1421">
        <v>29</v>
      </c>
      <c r="M1421" t="str">
        <f t="shared" si="158"/>
        <v>2019-10-29</v>
      </c>
      <c r="N1421" s="20">
        <f t="shared" si="159"/>
        <v>43768</v>
      </c>
      <c r="O1421" t="str">
        <f t="shared" si="160"/>
        <v>2019-10-30</v>
      </c>
    </row>
    <row r="1422" spans="1:15" x14ac:dyDescent="0.2">
      <c r="A1422" s="21" t="str">
        <f t="shared" si="154"/>
        <v>y</v>
      </c>
      <c r="B1422" s="24" t="s">
        <v>1806</v>
      </c>
      <c r="C1422" t="s">
        <v>662</v>
      </c>
      <c r="D1422" t="s">
        <v>13</v>
      </c>
      <c r="E1422" t="s">
        <v>27</v>
      </c>
      <c r="F1422" t="s">
        <v>2</v>
      </c>
      <c r="G1422" t="s">
        <v>668</v>
      </c>
      <c r="H1422" t="s">
        <v>2026</v>
      </c>
      <c r="I1422" s="22" t="str">
        <f t="shared" si="155"/>
        <v>2019-10-29</v>
      </c>
      <c r="J1422" s="23" t="str">
        <f t="shared" si="156"/>
        <v>29</v>
      </c>
      <c r="K1422" t="str">
        <f t="shared" si="157"/>
        <v>no</v>
      </c>
      <c r="L1422">
        <v>29</v>
      </c>
      <c r="M1422" t="str">
        <f t="shared" si="158"/>
        <v>2019-10-29</v>
      </c>
      <c r="N1422" s="20">
        <f t="shared" si="159"/>
        <v>43768</v>
      </c>
      <c r="O1422" t="str">
        <f t="shared" si="160"/>
        <v>2019-10-30</v>
      </c>
    </row>
    <row r="1423" spans="1:15" x14ac:dyDescent="0.2">
      <c r="A1423" s="21" t="str">
        <f t="shared" si="154"/>
        <v>y</v>
      </c>
      <c r="B1423" s="24" t="s">
        <v>1806</v>
      </c>
      <c r="C1423" t="s">
        <v>654</v>
      </c>
      <c r="D1423" t="s">
        <v>13</v>
      </c>
      <c r="E1423" t="s">
        <v>27</v>
      </c>
      <c r="F1423" t="s">
        <v>29</v>
      </c>
      <c r="G1423" t="s">
        <v>669</v>
      </c>
      <c r="H1423" t="s">
        <v>2058</v>
      </c>
      <c r="I1423" s="22" t="str">
        <f t="shared" si="155"/>
        <v>2019-10-29</v>
      </c>
      <c r="J1423" s="23" t="str">
        <f t="shared" si="156"/>
        <v>29</v>
      </c>
      <c r="K1423" t="str">
        <f t="shared" si="157"/>
        <v>no</v>
      </c>
      <c r="L1423">
        <v>29</v>
      </c>
      <c r="M1423" t="str">
        <f t="shared" si="158"/>
        <v>2019-10-29</v>
      </c>
      <c r="N1423" s="20" t="str">
        <f t="shared" si="159"/>
        <v>2019-10-29</v>
      </c>
      <c r="O1423" t="str">
        <f t="shared" si="160"/>
        <v>2019-10-29</v>
      </c>
    </row>
    <row r="1424" spans="1:15" x14ac:dyDescent="0.2">
      <c r="A1424" s="21" t="str">
        <f t="shared" si="154"/>
        <v>y</v>
      </c>
      <c r="B1424" s="24" t="s">
        <v>1807</v>
      </c>
      <c r="C1424" t="s">
        <v>658</v>
      </c>
      <c r="D1424" t="s">
        <v>13</v>
      </c>
      <c r="E1424" t="s">
        <v>27</v>
      </c>
      <c r="F1424" t="s">
        <v>2</v>
      </c>
      <c r="G1424" t="s">
        <v>665</v>
      </c>
      <c r="H1424" t="s">
        <v>2052</v>
      </c>
      <c r="I1424" s="22" t="str">
        <f t="shared" si="155"/>
        <v>2019-10-28</v>
      </c>
      <c r="J1424" s="23" t="str">
        <f t="shared" si="156"/>
        <v>28</v>
      </c>
      <c r="K1424" t="str">
        <f t="shared" si="157"/>
        <v>no</v>
      </c>
      <c r="L1424">
        <v>28</v>
      </c>
      <c r="M1424" t="str">
        <f t="shared" si="158"/>
        <v>2019-10-28</v>
      </c>
      <c r="N1424" s="20">
        <f t="shared" si="159"/>
        <v>43767</v>
      </c>
      <c r="O1424" t="str">
        <f t="shared" si="160"/>
        <v>2019-10-29</v>
      </c>
    </row>
    <row r="1425" spans="1:15" x14ac:dyDescent="0.2">
      <c r="A1425" s="21" t="str">
        <f t="shared" si="154"/>
        <v>y</v>
      </c>
      <c r="B1425" s="24" t="s">
        <v>1807</v>
      </c>
      <c r="C1425" t="s">
        <v>662</v>
      </c>
      <c r="D1425" t="s">
        <v>13</v>
      </c>
      <c r="E1425" t="s">
        <v>27</v>
      </c>
      <c r="F1425" t="s">
        <v>2</v>
      </c>
      <c r="H1425" t="s">
        <v>2056</v>
      </c>
      <c r="I1425" s="22" t="str">
        <f t="shared" si="155"/>
        <v>2019-10-28</v>
      </c>
      <c r="J1425" s="23" t="str">
        <f t="shared" si="156"/>
        <v>28</v>
      </c>
      <c r="K1425" t="str">
        <f t="shared" si="157"/>
        <v>no</v>
      </c>
      <c r="L1425">
        <v>28</v>
      </c>
      <c r="M1425" t="str">
        <f t="shared" si="158"/>
        <v>2019-10-28</v>
      </c>
      <c r="N1425" s="20">
        <f t="shared" si="159"/>
        <v>43767</v>
      </c>
      <c r="O1425" t="str">
        <f t="shared" si="160"/>
        <v>2019-10-29</v>
      </c>
    </row>
    <row r="1426" spans="1:15" x14ac:dyDescent="0.2">
      <c r="A1426" s="21" t="str">
        <f t="shared" si="154"/>
        <v>y</v>
      </c>
      <c r="B1426" s="24" t="s">
        <v>1807</v>
      </c>
      <c r="C1426" t="s">
        <v>662</v>
      </c>
      <c r="D1426" t="s">
        <v>13</v>
      </c>
      <c r="E1426" t="s">
        <v>4</v>
      </c>
      <c r="F1426" t="s">
        <v>29</v>
      </c>
      <c r="G1426" t="s">
        <v>664</v>
      </c>
      <c r="H1426" t="s">
        <v>2060</v>
      </c>
      <c r="I1426" s="22" t="str">
        <f t="shared" si="155"/>
        <v>2019-10-28</v>
      </c>
      <c r="J1426" s="23" t="str">
        <f t="shared" si="156"/>
        <v>28</v>
      </c>
      <c r="K1426" t="str">
        <f t="shared" si="157"/>
        <v>no</v>
      </c>
      <c r="L1426">
        <v>28</v>
      </c>
      <c r="M1426" t="str">
        <f t="shared" si="158"/>
        <v>2019-10-28</v>
      </c>
      <c r="N1426" s="20" t="str">
        <f t="shared" si="159"/>
        <v>2019-10-28</v>
      </c>
      <c r="O1426" t="str">
        <f t="shared" si="160"/>
        <v>2019-10-28</v>
      </c>
    </row>
    <row r="1427" spans="1:15" x14ac:dyDescent="0.2">
      <c r="A1427" s="21" t="str">
        <f t="shared" si="154"/>
        <v>y</v>
      </c>
      <c r="B1427" s="24" t="s">
        <v>1807</v>
      </c>
      <c r="C1427" t="s">
        <v>654</v>
      </c>
      <c r="D1427" t="s">
        <v>13</v>
      </c>
      <c r="E1427" t="s">
        <v>27</v>
      </c>
      <c r="F1427" t="s">
        <v>2</v>
      </c>
      <c r="G1427" t="s">
        <v>663</v>
      </c>
      <c r="H1427" t="s">
        <v>2058</v>
      </c>
      <c r="I1427" s="22" t="str">
        <f t="shared" si="155"/>
        <v>2019-10-28</v>
      </c>
      <c r="J1427" s="23" t="str">
        <f t="shared" si="156"/>
        <v>28</v>
      </c>
      <c r="K1427" t="str">
        <f t="shared" si="157"/>
        <v>no</v>
      </c>
      <c r="L1427">
        <v>28</v>
      </c>
      <c r="M1427" t="str">
        <f t="shared" si="158"/>
        <v>2019-10-28</v>
      </c>
      <c r="N1427" s="20">
        <f t="shared" si="159"/>
        <v>43767</v>
      </c>
      <c r="O1427" t="str">
        <f t="shared" si="160"/>
        <v>2019-10-29</v>
      </c>
    </row>
    <row r="1428" spans="1:15" x14ac:dyDescent="0.2">
      <c r="A1428" s="21" t="str">
        <f t="shared" si="154"/>
        <v>y</v>
      </c>
      <c r="B1428" s="24" t="s">
        <v>1808</v>
      </c>
      <c r="C1428" t="s">
        <v>654</v>
      </c>
      <c r="D1428" t="s">
        <v>13</v>
      </c>
      <c r="E1428" t="s">
        <v>27</v>
      </c>
      <c r="F1428" t="s">
        <v>29</v>
      </c>
      <c r="G1428" t="s">
        <v>661</v>
      </c>
      <c r="H1428" t="s">
        <v>2029</v>
      </c>
      <c r="I1428" s="22" t="str">
        <f t="shared" si="155"/>
        <v>2019-10-27</v>
      </c>
      <c r="J1428" s="23" t="str">
        <f t="shared" si="156"/>
        <v>27</v>
      </c>
      <c r="K1428" t="str">
        <f t="shared" si="157"/>
        <v>no</v>
      </c>
      <c r="L1428">
        <v>27</v>
      </c>
      <c r="M1428" t="str">
        <f t="shared" si="158"/>
        <v>2019-10-27</v>
      </c>
      <c r="N1428" s="20" t="str">
        <f t="shared" si="159"/>
        <v>2019-10-27</v>
      </c>
      <c r="O1428" t="str">
        <f t="shared" si="160"/>
        <v>2019-10-27</v>
      </c>
    </row>
    <row r="1429" spans="1:15" x14ac:dyDescent="0.2">
      <c r="A1429" s="21" t="str">
        <f t="shared" si="154"/>
        <v>y</v>
      </c>
      <c r="B1429" s="24" t="s">
        <v>1808</v>
      </c>
      <c r="C1429" t="s">
        <v>365</v>
      </c>
      <c r="D1429" t="s">
        <v>13</v>
      </c>
      <c r="E1429" t="s">
        <v>8</v>
      </c>
      <c r="F1429" t="s">
        <v>29</v>
      </c>
      <c r="G1429" t="s">
        <v>659</v>
      </c>
      <c r="H1429" t="s">
        <v>1988</v>
      </c>
      <c r="I1429" s="22" t="str">
        <f t="shared" si="155"/>
        <v>2019-10-27</v>
      </c>
      <c r="J1429" s="23" t="str">
        <f t="shared" si="156"/>
        <v>27</v>
      </c>
      <c r="K1429" t="str">
        <f t="shared" si="157"/>
        <v>no</v>
      </c>
      <c r="L1429">
        <v>27</v>
      </c>
      <c r="M1429" t="str">
        <f t="shared" si="158"/>
        <v>2019-10-27</v>
      </c>
      <c r="N1429" s="20" t="str">
        <f t="shared" si="159"/>
        <v>2019-10-27</v>
      </c>
      <c r="O1429" t="str">
        <f t="shared" si="160"/>
        <v>2019-10-27</v>
      </c>
    </row>
    <row r="1430" spans="1:15" x14ac:dyDescent="0.2">
      <c r="A1430" s="21" t="str">
        <f t="shared" si="154"/>
        <v>y</v>
      </c>
      <c r="B1430" s="24" t="s">
        <v>1808</v>
      </c>
      <c r="C1430" t="s">
        <v>658</v>
      </c>
      <c r="D1430" t="s">
        <v>13</v>
      </c>
      <c r="E1430" t="s">
        <v>27</v>
      </c>
      <c r="F1430" t="s">
        <v>2</v>
      </c>
      <c r="G1430" t="s">
        <v>660</v>
      </c>
      <c r="H1430" t="s">
        <v>2057</v>
      </c>
      <c r="I1430" s="22" t="str">
        <f t="shared" si="155"/>
        <v>2019-10-27</v>
      </c>
      <c r="J1430" s="23" t="str">
        <f t="shared" si="156"/>
        <v>27</v>
      </c>
      <c r="K1430" t="str">
        <f t="shared" si="157"/>
        <v>no</v>
      </c>
      <c r="L1430">
        <v>27</v>
      </c>
      <c r="M1430" t="str">
        <f t="shared" si="158"/>
        <v>2019-10-27</v>
      </c>
      <c r="N1430" s="20">
        <f t="shared" si="159"/>
        <v>43766</v>
      </c>
      <c r="O1430" t="str">
        <f t="shared" si="160"/>
        <v>2019-10-28</v>
      </c>
    </row>
    <row r="1431" spans="1:15" x14ac:dyDescent="0.2">
      <c r="A1431" s="21" t="str">
        <f t="shared" si="154"/>
        <v>y</v>
      </c>
      <c r="B1431" s="24" t="s">
        <v>1808</v>
      </c>
      <c r="C1431" t="s">
        <v>65</v>
      </c>
      <c r="D1431" t="s">
        <v>14</v>
      </c>
      <c r="E1431" t="s">
        <v>8</v>
      </c>
      <c r="F1431" t="s">
        <v>29</v>
      </c>
      <c r="G1431" t="s">
        <v>666</v>
      </c>
      <c r="H1431" t="s">
        <v>2060</v>
      </c>
      <c r="I1431" s="22" t="str">
        <f t="shared" si="155"/>
        <v>2019-10-27</v>
      </c>
      <c r="J1431" s="23" t="str">
        <f t="shared" si="156"/>
        <v>27</v>
      </c>
      <c r="K1431" t="str">
        <f t="shared" si="157"/>
        <v>no</v>
      </c>
      <c r="L1431">
        <v>27</v>
      </c>
      <c r="M1431" t="str">
        <f t="shared" si="158"/>
        <v>2019-10-27</v>
      </c>
      <c r="N1431" s="20" t="str">
        <f t="shared" si="159"/>
        <v>2019-10-27</v>
      </c>
      <c r="O1431" t="str">
        <f t="shared" si="160"/>
        <v>2019-10-27</v>
      </c>
    </row>
    <row r="1432" spans="1:15" x14ac:dyDescent="0.2">
      <c r="A1432" s="21" t="str">
        <f t="shared" si="154"/>
        <v>y</v>
      </c>
      <c r="B1432" s="24" t="s">
        <v>1808</v>
      </c>
      <c r="C1432" t="s">
        <v>662</v>
      </c>
      <c r="D1432" t="s">
        <v>13</v>
      </c>
      <c r="E1432" t="s">
        <v>27</v>
      </c>
      <c r="F1432" t="s">
        <v>2</v>
      </c>
      <c r="H1432" t="s">
        <v>2054</v>
      </c>
      <c r="I1432" s="22" t="str">
        <f t="shared" si="155"/>
        <v>2019-10-27</v>
      </c>
      <c r="J1432" s="23" t="str">
        <f t="shared" si="156"/>
        <v>27</v>
      </c>
      <c r="K1432" t="str">
        <f t="shared" si="157"/>
        <v>no</v>
      </c>
      <c r="L1432">
        <v>27</v>
      </c>
      <c r="M1432" t="str">
        <f t="shared" si="158"/>
        <v>2019-10-27</v>
      </c>
      <c r="N1432" s="20">
        <f t="shared" si="159"/>
        <v>43766</v>
      </c>
      <c r="O1432" t="str">
        <f t="shared" si="160"/>
        <v>2019-10-28</v>
      </c>
    </row>
    <row r="1433" spans="1:15" x14ac:dyDescent="0.2">
      <c r="A1433" s="21" t="str">
        <f t="shared" si="154"/>
        <v>y</v>
      </c>
      <c r="B1433" s="24" t="s">
        <v>1809</v>
      </c>
      <c r="C1433" t="s">
        <v>627</v>
      </c>
      <c r="D1433" t="s">
        <v>14</v>
      </c>
      <c r="E1433" t="s">
        <v>27</v>
      </c>
      <c r="F1433" t="s">
        <v>29</v>
      </c>
      <c r="G1433" t="s">
        <v>655</v>
      </c>
      <c r="H1433" t="s">
        <v>2061</v>
      </c>
      <c r="I1433" s="22" t="str">
        <f t="shared" si="155"/>
        <v>2019-10-24</v>
      </c>
      <c r="J1433" s="23" t="str">
        <f t="shared" si="156"/>
        <v>24</v>
      </c>
      <c r="K1433" t="str">
        <f t="shared" si="157"/>
        <v>no</v>
      </c>
      <c r="L1433">
        <v>24</v>
      </c>
      <c r="M1433" t="str">
        <f t="shared" si="158"/>
        <v>2019-10-24</v>
      </c>
      <c r="N1433" s="20" t="str">
        <f t="shared" si="159"/>
        <v>2019-10-24</v>
      </c>
      <c r="O1433" t="str">
        <f t="shared" si="160"/>
        <v>2019-10-24</v>
      </c>
    </row>
    <row r="1434" spans="1:15" x14ac:dyDescent="0.2">
      <c r="A1434" s="21" t="str">
        <f t="shared" si="154"/>
        <v>y</v>
      </c>
      <c r="B1434" s="24" t="s">
        <v>1809</v>
      </c>
      <c r="C1434" t="s">
        <v>654</v>
      </c>
      <c r="D1434" t="s">
        <v>13</v>
      </c>
      <c r="E1434" t="s">
        <v>27</v>
      </c>
      <c r="F1434" t="s">
        <v>29</v>
      </c>
      <c r="G1434" t="s">
        <v>657</v>
      </c>
      <c r="H1434" t="s">
        <v>2054</v>
      </c>
      <c r="I1434" s="22" t="str">
        <f t="shared" si="155"/>
        <v>2019-10-24</v>
      </c>
      <c r="J1434" s="23" t="str">
        <f t="shared" si="156"/>
        <v>24</v>
      </c>
      <c r="K1434" t="str">
        <f t="shared" si="157"/>
        <v>no</v>
      </c>
      <c r="L1434">
        <v>24</v>
      </c>
      <c r="M1434" t="str">
        <f t="shared" si="158"/>
        <v>2019-10-24</v>
      </c>
      <c r="N1434" s="20" t="str">
        <f t="shared" si="159"/>
        <v>2019-10-24</v>
      </c>
      <c r="O1434" t="str">
        <f t="shared" si="160"/>
        <v>2019-10-24</v>
      </c>
    </row>
    <row r="1435" spans="1:15" x14ac:dyDescent="0.2">
      <c r="A1435" s="21" t="str">
        <f t="shared" si="154"/>
        <v>y</v>
      </c>
      <c r="B1435" s="24" t="s">
        <v>1809</v>
      </c>
      <c r="C1435" t="s">
        <v>235</v>
      </c>
      <c r="D1435" t="s">
        <v>13</v>
      </c>
      <c r="E1435" t="s">
        <v>46</v>
      </c>
      <c r="F1435" t="s">
        <v>29</v>
      </c>
      <c r="G1435" t="s">
        <v>656</v>
      </c>
      <c r="H1435" t="s">
        <v>2029</v>
      </c>
      <c r="I1435" s="22" t="str">
        <f t="shared" si="155"/>
        <v>2019-10-24</v>
      </c>
      <c r="J1435" s="23" t="str">
        <f t="shared" si="156"/>
        <v>24</v>
      </c>
      <c r="K1435" t="str">
        <f t="shared" si="157"/>
        <v>no</v>
      </c>
      <c r="L1435">
        <v>24</v>
      </c>
      <c r="M1435" t="str">
        <f t="shared" si="158"/>
        <v>2019-10-24</v>
      </c>
      <c r="N1435" s="20" t="str">
        <f t="shared" si="159"/>
        <v>2019-10-24</v>
      </c>
      <c r="O1435" t="str">
        <f t="shared" si="160"/>
        <v>2019-10-24</v>
      </c>
    </row>
    <row r="1436" spans="1:15" x14ac:dyDescent="0.2">
      <c r="A1436" s="21" t="str">
        <f t="shared" si="154"/>
        <v>y</v>
      </c>
      <c r="B1436" s="24" t="s">
        <v>1810</v>
      </c>
      <c r="C1436" t="s">
        <v>151</v>
      </c>
      <c r="D1436" t="s">
        <v>13</v>
      </c>
      <c r="E1436" t="s">
        <v>42</v>
      </c>
      <c r="F1436" t="s">
        <v>29</v>
      </c>
      <c r="G1436" t="s">
        <v>651</v>
      </c>
      <c r="H1436" t="s">
        <v>1988</v>
      </c>
      <c r="I1436" s="22" t="str">
        <f t="shared" si="155"/>
        <v>2019-10-23</v>
      </c>
      <c r="J1436" s="23" t="str">
        <f t="shared" si="156"/>
        <v>23</v>
      </c>
      <c r="K1436" t="str">
        <f t="shared" si="157"/>
        <v>no</v>
      </c>
      <c r="L1436">
        <v>23</v>
      </c>
      <c r="M1436" t="str">
        <f t="shared" si="158"/>
        <v>2019-10-23</v>
      </c>
      <c r="N1436" s="20" t="str">
        <f t="shared" si="159"/>
        <v>2019-10-23</v>
      </c>
      <c r="O1436" t="str">
        <f t="shared" si="160"/>
        <v>2019-10-23</v>
      </c>
    </row>
    <row r="1437" spans="1:15" x14ac:dyDescent="0.2">
      <c r="A1437" s="21" t="str">
        <f t="shared" si="154"/>
        <v>y</v>
      </c>
      <c r="B1437" s="24" t="s">
        <v>1810</v>
      </c>
      <c r="C1437" t="s">
        <v>365</v>
      </c>
      <c r="D1437" t="s">
        <v>13</v>
      </c>
      <c r="E1437" t="s">
        <v>8</v>
      </c>
      <c r="F1437" t="s">
        <v>29</v>
      </c>
      <c r="G1437" t="s">
        <v>649</v>
      </c>
      <c r="H1437" t="s">
        <v>2029</v>
      </c>
      <c r="I1437" s="22" t="str">
        <f t="shared" si="155"/>
        <v>2019-10-23</v>
      </c>
      <c r="J1437" s="23" t="str">
        <f t="shared" si="156"/>
        <v>23</v>
      </c>
      <c r="K1437" t="str">
        <f t="shared" si="157"/>
        <v>no</v>
      </c>
      <c r="L1437">
        <v>23</v>
      </c>
      <c r="M1437" t="str">
        <f t="shared" si="158"/>
        <v>2019-10-23</v>
      </c>
      <c r="N1437" s="20" t="str">
        <f t="shared" si="159"/>
        <v>2019-10-23</v>
      </c>
      <c r="O1437" t="str">
        <f t="shared" si="160"/>
        <v>2019-10-23</v>
      </c>
    </row>
    <row r="1438" spans="1:15" x14ac:dyDescent="0.2">
      <c r="A1438" s="21" t="str">
        <f t="shared" si="154"/>
        <v>y</v>
      </c>
      <c r="B1438" s="24" t="s">
        <v>1810</v>
      </c>
      <c r="C1438" t="s">
        <v>627</v>
      </c>
      <c r="D1438" t="s">
        <v>14</v>
      </c>
      <c r="E1438" t="s">
        <v>27</v>
      </c>
      <c r="F1438" t="s">
        <v>2</v>
      </c>
      <c r="H1438" t="s">
        <v>1988</v>
      </c>
      <c r="I1438" s="22" t="str">
        <f t="shared" si="155"/>
        <v>2019-10-23</v>
      </c>
      <c r="J1438" s="23" t="str">
        <f t="shared" si="156"/>
        <v>23</v>
      </c>
      <c r="K1438" t="str">
        <f t="shared" si="157"/>
        <v>no</v>
      </c>
      <c r="L1438">
        <v>23</v>
      </c>
      <c r="M1438" t="str">
        <f t="shared" si="158"/>
        <v>2019-10-23</v>
      </c>
      <c r="N1438" s="20">
        <f t="shared" si="159"/>
        <v>43762</v>
      </c>
      <c r="O1438" t="str">
        <f t="shared" si="160"/>
        <v>2019-10-24</v>
      </c>
    </row>
    <row r="1439" spans="1:15" x14ac:dyDescent="0.2">
      <c r="A1439" s="21" t="str">
        <f t="shared" si="154"/>
        <v>y</v>
      </c>
      <c r="B1439" s="24" t="s">
        <v>1810</v>
      </c>
      <c r="C1439" t="s">
        <v>616</v>
      </c>
      <c r="D1439" t="s">
        <v>13</v>
      </c>
      <c r="E1439" t="s">
        <v>27</v>
      </c>
      <c r="F1439" t="s">
        <v>29</v>
      </c>
      <c r="G1439" t="s">
        <v>652</v>
      </c>
      <c r="H1439" t="s">
        <v>2029</v>
      </c>
      <c r="I1439" s="22" t="str">
        <f t="shared" si="155"/>
        <v>2019-10-23</v>
      </c>
      <c r="J1439" s="23" t="str">
        <f t="shared" si="156"/>
        <v>23</v>
      </c>
      <c r="K1439" t="str">
        <f t="shared" si="157"/>
        <v>no</v>
      </c>
      <c r="L1439">
        <v>23</v>
      </c>
      <c r="M1439" t="str">
        <f t="shared" si="158"/>
        <v>2019-10-23</v>
      </c>
      <c r="N1439" s="20" t="str">
        <f t="shared" si="159"/>
        <v>2019-10-23</v>
      </c>
      <c r="O1439" t="str">
        <f t="shared" si="160"/>
        <v>2019-10-23</v>
      </c>
    </row>
    <row r="1440" spans="1:15" x14ac:dyDescent="0.2">
      <c r="A1440" s="21" t="str">
        <f t="shared" si="154"/>
        <v>y</v>
      </c>
      <c r="B1440" s="24" t="s">
        <v>1810</v>
      </c>
      <c r="C1440" t="s">
        <v>616</v>
      </c>
      <c r="D1440" t="s">
        <v>13</v>
      </c>
      <c r="E1440" t="s">
        <v>21</v>
      </c>
      <c r="F1440" t="s">
        <v>29</v>
      </c>
      <c r="G1440" t="s">
        <v>650</v>
      </c>
      <c r="H1440" t="s">
        <v>2062</v>
      </c>
      <c r="I1440" s="22" t="str">
        <f t="shared" si="155"/>
        <v>2019-10-23</v>
      </c>
      <c r="J1440" s="23" t="str">
        <f t="shared" si="156"/>
        <v>23</v>
      </c>
      <c r="K1440" t="str">
        <f t="shared" si="157"/>
        <v>no</v>
      </c>
      <c r="L1440">
        <v>23</v>
      </c>
      <c r="M1440" t="str">
        <f t="shared" si="158"/>
        <v>2019-10-23</v>
      </c>
      <c r="N1440" s="20" t="str">
        <f t="shared" si="159"/>
        <v>2019-10-23</v>
      </c>
      <c r="O1440" t="str">
        <f t="shared" si="160"/>
        <v>2019-10-23</v>
      </c>
    </row>
    <row r="1441" spans="1:15" x14ac:dyDescent="0.2">
      <c r="A1441" s="21" t="str">
        <f t="shared" si="154"/>
        <v>y</v>
      </c>
      <c r="B1441" s="24" t="s">
        <v>1810</v>
      </c>
      <c r="C1441" t="s">
        <v>220</v>
      </c>
      <c r="D1441" t="s">
        <v>13</v>
      </c>
      <c r="E1441" t="s">
        <v>49</v>
      </c>
      <c r="F1441" t="s">
        <v>29</v>
      </c>
      <c r="G1441" t="s">
        <v>653</v>
      </c>
      <c r="H1441" t="s">
        <v>2063</v>
      </c>
      <c r="I1441" s="22" t="str">
        <f t="shared" si="155"/>
        <v>2019-10-23</v>
      </c>
      <c r="J1441" s="23" t="str">
        <f t="shared" si="156"/>
        <v>23</v>
      </c>
      <c r="K1441" t="str">
        <f t="shared" si="157"/>
        <v>no</v>
      </c>
      <c r="L1441">
        <v>23</v>
      </c>
      <c r="M1441" t="str">
        <f t="shared" si="158"/>
        <v>2019-10-23</v>
      </c>
      <c r="N1441" s="20" t="str">
        <f t="shared" si="159"/>
        <v>2019-10-23</v>
      </c>
      <c r="O1441" t="str">
        <f t="shared" si="160"/>
        <v>2019-10-23</v>
      </c>
    </row>
    <row r="1442" spans="1:15" x14ac:dyDescent="0.2">
      <c r="A1442" s="21" t="str">
        <f t="shared" si="154"/>
        <v>y</v>
      </c>
      <c r="B1442" s="24" t="s">
        <v>1811</v>
      </c>
      <c r="C1442" t="s">
        <v>235</v>
      </c>
      <c r="D1442" t="s">
        <v>13</v>
      </c>
      <c r="E1442" t="s">
        <v>27</v>
      </c>
      <c r="F1442" t="s">
        <v>29</v>
      </c>
      <c r="G1442" t="s">
        <v>647</v>
      </c>
      <c r="H1442" t="s">
        <v>2029</v>
      </c>
      <c r="I1442" s="22" t="str">
        <f t="shared" si="155"/>
        <v>2019-10-22</v>
      </c>
      <c r="J1442" s="23" t="str">
        <f t="shared" si="156"/>
        <v>22</v>
      </c>
      <c r="K1442" t="str">
        <f t="shared" si="157"/>
        <v>no</v>
      </c>
      <c r="L1442">
        <v>22</v>
      </c>
      <c r="M1442" t="str">
        <f t="shared" si="158"/>
        <v>2019-10-22</v>
      </c>
      <c r="N1442" s="20" t="str">
        <f t="shared" si="159"/>
        <v>2019-10-22</v>
      </c>
      <c r="O1442" t="str">
        <f t="shared" si="160"/>
        <v>2019-10-22</v>
      </c>
    </row>
    <row r="1443" spans="1:15" x14ac:dyDescent="0.2">
      <c r="A1443" s="21" t="str">
        <f t="shared" si="154"/>
        <v>y</v>
      </c>
      <c r="B1443" s="24" t="s">
        <v>1811</v>
      </c>
      <c r="C1443" t="s">
        <v>151</v>
      </c>
      <c r="D1443" t="s">
        <v>13</v>
      </c>
      <c r="E1443" t="s">
        <v>8</v>
      </c>
      <c r="F1443" t="s">
        <v>2</v>
      </c>
      <c r="H1443" t="s">
        <v>2062</v>
      </c>
      <c r="I1443" s="22" t="str">
        <f t="shared" si="155"/>
        <v>2019-10-22</v>
      </c>
      <c r="J1443" s="23" t="str">
        <f t="shared" si="156"/>
        <v>22</v>
      </c>
      <c r="K1443" t="str">
        <f t="shared" si="157"/>
        <v>no</v>
      </c>
      <c r="L1443">
        <v>22</v>
      </c>
      <c r="M1443" t="str">
        <f t="shared" si="158"/>
        <v>2019-10-22</v>
      </c>
      <c r="N1443" s="20">
        <f t="shared" si="159"/>
        <v>43761</v>
      </c>
      <c r="O1443" t="str">
        <f t="shared" si="160"/>
        <v>2019-10-23</v>
      </c>
    </row>
    <row r="1444" spans="1:15" x14ac:dyDescent="0.2">
      <c r="A1444" s="21" t="str">
        <f t="shared" si="154"/>
        <v>y</v>
      </c>
      <c r="B1444" s="24" t="s">
        <v>1812</v>
      </c>
      <c r="C1444" t="s">
        <v>235</v>
      </c>
      <c r="D1444" t="s">
        <v>13</v>
      </c>
      <c r="E1444" t="s">
        <v>27</v>
      </c>
      <c r="F1444" t="s">
        <v>2</v>
      </c>
      <c r="G1444" t="s">
        <v>646</v>
      </c>
      <c r="H1444" t="s">
        <v>2041</v>
      </c>
      <c r="I1444" s="22" t="str">
        <f t="shared" si="155"/>
        <v>2019-10-21</v>
      </c>
      <c r="J1444" s="23" t="str">
        <f t="shared" si="156"/>
        <v>21</v>
      </c>
      <c r="K1444" t="str">
        <f t="shared" si="157"/>
        <v>no</v>
      </c>
      <c r="L1444">
        <v>21</v>
      </c>
      <c r="M1444" t="str">
        <f t="shared" si="158"/>
        <v>2019-10-21</v>
      </c>
      <c r="N1444" s="20">
        <f t="shared" si="159"/>
        <v>43760</v>
      </c>
      <c r="O1444" t="str">
        <f t="shared" si="160"/>
        <v>2019-10-22</v>
      </c>
    </row>
    <row r="1445" spans="1:15" x14ac:dyDescent="0.2">
      <c r="A1445" s="21" t="str">
        <f t="shared" si="154"/>
        <v>y</v>
      </c>
      <c r="B1445" s="24" t="s">
        <v>1812</v>
      </c>
      <c r="C1445" t="s">
        <v>151</v>
      </c>
      <c r="D1445" t="s">
        <v>13</v>
      </c>
      <c r="E1445" t="s">
        <v>8</v>
      </c>
      <c r="F1445" t="s">
        <v>2</v>
      </c>
      <c r="G1445" t="s">
        <v>601</v>
      </c>
      <c r="H1445" t="s">
        <v>1960</v>
      </c>
      <c r="I1445" s="22" t="str">
        <f t="shared" si="155"/>
        <v>2019-10-21</v>
      </c>
      <c r="J1445" s="23" t="str">
        <f t="shared" si="156"/>
        <v>21</v>
      </c>
      <c r="K1445" t="str">
        <f t="shared" si="157"/>
        <v>no</v>
      </c>
      <c r="L1445">
        <v>21</v>
      </c>
      <c r="M1445" t="str">
        <f t="shared" si="158"/>
        <v>2019-10-21</v>
      </c>
      <c r="N1445" s="20">
        <f t="shared" si="159"/>
        <v>43760</v>
      </c>
      <c r="O1445" t="str">
        <f t="shared" si="160"/>
        <v>2019-10-22</v>
      </c>
    </row>
    <row r="1446" spans="1:15" x14ac:dyDescent="0.2">
      <c r="A1446" s="21" t="str">
        <f t="shared" si="154"/>
        <v>y</v>
      </c>
      <c r="B1446" s="24" t="s">
        <v>1813</v>
      </c>
      <c r="C1446" t="s">
        <v>235</v>
      </c>
      <c r="D1446" t="s">
        <v>13</v>
      </c>
      <c r="E1446" t="s">
        <v>27</v>
      </c>
      <c r="F1446" t="s">
        <v>2</v>
      </c>
      <c r="G1446" t="s">
        <v>645</v>
      </c>
      <c r="H1446" t="s">
        <v>2029</v>
      </c>
      <c r="I1446" s="22" t="str">
        <f t="shared" si="155"/>
        <v>2019-10-20</v>
      </c>
      <c r="J1446" s="23" t="str">
        <f t="shared" si="156"/>
        <v>20</v>
      </c>
      <c r="K1446" t="str">
        <f t="shared" si="157"/>
        <v>no</v>
      </c>
      <c r="L1446">
        <v>20</v>
      </c>
      <c r="M1446" t="str">
        <f t="shared" si="158"/>
        <v>2019-10-20</v>
      </c>
      <c r="N1446" s="20">
        <f t="shared" si="159"/>
        <v>43759</v>
      </c>
      <c r="O1446" t="str">
        <f t="shared" si="160"/>
        <v>2019-10-21</v>
      </c>
    </row>
    <row r="1447" spans="1:15" x14ac:dyDescent="0.2">
      <c r="A1447" s="21" t="str">
        <f t="shared" si="154"/>
        <v>y</v>
      </c>
      <c r="B1447" s="24" t="s">
        <v>1813</v>
      </c>
      <c r="C1447" t="s">
        <v>641</v>
      </c>
      <c r="D1447" t="s">
        <v>14</v>
      </c>
      <c r="E1447" t="s">
        <v>40</v>
      </c>
      <c r="F1447" t="s">
        <v>29</v>
      </c>
      <c r="G1447" t="s">
        <v>643</v>
      </c>
      <c r="H1447" t="s">
        <v>2062</v>
      </c>
      <c r="I1447" s="22" t="str">
        <f t="shared" si="155"/>
        <v>2019-10-20</v>
      </c>
      <c r="J1447" s="23" t="str">
        <f t="shared" si="156"/>
        <v>20</v>
      </c>
      <c r="K1447" t="str">
        <f t="shared" si="157"/>
        <v>no</v>
      </c>
      <c r="L1447">
        <v>20</v>
      </c>
      <c r="M1447" t="str">
        <f t="shared" si="158"/>
        <v>2019-10-20</v>
      </c>
      <c r="N1447" s="20" t="str">
        <f t="shared" si="159"/>
        <v>2019-10-20</v>
      </c>
      <c r="O1447" t="str">
        <f t="shared" si="160"/>
        <v>2019-10-20</v>
      </c>
    </row>
    <row r="1448" spans="1:15" x14ac:dyDescent="0.2">
      <c r="A1448" s="21" t="str">
        <f t="shared" si="154"/>
        <v>y</v>
      </c>
      <c r="B1448" s="24" t="s">
        <v>1813</v>
      </c>
      <c r="C1448" t="s">
        <v>633</v>
      </c>
      <c r="D1448" t="s">
        <v>13</v>
      </c>
      <c r="E1448" t="s">
        <v>8</v>
      </c>
      <c r="F1448" t="s">
        <v>2</v>
      </c>
      <c r="H1448" t="s">
        <v>2041</v>
      </c>
      <c r="I1448" s="22" t="str">
        <f t="shared" si="155"/>
        <v>2019-10-20</v>
      </c>
      <c r="J1448" s="23" t="str">
        <f t="shared" si="156"/>
        <v>20</v>
      </c>
      <c r="K1448" t="str">
        <f t="shared" si="157"/>
        <v>no</v>
      </c>
      <c r="L1448">
        <v>20</v>
      </c>
      <c r="M1448" t="str">
        <f t="shared" si="158"/>
        <v>2019-10-20</v>
      </c>
      <c r="N1448" s="20">
        <f t="shared" si="159"/>
        <v>43759</v>
      </c>
      <c r="O1448" t="str">
        <f t="shared" si="160"/>
        <v>2019-10-21</v>
      </c>
    </row>
    <row r="1449" spans="1:15" x14ac:dyDescent="0.2">
      <c r="A1449" s="21" t="str">
        <f t="shared" si="154"/>
        <v>y</v>
      </c>
      <c r="B1449" s="24" t="s">
        <v>1814</v>
      </c>
      <c r="C1449" t="s">
        <v>235</v>
      </c>
      <c r="D1449" t="s">
        <v>13</v>
      </c>
      <c r="E1449" t="s">
        <v>27</v>
      </c>
      <c r="F1449" t="s">
        <v>2</v>
      </c>
      <c r="H1449" t="s">
        <v>2054</v>
      </c>
      <c r="I1449" s="22" t="str">
        <f t="shared" si="155"/>
        <v>2019-10-17</v>
      </c>
      <c r="J1449" s="23" t="str">
        <f t="shared" si="156"/>
        <v>17</v>
      </c>
      <c r="K1449" t="str">
        <f t="shared" si="157"/>
        <v>no</v>
      </c>
      <c r="L1449">
        <v>17</v>
      </c>
      <c r="M1449" t="str">
        <f t="shared" si="158"/>
        <v>2019-10-17</v>
      </c>
      <c r="N1449" s="20">
        <f t="shared" si="159"/>
        <v>43756</v>
      </c>
      <c r="O1449" t="str">
        <f t="shared" si="160"/>
        <v>2019-10-18</v>
      </c>
    </row>
    <row r="1450" spans="1:15" x14ac:dyDescent="0.2">
      <c r="A1450" s="21" t="str">
        <f t="shared" si="154"/>
        <v>y</v>
      </c>
      <c r="B1450" s="24" t="s">
        <v>1814</v>
      </c>
      <c r="C1450" t="s">
        <v>641</v>
      </c>
      <c r="D1450" t="s">
        <v>14</v>
      </c>
      <c r="E1450" t="s">
        <v>27</v>
      </c>
      <c r="F1450" t="s">
        <v>2</v>
      </c>
      <c r="H1450" t="s">
        <v>2029</v>
      </c>
      <c r="I1450" s="22" t="str">
        <f t="shared" si="155"/>
        <v>2019-10-17</v>
      </c>
      <c r="J1450" s="23" t="str">
        <f t="shared" si="156"/>
        <v>17</v>
      </c>
      <c r="K1450" t="str">
        <f t="shared" si="157"/>
        <v>no</v>
      </c>
      <c r="L1450">
        <v>17</v>
      </c>
      <c r="M1450" t="str">
        <f t="shared" si="158"/>
        <v>2019-10-17</v>
      </c>
      <c r="N1450" s="20">
        <f t="shared" si="159"/>
        <v>43756</v>
      </c>
      <c r="O1450" t="str">
        <f t="shared" si="160"/>
        <v>2019-10-18</v>
      </c>
    </row>
    <row r="1451" spans="1:15" x14ac:dyDescent="0.2">
      <c r="A1451" s="21" t="str">
        <f t="shared" si="154"/>
        <v>y</v>
      </c>
      <c r="B1451" s="24" t="s">
        <v>1814</v>
      </c>
      <c r="C1451" t="s">
        <v>503</v>
      </c>
      <c r="D1451" t="s">
        <v>13</v>
      </c>
      <c r="E1451" t="s">
        <v>34</v>
      </c>
      <c r="F1451" t="s">
        <v>29</v>
      </c>
      <c r="G1451" t="s">
        <v>642</v>
      </c>
      <c r="H1451" t="s">
        <v>2063</v>
      </c>
      <c r="I1451" s="22" t="str">
        <f t="shared" si="155"/>
        <v>2019-10-17</v>
      </c>
      <c r="J1451" s="23" t="str">
        <f t="shared" si="156"/>
        <v>17</v>
      </c>
      <c r="K1451" t="str">
        <f t="shared" si="157"/>
        <v>no</v>
      </c>
      <c r="L1451">
        <v>17</v>
      </c>
      <c r="M1451" t="str">
        <f t="shared" si="158"/>
        <v>2019-10-17</v>
      </c>
      <c r="N1451" s="20" t="str">
        <f t="shared" si="159"/>
        <v>2019-10-17</v>
      </c>
      <c r="O1451" t="str">
        <f t="shared" si="160"/>
        <v>2019-10-17</v>
      </c>
    </row>
    <row r="1452" spans="1:15" x14ac:dyDescent="0.2">
      <c r="A1452" s="21" t="str">
        <f t="shared" si="154"/>
        <v>y</v>
      </c>
      <c r="B1452" s="24" t="s">
        <v>1814</v>
      </c>
      <c r="C1452" t="s">
        <v>145</v>
      </c>
      <c r="D1452" t="s">
        <v>13</v>
      </c>
      <c r="E1452" t="s">
        <v>43</v>
      </c>
      <c r="F1452" t="s">
        <v>29</v>
      </c>
      <c r="G1452" t="s">
        <v>644</v>
      </c>
      <c r="H1452" t="s">
        <v>2062</v>
      </c>
      <c r="I1452" s="22" t="str">
        <f t="shared" si="155"/>
        <v>2019-10-17</v>
      </c>
      <c r="J1452" s="23" t="str">
        <f t="shared" si="156"/>
        <v>17</v>
      </c>
      <c r="K1452" t="str">
        <f t="shared" si="157"/>
        <v>no</v>
      </c>
      <c r="L1452">
        <v>17</v>
      </c>
      <c r="M1452" t="str">
        <f t="shared" si="158"/>
        <v>2019-10-17</v>
      </c>
      <c r="N1452" s="20" t="str">
        <f t="shared" si="159"/>
        <v>2019-10-17</v>
      </c>
      <c r="O1452" t="str">
        <f t="shared" si="160"/>
        <v>2019-10-17</v>
      </c>
    </row>
    <row r="1453" spans="1:15" x14ac:dyDescent="0.2">
      <c r="A1453" s="21" t="str">
        <f t="shared" si="154"/>
        <v>y</v>
      </c>
      <c r="B1453" s="24" t="s">
        <v>1815</v>
      </c>
      <c r="C1453" t="s">
        <v>235</v>
      </c>
      <c r="D1453" t="s">
        <v>13</v>
      </c>
      <c r="E1453" t="s">
        <v>27</v>
      </c>
      <c r="F1453" t="s">
        <v>2</v>
      </c>
      <c r="G1453" t="s">
        <v>640</v>
      </c>
      <c r="H1453" t="s">
        <v>1960</v>
      </c>
      <c r="I1453" s="22" t="str">
        <f t="shared" si="155"/>
        <v>2019-10-16</v>
      </c>
      <c r="J1453" s="23" t="str">
        <f t="shared" si="156"/>
        <v>16</v>
      </c>
      <c r="K1453" t="str">
        <f t="shared" si="157"/>
        <v>no</v>
      </c>
      <c r="L1453">
        <v>16</v>
      </c>
      <c r="M1453" t="str">
        <f t="shared" si="158"/>
        <v>2019-10-16</v>
      </c>
      <c r="N1453" s="20">
        <f t="shared" si="159"/>
        <v>43755</v>
      </c>
      <c r="O1453" t="str">
        <f t="shared" si="160"/>
        <v>2019-10-17</v>
      </c>
    </row>
    <row r="1454" spans="1:15" x14ac:dyDescent="0.2">
      <c r="A1454" s="21" t="str">
        <f t="shared" si="154"/>
        <v>y</v>
      </c>
      <c r="B1454" s="24" t="s">
        <v>1815</v>
      </c>
      <c r="C1454" t="s">
        <v>616</v>
      </c>
      <c r="D1454" t="s">
        <v>13</v>
      </c>
      <c r="E1454" t="s">
        <v>27</v>
      </c>
      <c r="F1454" t="s">
        <v>29</v>
      </c>
      <c r="G1454" t="s">
        <v>639</v>
      </c>
      <c r="H1454" t="s">
        <v>2054</v>
      </c>
      <c r="I1454" s="22" t="str">
        <f t="shared" si="155"/>
        <v>2019-10-16</v>
      </c>
      <c r="J1454" s="23" t="str">
        <f t="shared" si="156"/>
        <v>16</v>
      </c>
      <c r="K1454" t="str">
        <f t="shared" si="157"/>
        <v>no</v>
      </c>
      <c r="L1454">
        <v>16</v>
      </c>
      <c r="M1454" t="str">
        <f t="shared" si="158"/>
        <v>2019-10-16</v>
      </c>
      <c r="N1454" s="20" t="str">
        <f t="shared" si="159"/>
        <v>2019-10-16</v>
      </c>
      <c r="O1454" t="str">
        <f t="shared" si="160"/>
        <v>2019-10-16</v>
      </c>
    </row>
    <row r="1455" spans="1:15" x14ac:dyDescent="0.2">
      <c r="A1455" s="21" t="str">
        <f t="shared" si="154"/>
        <v>y</v>
      </c>
      <c r="B1455" s="24" t="s">
        <v>1815</v>
      </c>
      <c r="C1455" t="s">
        <v>641</v>
      </c>
      <c r="D1455" t="s">
        <v>14</v>
      </c>
      <c r="E1455" t="s">
        <v>4</v>
      </c>
      <c r="F1455" t="s">
        <v>2</v>
      </c>
      <c r="H1455" t="s">
        <v>2029</v>
      </c>
      <c r="I1455" s="22" t="str">
        <f t="shared" si="155"/>
        <v>2019-10-16</v>
      </c>
      <c r="J1455" s="23" t="str">
        <f t="shared" si="156"/>
        <v>16</v>
      </c>
      <c r="K1455" t="str">
        <f t="shared" si="157"/>
        <v>no</v>
      </c>
      <c r="L1455">
        <v>16</v>
      </c>
      <c r="M1455" t="str">
        <f t="shared" si="158"/>
        <v>2019-10-16</v>
      </c>
      <c r="N1455" s="20">
        <f t="shared" si="159"/>
        <v>43755</v>
      </c>
      <c r="O1455" t="str">
        <f t="shared" si="160"/>
        <v>2019-10-17</v>
      </c>
    </row>
    <row r="1456" spans="1:15" x14ac:dyDescent="0.2">
      <c r="A1456" s="21" t="str">
        <f t="shared" si="154"/>
        <v>y</v>
      </c>
      <c r="B1456" s="24" t="s">
        <v>1815</v>
      </c>
      <c r="C1456" t="s">
        <v>503</v>
      </c>
      <c r="D1456" t="s">
        <v>13</v>
      </c>
      <c r="E1456" t="s">
        <v>34</v>
      </c>
      <c r="F1456" t="s">
        <v>29</v>
      </c>
      <c r="H1456" t="s">
        <v>1960</v>
      </c>
      <c r="I1456" s="22" t="str">
        <f t="shared" si="155"/>
        <v>2019-10-16</v>
      </c>
      <c r="J1456" s="23" t="str">
        <f t="shared" si="156"/>
        <v>16</v>
      </c>
      <c r="K1456" t="str">
        <f t="shared" si="157"/>
        <v>no</v>
      </c>
      <c r="L1456">
        <v>16</v>
      </c>
      <c r="M1456" t="str">
        <f t="shared" si="158"/>
        <v>2019-10-16</v>
      </c>
      <c r="N1456" s="20" t="str">
        <f t="shared" si="159"/>
        <v>2019-10-16</v>
      </c>
      <c r="O1456" t="str">
        <f t="shared" si="160"/>
        <v>2019-10-16</v>
      </c>
    </row>
    <row r="1457" spans="1:15" x14ac:dyDescent="0.2">
      <c r="A1457" s="21" t="str">
        <f t="shared" si="154"/>
        <v>y</v>
      </c>
      <c r="B1457" s="24" t="s">
        <v>1816</v>
      </c>
      <c r="C1457" t="s">
        <v>235</v>
      </c>
      <c r="D1457" t="s">
        <v>13</v>
      </c>
      <c r="E1457" t="s">
        <v>27</v>
      </c>
      <c r="F1457" t="s">
        <v>2</v>
      </c>
      <c r="G1457" t="s">
        <v>637</v>
      </c>
      <c r="H1457" t="s">
        <v>2057</v>
      </c>
      <c r="I1457" s="22" t="str">
        <f t="shared" si="155"/>
        <v>2019-10-15</v>
      </c>
      <c r="J1457" s="23" t="str">
        <f t="shared" si="156"/>
        <v>15</v>
      </c>
      <c r="K1457" t="str">
        <f t="shared" si="157"/>
        <v>no</v>
      </c>
      <c r="L1457">
        <v>15</v>
      </c>
      <c r="M1457" t="str">
        <f t="shared" si="158"/>
        <v>2019-10-15</v>
      </c>
      <c r="N1457" s="20">
        <f t="shared" si="159"/>
        <v>43754</v>
      </c>
      <c r="O1457" t="str">
        <f t="shared" si="160"/>
        <v>2019-10-16</v>
      </c>
    </row>
    <row r="1458" spans="1:15" x14ac:dyDescent="0.2">
      <c r="A1458" s="21" t="str">
        <f t="shared" si="154"/>
        <v>y</v>
      </c>
      <c r="B1458" s="24" t="s">
        <v>1816</v>
      </c>
      <c r="C1458" t="s">
        <v>616</v>
      </c>
      <c r="D1458" t="s">
        <v>13</v>
      </c>
      <c r="E1458" t="s">
        <v>27</v>
      </c>
      <c r="F1458" t="s">
        <v>2</v>
      </c>
      <c r="H1458" t="s">
        <v>2060</v>
      </c>
      <c r="I1458" s="22" t="str">
        <f t="shared" si="155"/>
        <v>2019-10-15</v>
      </c>
      <c r="J1458" s="23" t="str">
        <f t="shared" si="156"/>
        <v>15</v>
      </c>
      <c r="K1458" t="str">
        <f t="shared" si="157"/>
        <v>no</v>
      </c>
      <c r="L1458">
        <v>15</v>
      </c>
      <c r="M1458" t="str">
        <f t="shared" si="158"/>
        <v>2019-10-15</v>
      </c>
      <c r="N1458" s="20">
        <f t="shared" si="159"/>
        <v>43754</v>
      </c>
      <c r="O1458" t="str">
        <f t="shared" si="160"/>
        <v>2019-10-16</v>
      </c>
    </row>
    <row r="1459" spans="1:15" x14ac:dyDescent="0.2">
      <c r="A1459" s="21" t="str">
        <f t="shared" si="154"/>
        <v>y</v>
      </c>
      <c r="B1459" s="24" t="s">
        <v>1816</v>
      </c>
      <c r="C1459" t="s">
        <v>633</v>
      </c>
      <c r="D1459" t="s">
        <v>13</v>
      </c>
      <c r="E1459" t="s">
        <v>27</v>
      </c>
      <c r="F1459" t="s">
        <v>29</v>
      </c>
      <c r="G1459" t="s">
        <v>636</v>
      </c>
      <c r="H1459" t="s">
        <v>2054</v>
      </c>
      <c r="I1459" s="22" t="str">
        <f t="shared" si="155"/>
        <v>2019-10-15</v>
      </c>
      <c r="J1459" s="23" t="str">
        <f t="shared" si="156"/>
        <v>15</v>
      </c>
      <c r="K1459" t="str">
        <f t="shared" si="157"/>
        <v>no</v>
      </c>
      <c r="L1459">
        <v>15</v>
      </c>
      <c r="M1459" t="str">
        <f t="shared" si="158"/>
        <v>2019-10-15</v>
      </c>
      <c r="N1459" s="20" t="str">
        <f t="shared" si="159"/>
        <v>2019-10-15</v>
      </c>
      <c r="O1459" t="str">
        <f t="shared" si="160"/>
        <v>2019-10-15</v>
      </c>
    </row>
    <row r="1460" spans="1:15" x14ac:dyDescent="0.2">
      <c r="A1460" s="21" t="str">
        <f t="shared" si="154"/>
        <v>y</v>
      </c>
      <c r="B1460" s="24" t="s">
        <v>1816</v>
      </c>
      <c r="C1460" t="s">
        <v>634</v>
      </c>
      <c r="D1460" t="s">
        <v>13</v>
      </c>
      <c r="E1460" t="s">
        <v>27</v>
      </c>
      <c r="F1460" t="s">
        <v>29</v>
      </c>
      <c r="G1460" t="s">
        <v>635</v>
      </c>
      <c r="H1460" t="s">
        <v>2045</v>
      </c>
      <c r="I1460" s="22" t="str">
        <f t="shared" si="155"/>
        <v>2019-10-15</v>
      </c>
      <c r="J1460" s="23" t="str">
        <f t="shared" si="156"/>
        <v>15</v>
      </c>
      <c r="K1460" t="str">
        <f t="shared" si="157"/>
        <v>no</v>
      </c>
      <c r="L1460">
        <v>15</v>
      </c>
      <c r="M1460" t="str">
        <f t="shared" si="158"/>
        <v>2019-10-15</v>
      </c>
      <c r="N1460" s="20" t="str">
        <f t="shared" si="159"/>
        <v>2019-10-15</v>
      </c>
      <c r="O1460" t="str">
        <f t="shared" si="160"/>
        <v>2019-10-15</v>
      </c>
    </row>
    <row r="1461" spans="1:15" x14ac:dyDescent="0.2">
      <c r="A1461" s="21" t="str">
        <f t="shared" si="154"/>
        <v>y</v>
      </c>
      <c r="B1461" s="24" t="s">
        <v>1816</v>
      </c>
      <c r="C1461" t="s">
        <v>145</v>
      </c>
      <c r="D1461" t="s">
        <v>13</v>
      </c>
      <c r="E1461" t="s">
        <v>43</v>
      </c>
      <c r="F1461" t="s">
        <v>2</v>
      </c>
      <c r="G1461" t="s">
        <v>638</v>
      </c>
      <c r="H1461" t="s">
        <v>2029</v>
      </c>
      <c r="I1461" s="22" t="str">
        <f t="shared" si="155"/>
        <v>2019-10-15</v>
      </c>
      <c r="J1461" s="23" t="str">
        <f t="shared" si="156"/>
        <v>15</v>
      </c>
      <c r="K1461" t="str">
        <f t="shared" si="157"/>
        <v>no</v>
      </c>
      <c r="L1461">
        <v>15</v>
      </c>
      <c r="M1461" t="str">
        <f t="shared" si="158"/>
        <v>2019-10-15</v>
      </c>
      <c r="N1461" s="20">
        <f t="shared" si="159"/>
        <v>43754</v>
      </c>
      <c r="O1461" t="str">
        <f t="shared" si="160"/>
        <v>2019-10-16</v>
      </c>
    </row>
    <row r="1462" spans="1:15" x14ac:dyDescent="0.2">
      <c r="A1462" s="21" t="str">
        <f t="shared" si="154"/>
        <v>y</v>
      </c>
      <c r="B1462" s="24" t="s">
        <v>1817</v>
      </c>
      <c r="C1462" t="s">
        <v>235</v>
      </c>
      <c r="D1462" t="s">
        <v>13</v>
      </c>
      <c r="E1462" t="s">
        <v>8</v>
      </c>
      <c r="F1462" t="s">
        <v>29</v>
      </c>
      <c r="G1462" t="s">
        <v>628</v>
      </c>
      <c r="H1462" t="s">
        <v>1960</v>
      </c>
      <c r="I1462" s="22" t="str">
        <f t="shared" si="155"/>
        <v>2019-10-14</v>
      </c>
      <c r="J1462" s="23" t="str">
        <f t="shared" si="156"/>
        <v>14</v>
      </c>
      <c r="K1462" t="str">
        <f t="shared" si="157"/>
        <v>no</v>
      </c>
      <c r="L1462">
        <v>14</v>
      </c>
      <c r="M1462" t="str">
        <f t="shared" si="158"/>
        <v>2019-10-14</v>
      </c>
      <c r="N1462" s="20" t="str">
        <f t="shared" si="159"/>
        <v>2019-10-14</v>
      </c>
      <c r="O1462" t="str">
        <f t="shared" si="160"/>
        <v>2019-10-14</v>
      </c>
    </row>
    <row r="1463" spans="1:15" x14ac:dyDescent="0.2">
      <c r="A1463" s="21" t="str">
        <f t="shared" si="154"/>
        <v>y</v>
      </c>
      <c r="B1463" s="24" t="s">
        <v>1817</v>
      </c>
      <c r="C1463" t="s">
        <v>145</v>
      </c>
      <c r="D1463" t="s">
        <v>13</v>
      </c>
      <c r="E1463" t="s">
        <v>27</v>
      </c>
      <c r="F1463" t="s">
        <v>29</v>
      </c>
      <c r="G1463" t="s">
        <v>629</v>
      </c>
      <c r="H1463" t="s">
        <v>2057</v>
      </c>
      <c r="I1463" s="22" t="str">
        <f t="shared" si="155"/>
        <v>2019-10-14</v>
      </c>
      <c r="J1463" s="23" t="str">
        <f t="shared" si="156"/>
        <v>14</v>
      </c>
      <c r="K1463" t="str">
        <f t="shared" si="157"/>
        <v>no</v>
      </c>
      <c r="L1463">
        <v>14</v>
      </c>
      <c r="M1463" t="str">
        <f t="shared" si="158"/>
        <v>2019-10-14</v>
      </c>
      <c r="N1463" s="20" t="str">
        <f t="shared" si="159"/>
        <v>2019-10-14</v>
      </c>
      <c r="O1463" t="str">
        <f t="shared" si="160"/>
        <v>2019-10-14</v>
      </c>
    </row>
    <row r="1464" spans="1:15" x14ac:dyDescent="0.2">
      <c r="A1464" s="21" t="str">
        <f t="shared" si="154"/>
        <v>y</v>
      </c>
      <c r="B1464" s="24" t="s">
        <v>1817</v>
      </c>
      <c r="C1464" t="s">
        <v>365</v>
      </c>
      <c r="D1464" t="s">
        <v>13</v>
      </c>
      <c r="E1464" t="s">
        <v>8</v>
      </c>
      <c r="F1464" t="s">
        <v>29</v>
      </c>
      <c r="G1464" t="s">
        <v>632</v>
      </c>
      <c r="H1464" t="s">
        <v>2045</v>
      </c>
      <c r="I1464" s="22" t="str">
        <f t="shared" si="155"/>
        <v>2019-10-14</v>
      </c>
      <c r="J1464" s="23" t="str">
        <f t="shared" si="156"/>
        <v>14</v>
      </c>
      <c r="K1464" t="str">
        <f t="shared" si="157"/>
        <v>no</v>
      </c>
      <c r="L1464">
        <v>14</v>
      </c>
      <c r="M1464" t="str">
        <f t="shared" si="158"/>
        <v>2019-10-14</v>
      </c>
      <c r="N1464" s="20" t="str">
        <f t="shared" si="159"/>
        <v>2019-10-14</v>
      </c>
      <c r="O1464" t="str">
        <f t="shared" si="160"/>
        <v>2019-10-14</v>
      </c>
    </row>
    <row r="1465" spans="1:15" x14ac:dyDescent="0.2">
      <c r="A1465" s="21" t="str">
        <f t="shared" si="154"/>
        <v>y</v>
      </c>
      <c r="B1465" s="24" t="s">
        <v>1817</v>
      </c>
      <c r="C1465" t="s">
        <v>627</v>
      </c>
      <c r="D1465" t="s">
        <v>14</v>
      </c>
      <c r="E1465" t="s">
        <v>4</v>
      </c>
      <c r="F1465" t="s">
        <v>29</v>
      </c>
      <c r="G1465" t="s">
        <v>630</v>
      </c>
      <c r="H1465" t="s">
        <v>2062</v>
      </c>
      <c r="I1465" s="22" t="str">
        <f t="shared" si="155"/>
        <v>2019-10-14</v>
      </c>
      <c r="J1465" s="23" t="str">
        <f t="shared" si="156"/>
        <v>14</v>
      </c>
      <c r="K1465" t="str">
        <f t="shared" si="157"/>
        <v>no</v>
      </c>
      <c r="L1465">
        <v>14</v>
      </c>
      <c r="M1465" t="str">
        <f t="shared" si="158"/>
        <v>2019-10-14</v>
      </c>
      <c r="N1465" s="20" t="str">
        <f t="shared" si="159"/>
        <v>2019-10-14</v>
      </c>
      <c r="O1465" t="str">
        <f t="shared" si="160"/>
        <v>2019-10-14</v>
      </c>
    </row>
    <row r="1466" spans="1:15" x14ac:dyDescent="0.2">
      <c r="A1466" s="21" t="str">
        <f t="shared" si="154"/>
        <v>y</v>
      </c>
      <c r="B1466" s="24" t="s">
        <v>1817</v>
      </c>
      <c r="C1466" t="s">
        <v>616</v>
      </c>
      <c r="D1466" t="s">
        <v>13</v>
      </c>
      <c r="E1466" t="s">
        <v>27</v>
      </c>
      <c r="F1466" t="s">
        <v>2</v>
      </c>
      <c r="G1466" t="s">
        <v>631</v>
      </c>
      <c r="H1466" t="s">
        <v>1960</v>
      </c>
      <c r="I1466" s="22" t="str">
        <f t="shared" si="155"/>
        <v>2019-10-14</v>
      </c>
      <c r="J1466" s="23" t="str">
        <f t="shared" si="156"/>
        <v>14</v>
      </c>
      <c r="K1466" t="str">
        <f t="shared" si="157"/>
        <v>no</v>
      </c>
      <c r="L1466">
        <v>14</v>
      </c>
      <c r="M1466" t="str">
        <f t="shared" si="158"/>
        <v>2019-10-14</v>
      </c>
      <c r="N1466" s="20">
        <f t="shared" si="159"/>
        <v>43753</v>
      </c>
      <c r="O1466" t="str">
        <f t="shared" si="160"/>
        <v>2019-10-15</v>
      </c>
    </row>
    <row r="1467" spans="1:15" x14ac:dyDescent="0.2">
      <c r="A1467" s="21" t="str">
        <f t="shared" si="154"/>
        <v>y</v>
      </c>
      <c r="B1467" s="24" t="s">
        <v>1818</v>
      </c>
      <c r="C1467" t="s">
        <v>489</v>
      </c>
      <c r="D1467" t="s">
        <v>19</v>
      </c>
      <c r="E1467" t="s">
        <v>27</v>
      </c>
      <c r="F1467" t="s">
        <v>29</v>
      </c>
      <c r="G1467" t="s">
        <v>626</v>
      </c>
      <c r="H1467" t="s">
        <v>2029</v>
      </c>
      <c r="I1467" s="22" t="str">
        <f t="shared" si="155"/>
        <v>2019-10-13</v>
      </c>
      <c r="J1467" s="23" t="str">
        <f t="shared" si="156"/>
        <v>13</v>
      </c>
      <c r="K1467" t="str">
        <f t="shared" si="157"/>
        <v>no</v>
      </c>
      <c r="L1467">
        <v>13</v>
      </c>
      <c r="M1467" t="str">
        <f t="shared" si="158"/>
        <v>2019-10-13</v>
      </c>
      <c r="N1467" s="20" t="str">
        <f t="shared" si="159"/>
        <v>2019-10-13</v>
      </c>
      <c r="O1467" t="str">
        <f t="shared" si="160"/>
        <v>2019-10-13</v>
      </c>
    </row>
    <row r="1468" spans="1:15" x14ac:dyDescent="0.2">
      <c r="A1468" s="21" t="str">
        <f t="shared" si="154"/>
        <v>y</v>
      </c>
      <c r="B1468" s="24" t="s">
        <v>1818</v>
      </c>
      <c r="C1468" t="s">
        <v>235</v>
      </c>
      <c r="D1468" t="s">
        <v>13</v>
      </c>
      <c r="E1468" t="s">
        <v>21</v>
      </c>
      <c r="F1468" t="s">
        <v>29</v>
      </c>
      <c r="G1468" t="s">
        <v>648</v>
      </c>
      <c r="H1468" t="s">
        <v>2045</v>
      </c>
      <c r="I1468" s="22" t="str">
        <f t="shared" si="155"/>
        <v>2019-10-13</v>
      </c>
      <c r="J1468" s="23" t="str">
        <f t="shared" si="156"/>
        <v>13</v>
      </c>
      <c r="K1468" t="str">
        <f t="shared" si="157"/>
        <v>no</v>
      </c>
      <c r="L1468">
        <v>13</v>
      </c>
      <c r="M1468" t="str">
        <f t="shared" si="158"/>
        <v>2019-10-13</v>
      </c>
      <c r="N1468" s="20" t="str">
        <f t="shared" si="159"/>
        <v>2019-10-13</v>
      </c>
      <c r="O1468" t="str">
        <f t="shared" si="160"/>
        <v>2019-10-13</v>
      </c>
    </row>
    <row r="1469" spans="1:15" x14ac:dyDescent="0.2">
      <c r="A1469" s="21" t="str">
        <f t="shared" si="154"/>
        <v>y</v>
      </c>
      <c r="B1469" s="24" t="s">
        <v>1818</v>
      </c>
      <c r="C1469" t="s">
        <v>145</v>
      </c>
      <c r="D1469" t="s">
        <v>13</v>
      </c>
      <c r="E1469" t="s">
        <v>27</v>
      </c>
      <c r="F1469" t="s">
        <v>2</v>
      </c>
      <c r="G1469" t="s">
        <v>621</v>
      </c>
      <c r="H1469" t="s">
        <v>2057</v>
      </c>
      <c r="I1469" s="22" t="str">
        <f t="shared" si="155"/>
        <v>2019-10-13</v>
      </c>
      <c r="J1469" s="23" t="str">
        <f t="shared" si="156"/>
        <v>13</v>
      </c>
      <c r="K1469" t="str">
        <f t="shared" si="157"/>
        <v>no</v>
      </c>
      <c r="L1469">
        <v>13</v>
      </c>
      <c r="M1469" t="str">
        <f t="shared" si="158"/>
        <v>2019-10-13</v>
      </c>
      <c r="N1469" s="20">
        <f t="shared" si="159"/>
        <v>43752</v>
      </c>
      <c r="O1469" t="str">
        <f t="shared" si="160"/>
        <v>2019-10-14</v>
      </c>
    </row>
    <row r="1470" spans="1:15" x14ac:dyDescent="0.2">
      <c r="A1470" s="21" t="str">
        <f t="shared" si="154"/>
        <v>y</v>
      </c>
      <c r="B1470" s="24" t="s">
        <v>1818</v>
      </c>
      <c r="C1470" t="s">
        <v>365</v>
      </c>
      <c r="D1470" t="s">
        <v>13</v>
      </c>
      <c r="E1470" t="s">
        <v>8</v>
      </c>
      <c r="F1470" t="s">
        <v>2</v>
      </c>
      <c r="H1470" t="s">
        <v>2025</v>
      </c>
      <c r="I1470" s="22" t="str">
        <f t="shared" si="155"/>
        <v>2019-10-13</v>
      </c>
      <c r="J1470" s="23" t="str">
        <f t="shared" si="156"/>
        <v>13</v>
      </c>
      <c r="K1470" t="str">
        <f t="shared" si="157"/>
        <v>no</v>
      </c>
      <c r="L1470">
        <v>13</v>
      </c>
      <c r="M1470" t="str">
        <f t="shared" si="158"/>
        <v>2019-10-13</v>
      </c>
      <c r="N1470" s="20">
        <f t="shared" si="159"/>
        <v>43752</v>
      </c>
      <c r="O1470" t="str">
        <f t="shared" si="160"/>
        <v>2019-10-14</v>
      </c>
    </row>
    <row r="1471" spans="1:15" x14ac:dyDescent="0.2">
      <c r="A1471" s="21" t="str">
        <f t="shared" si="154"/>
        <v>y</v>
      </c>
      <c r="B1471" s="24">
        <v>43748</v>
      </c>
      <c r="C1471" t="s">
        <v>489</v>
      </c>
      <c r="D1471" t="s">
        <v>19</v>
      </c>
      <c r="E1471" t="s">
        <v>34</v>
      </c>
      <c r="F1471" t="s">
        <v>29</v>
      </c>
      <c r="G1471" t="s">
        <v>623</v>
      </c>
      <c r="H1471" t="s">
        <v>2041</v>
      </c>
      <c r="I1471" s="22" t="str">
        <f t="shared" si="155"/>
        <v>2019-10-10</v>
      </c>
      <c r="J1471" s="23" t="str">
        <f t="shared" si="156"/>
        <v>43</v>
      </c>
      <c r="K1471" t="str">
        <f t="shared" si="157"/>
        <v>yes</v>
      </c>
      <c r="L1471">
        <v>43</v>
      </c>
      <c r="M1471" t="str">
        <f t="shared" si="158"/>
        <v>2019-10-10</v>
      </c>
      <c r="N1471" s="20" t="str">
        <f t="shared" si="159"/>
        <v>2019-10-10</v>
      </c>
      <c r="O1471" t="str">
        <f t="shared" si="160"/>
        <v>2019-10-10</v>
      </c>
    </row>
    <row r="1472" spans="1:15" x14ac:dyDescent="0.2">
      <c r="A1472" s="21" t="str">
        <f t="shared" si="154"/>
        <v>y</v>
      </c>
      <c r="B1472" s="24">
        <v>43748</v>
      </c>
      <c r="C1472" t="s">
        <v>489</v>
      </c>
      <c r="D1472" t="s">
        <v>19</v>
      </c>
      <c r="E1472" t="s">
        <v>27</v>
      </c>
      <c r="F1472" t="s">
        <v>2</v>
      </c>
      <c r="H1472" t="s">
        <v>2062</v>
      </c>
      <c r="I1472" s="22" t="str">
        <f t="shared" si="155"/>
        <v>2019-10-10</v>
      </c>
      <c r="J1472" s="23" t="str">
        <f t="shared" si="156"/>
        <v>43</v>
      </c>
      <c r="K1472" t="str">
        <f t="shared" si="157"/>
        <v>yes</v>
      </c>
      <c r="L1472">
        <v>43</v>
      </c>
      <c r="M1472" t="str">
        <f t="shared" si="158"/>
        <v>2019-10-10</v>
      </c>
      <c r="N1472" s="20">
        <f t="shared" si="159"/>
        <v>43749</v>
      </c>
      <c r="O1472" t="str">
        <f t="shared" si="160"/>
        <v>2019-10-11</v>
      </c>
    </row>
    <row r="1473" spans="1:15" x14ac:dyDescent="0.2">
      <c r="A1473" s="21" t="str">
        <f t="shared" si="154"/>
        <v>y</v>
      </c>
      <c r="B1473" s="24">
        <v>43748</v>
      </c>
      <c r="C1473" t="s">
        <v>616</v>
      </c>
      <c r="D1473" t="s">
        <v>13</v>
      </c>
      <c r="E1473" t="s">
        <v>27</v>
      </c>
      <c r="F1473" t="s">
        <v>29</v>
      </c>
      <c r="G1473" t="s">
        <v>624</v>
      </c>
      <c r="H1473" t="s">
        <v>1988</v>
      </c>
      <c r="I1473" s="22" t="str">
        <f t="shared" si="155"/>
        <v>2019-10-10</v>
      </c>
      <c r="J1473" s="23" t="str">
        <f t="shared" si="156"/>
        <v>43</v>
      </c>
      <c r="K1473" t="str">
        <f t="shared" si="157"/>
        <v>yes</v>
      </c>
      <c r="L1473">
        <v>43</v>
      </c>
      <c r="M1473" t="str">
        <f t="shared" si="158"/>
        <v>2019-10-10</v>
      </c>
      <c r="N1473" s="20" t="str">
        <f t="shared" si="159"/>
        <v>2019-10-10</v>
      </c>
      <c r="O1473" t="str">
        <f t="shared" si="160"/>
        <v>2019-10-10</v>
      </c>
    </row>
    <row r="1474" spans="1:15" x14ac:dyDescent="0.2">
      <c r="A1474" s="21" t="str">
        <f t="shared" si="154"/>
        <v>y</v>
      </c>
      <c r="B1474" s="24">
        <v>43748</v>
      </c>
      <c r="C1474" t="s">
        <v>145</v>
      </c>
      <c r="D1474" t="s">
        <v>13</v>
      </c>
      <c r="E1474" t="s">
        <v>8</v>
      </c>
      <c r="F1474" t="s">
        <v>29</v>
      </c>
      <c r="G1474" t="s">
        <v>621</v>
      </c>
      <c r="H1474" t="s">
        <v>2025</v>
      </c>
      <c r="I1474" s="22" t="str">
        <f t="shared" si="155"/>
        <v>2019-10-10</v>
      </c>
      <c r="J1474" s="23" t="str">
        <f t="shared" si="156"/>
        <v>43</v>
      </c>
      <c r="K1474" t="str">
        <f t="shared" si="157"/>
        <v>yes</v>
      </c>
      <c r="L1474">
        <v>43</v>
      </c>
      <c r="M1474" t="str">
        <f t="shared" si="158"/>
        <v>2019-10-10</v>
      </c>
      <c r="N1474" s="20" t="str">
        <f t="shared" si="159"/>
        <v>2019-10-10</v>
      </c>
      <c r="O1474" t="str">
        <f t="shared" si="160"/>
        <v>2019-10-10</v>
      </c>
    </row>
    <row r="1475" spans="1:15" x14ac:dyDescent="0.2">
      <c r="A1475" s="21" t="str">
        <f t="shared" si="154"/>
        <v>y</v>
      </c>
      <c r="B1475" s="24">
        <v>43748</v>
      </c>
      <c r="C1475" t="s">
        <v>235</v>
      </c>
      <c r="D1475" t="s">
        <v>13</v>
      </c>
      <c r="E1475" t="s">
        <v>21</v>
      </c>
      <c r="F1475" t="s">
        <v>2</v>
      </c>
      <c r="G1475" t="s">
        <v>622</v>
      </c>
      <c r="H1475" t="s">
        <v>2041</v>
      </c>
      <c r="I1475" s="22" t="str">
        <f t="shared" si="155"/>
        <v>2019-10-10</v>
      </c>
      <c r="J1475" s="23" t="str">
        <f t="shared" si="156"/>
        <v>43</v>
      </c>
      <c r="K1475" t="str">
        <f t="shared" si="157"/>
        <v>yes</v>
      </c>
      <c r="L1475">
        <v>43</v>
      </c>
      <c r="M1475" t="str">
        <f t="shared" si="158"/>
        <v>2019-10-10</v>
      </c>
      <c r="N1475" s="20">
        <f t="shared" si="159"/>
        <v>43749</v>
      </c>
      <c r="O1475" t="str">
        <f t="shared" si="160"/>
        <v>2019-10-11</v>
      </c>
    </row>
    <row r="1476" spans="1:15" x14ac:dyDescent="0.2">
      <c r="A1476" s="21" t="str">
        <f t="shared" ref="A1476:A1539" si="161">IF(LEFT(B1476,2)&gt;12,"y","-")</f>
        <v>y</v>
      </c>
      <c r="B1476" s="24">
        <v>43748</v>
      </c>
      <c r="C1476" t="s">
        <v>365</v>
      </c>
      <c r="D1476" t="s">
        <v>13</v>
      </c>
      <c r="E1476" t="s">
        <v>8</v>
      </c>
      <c r="F1476" t="s">
        <v>29</v>
      </c>
      <c r="G1476" t="s">
        <v>625</v>
      </c>
      <c r="H1476" t="s">
        <v>2062</v>
      </c>
      <c r="I1476" s="22" t="str">
        <f t="shared" ref="I1476:I1539" si="162">IF(K1476="yes",TEXT(B1476,"YYYY-DD-MM"),TEXT(B1476,"YYYY-MM-DD"))</f>
        <v>2019-10-10</v>
      </c>
      <c r="J1476" s="23" t="str">
        <f t="shared" ref="J1476:J1539" si="163">LEFT(B1476,2)</f>
        <v>43</v>
      </c>
      <c r="K1476" t="str">
        <f t="shared" ref="K1476:K1539" si="164">IF(L1476&gt;31,"yes","no")</f>
        <v>yes</v>
      </c>
      <c r="L1476">
        <v>43</v>
      </c>
      <c r="M1476" t="str">
        <f t="shared" ref="M1476:M1539" si="165">I1476</f>
        <v>2019-10-10</v>
      </c>
      <c r="N1476" s="20" t="str">
        <f t="shared" ref="N1476:N1539" si="166">IF(F1476="DONE",M1476,M1476+1)</f>
        <v>2019-10-10</v>
      </c>
      <c r="O1476" t="str">
        <f t="shared" ref="O1476:O1539" si="167">TEXT(N1476,"YYYY-MM-DD")</f>
        <v>2019-10-10</v>
      </c>
    </row>
    <row r="1477" spans="1:15" x14ac:dyDescent="0.2">
      <c r="A1477" s="21" t="str">
        <f t="shared" si="161"/>
        <v>y</v>
      </c>
      <c r="B1477" s="24">
        <v>43718</v>
      </c>
      <c r="C1477" t="s">
        <v>578</v>
      </c>
      <c r="D1477" t="s">
        <v>14</v>
      </c>
      <c r="E1477" t="s">
        <v>27</v>
      </c>
      <c r="F1477" t="s">
        <v>2</v>
      </c>
      <c r="H1477" t="s">
        <v>2025</v>
      </c>
      <c r="I1477" s="22" t="str">
        <f t="shared" si="162"/>
        <v>2019-10-09</v>
      </c>
      <c r="J1477" s="23" t="str">
        <f t="shared" si="163"/>
        <v>43</v>
      </c>
      <c r="K1477" t="str">
        <f t="shared" si="164"/>
        <v>yes</v>
      </c>
      <c r="L1477">
        <v>43</v>
      </c>
      <c r="M1477" t="str">
        <f t="shared" si="165"/>
        <v>2019-10-09</v>
      </c>
      <c r="N1477" s="20">
        <f t="shared" si="166"/>
        <v>43748</v>
      </c>
      <c r="O1477" t="str">
        <f t="shared" si="167"/>
        <v>2019-10-10</v>
      </c>
    </row>
    <row r="1478" spans="1:15" x14ac:dyDescent="0.2">
      <c r="A1478" s="21" t="str">
        <f t="shared" si="161"/>
        <v>y</v>
      </c>
      <c r="B1478" s="24">
        <v>43718</v>
      </c>
      <c r="C1478" t="s">
        <v>503</v>
      </c>
      <c r="D1478" t="s">
        <v>13</v>
      </c>
      <c r="E1478" t="s">
        <v>34</v>
      </c>
      <c r="F1478" t="s">
        <v>2</v>
      </c>
      <c r="G1478" t="s">
        <v>618</v>
      </c>
      <c r="H1478" t="s">
        <v>2025</v>
      </c>
      <c r="I1478" s="22" t="str">
        <f t="shared" si="162"/>
        <v>2019-10-09</v>
      </c>
      <c r="J1478" s="23" t="str">
        <f t="shared" si="163"/>
        <v>43</v>
      </c>
      <c r="K1478" t="str">
        <f t="shared" si="164"/>
        <v>yes</v>
      </c>
      <c r="L1478">
        <v>43</v>
      </c>
      <c r="M1478" t="str">
        <f t="shared" si="165"/>
        <v>2019-10-09</v>
      </c>
      <c r="N1478" s="20">
        <f t="shared" si="166"/>
        <v>43748</v>
      </c>
      <c r="O1478" t="str">
        <f t="shared" si="167"/>
        <v>2019-10-10</v>
      </c>
    </row>
    <row r="1479" spans="1:15" x14ac:dyDescent="0.2">
      <c r="A1479" s="21" t="str">
        <f t="shared" si="161"/>
        <v>y</v>
      </c>
      <c r="B1479" s="24">
        <v>43718</v>
      </c>
      <c r="C1479" t="s">
        <v>616</v>
      </c>
      <c r="D1479" t="s">
        <v>13</v>
      </c>
      <c r="E1479" t="s">
        <v>27</v>
      </c>
      <c r="F1479" t="s">
        <v>29</v>
      </c>
      <c r="G1479" t="s">
        <v>620</v>
      </c>
      <c r="H1479" t="s">
        <v>2041</v>
      </c>
      <c r="I1479" s="22" t="str">
        <f t="shared" si="162"/>
        <v>2019-10-09</v>
      </c>
      <c r="J1479" s="23" t="str">
        <f t="shared" si="163"/>
        <v>43</v>
      </c>
      <c r="K1479" t="str">
        <f t="shared" si="164"/>
        <v>yes</v>
      </c>
      <c r="L1479">
        <v>43</v>
      </c>
      <c r="M1479" t="str">
        <f t="shared" si="165"/>
        <v>2019-10-09</v>
      </c>
      <c r="N1479" s="20" t="str">
        <f t="shared" si="166"/>
        <v>2019-10-09</v>
      </c>
      <c r="O1479" t="str">
        <f t="shared" si="167"/>
        <v>2019-10-09</v>
      </c>
    </row>
    <row r="1480" spans="1:15" x14ac:dyDescent="0.2">
      <c r="A1480" s="21" t="str">
        <f t="shared" si="161"/>
        <v>y</v>
      </c>
      <c r="B1480" s="24">
        <v>43718</v>
      </c>
      <c r="C1480" t="s">
        <v>151</v>
      </c>
      <c r="D1480" t="s">
        <v>13</v>
      </c>
      <c r="E1480" t="s">
        <v>27</v>
      </c>
      <c r="F1480" t="s">
        <v>29</v>
      </c>
      <c r="G1480" t="s">
        <v>619</v>
      </c>
      <c r="H1480" t="s">
        <v>2025</v>
      </c>
      <c r="I1480" s="22" t="str">
        <f t="shared" si="162"/>
        <v>2019-10-09</v>
      </c>
      <c r="J1480" s="23" t="str">
        <f t="shared" si="163"/>
        <v>43</v>
      </c>
      <c r="K1480" t="str">
        <f t="shared" si="164"/>
        <v>yes</v>
      </c>
      <c r="L1480">
        <v>43</v>
      </c>
      <c r="M1480" t="str">
        <f t="shared" si="165"/>
        <v>2019-10-09</v>
      </c>
      <c r="N1480" s="20" t="str">
        <f t="shared" si="166"/>
        <v>2019-10-09</v>
      </c>
      <c r="O1480" t="str">
        <f t="shared" si="167"/>
        <v>2019-10-09</v>
      </c>
    </row>
    <row r="1481" spans="1:15" x14ac:dyDescent="0.2">
      <c r="A1481" s="21" t="str">
        <f t="shared" si="161"/>
        <v>y</v>
      </c>
      <c r="B1481" s="24">
        <v>43687</v>
      </c>
      <c r="C1481" t="s">
        <v>578</v>
      </c>
      <c r="D1481" t="s">
        <v>14</v>
      </c>
      <c r="E1481" t="s">
        <v>27</v>
      </c>
      <c r="F1481" t="s">
        <v>2</v>
      </c>
      <c r="H1481" t="s">
        <v>2041</v>
      </c>
      <c r="I1481" s="22" t="str">
        <f t="shared" si="162"/>
        <v>2019-10-08</v>
      </c>
      <c r="J1481" s="23" t="str">
        <f t="shared" si="163"/>
        <v>43</v>
      </c>
      <c r="K1481" t="str">
        <f t="shared" si="164"/>
        <v>yes</v>
      </c>
      <c r="L1481">
        <v>43</v>
      </c>
      <c r="M1481" t="str">
        <f t="shared" si="165"/>
        <v>2019-10-08</v>
      </c>
      <c r="N1481" s="20">
        <f t="shared" si="166"/>
        <v>43747</v>
      </c>
      <c r="O1481" t="str">
        <f t="shared" si="167"/>
        <v>2019-10-09</v>
      </c>
    </row>
    <row r="1482" spans="1:15" x14ac:dyDescent="0.2">
      <c r="A1482" s="21" t="str">
        <f t="shared" si="161"/>
        <v>y</v>
      </c>
      <c r="B1482" s="24">
        <v>43687</v>
      </c>
      <c r="C1482" t="s">
        <v>578</v>
      </c>
      <c r="D1482" t="s">
        <v>14</v>
      </c>
      <c r="E1482" t="s">
        <v>4</v>
      </c>
      <c r="F1482" t="s">
        <v>29</v>
      </c>
      <c r="G1482" t="s">
        <v>617</v>
      </c>
      <c r="H1482" t="s">
        <v>2028</v>
      </c>
      <c r="I1482" s="22" t="str">
        <f t="shared" si="162"/>
        <v>2019-10-08</v>
      </c>
      <c r="J1482" s="23" t="str">
        <f t="shared" si="163"/>
        <v>43</v>
      </c>
      <c r="K1482" t="str">
        <f t="shared" si="164"/>
        <v>yes</v>
      </c>
      <c r="L1482">
        <v>43</v>
      </c>
      <c r="M1482" t="str">
        <f t="shared" si="165"/>
        <v>2019-10-08</v>
      </c>
      <c r="N1482" s="20" t="str">
        <f t="shared" si="166"/>
        <v>2019-10-08</v>
      </c>
      <c r="O1482" t="str">
        <f t="shared" si="167"/>
        <v>2019-10-08</v>
      </c>
    </row>
    <row r="1483" spans="1:15" x14ac:dyDescent="0.2">
      <c r="A1483" s="21" t="str">
        <f t="shared" si="161"/>
        <v>y</v>
      </c>
      <c r="B1483" s="24">
        <v>43687</v>
      </c>
      <c r="C1483" t="s">
        <v>503</v>
      </c>
      <c r="D1483" t="s">
        <v>13</v>
      </c>
      <c r="E1483" t="s">
        <v>34</v>
      </c>
      <c r="F1483" t="s">
        <v>2</v>
      </c>
      <c r="H1483" t="s">
        <v>2025</v>
      </c>
      <c r="I1483" s="22" t="str">
        <f t="shared" si="162"/>
        <v>2019-10-08</v>
      </c>
      <c r="J1483" s="23" t="str">
        <f t="shared" si="163"/>
        <v>43</v>
      </c>
      <c r="K1483" t="str">
        <f t="shared" si="164"/>
        <v>yes</v>
      </c>
      <c r="L1483">
        <v>43</v>
      </c>
      <c r="M1483" t="str">
        <f t="shared" si="165"/>
        <v>2019-10-08</v>
      </c>
      <c r="N1483" s="20">
        <f t="shared" si="166"/>
        <v>43747</v>
      </c>
      <c r="O1483" t="str">
        <f t="shared" si="167"/>
        <v>2019-10-09</v>
      </c>
    </row>
    <row r="1484" spans="1:15" x14ac:dyDescent="0.2">
      <c r="A1484" s="21" t="str">
        <f t="shared" si="161"/>
        <v>y</v>
      </c>
      <c r="B1484" s="24">
        <v>43687</v>
      </c>
      <c r="C1484" t="s">
        <v>616</v>
      </c>
      <c r="D1484" t="s">
        <v>13</v>
      </c>
      <c r="E1484" t="s">
        <v>27</v>
      </c>
      <c r="F1484" t="s">
        <v>2</v>
      </c>
      <c r="H1484" t="s">
        <v>2041</v>
      </c>
      <c r="I1484" s="22" t="str">
        <f t="shared" si="162"/>
        <v>2019-10-08</v>
      </c>
      <c r="J1484" s="23" t="str">
        <f t="shared" si="163"/>
        <v>43</v>
      </c>
      <c r="K1484" t="str">
        <f t="shared" si="164"/>
        <v>yes</v>
      </c>
      <c r="L1484">
        <v>43</v>
      </c>
      <c r="M1484" t="str">
        <f t="shared" si="165"/>
        <v>2019-10-08</v>
      </c>
      <c r="N1484" s="20">
        <f t="shared" si="166"/>
        <v>43747</v>
      </c>
      <c r="O1484" t="str">
        <f t="shared" si="167"/>
        <v>2019-10-09</v>
      </c>
    </row>
    <row r="1485" spans="1:15" x14ac:dyDescent="0.2">
      <c r="A1485" s="21" t="str">
        <f t="shared" si="161"/>
        <v>y</v>
      </c>
      <c r="B1485" s="24">
        <v>43656</v>
      </c>
      <c r="C1485" t="s">
        <v>578</v>
      </c>
      <c r="D1485" t="s">
        <v>14</v>
      </c>
      <c r="E1485" t="s">
        <v>27</v>
      </c>
      <c r="F1485" t="s">
        <v>2</v>
      </c>
      <c r="G1485" t="s">
        <v>614</v>
      </c>
      <c r="H1485" t="s">
        <v>2025</v>
      </c>
      <c r="I1485" s="22" t="str">
        <f t="shared" si="162"/>
        <v>2019-10-07</v>
      </c>
      <c r="J1485" s="23" t="str">
        <f t="shared" si="163"/>
        <v>43</v>
      </c>
      <c r="K1485" t="str">
        <f t="shared" si="164"/>
        <v>yes</v>
      </c>
      <c r="L1485">
        <v>43</v>
      </c>
      <c r="M1485" t="str">
        <f t="shared" si="165"/>
        <v>2019-10-07</v>
      </c>
      <c r="N1485" s="20">
        <f t="shared" si="166"/>
        <v>43746</v>
      </c>
      <c r="O1485" t="str">
        <f t="shared" si="167"/>
        <v>2019-10-08</v>
      </c>
    </row>
    <row r="1486" spans="1:15" x14ac:dyDescent="0.2">
      <c r="A1486" s="21" t="str">
        <f t="shared" si="161"/>
        <v>y</v>
      </c>
      <c r="B1486" s="24">
        <v>43656</v>
      </c>
      <c r="C1486" t="s">
        <v>503</v>
      </c>
      <c r="D1486" t="s">
        <v>13</v>
      </c>
      <c r="E1486" t="s">
        <v>34</v>
      </c>
      <c r="F1486" t="s">
        <v>2</v>
      </c>
      <c r="G1486" t="s">
        <v>615</v>
      </c>
      <c r="H1486" t="s">
        <v>2026</v>
      </c>
      <c r="I1486" s="22" t="str">
        <f t="shared" si="162"/>
        <v>2019-10-07</v>
      </c>
      <c r="J1486" s="23" t="str">
        <f t="shared" si="163"/>
        <v>43</v>
      </c>
      <c r="K1486" t="str">
        <f t="shared" si="164"/>
        <v>yes</v>
      </c>
      <c r="L1486">
        <v>43</v>
      </c>
      <c r="M1486" t="str">
        <f t="shared" si="165"/>
        <v>2019-10-07</v>
      </c>
      <c r="N1486" s="20">
        <f t="shared" si="166"/>
        <v>43746</v>
      </c>
      <c r="O1486" t="str">
        <f t="shared" si="167"/>
        <v>2019-10-08</v>
      </c>
    </row>
    <row r="1487" spans="1:15" x14ac:dyDescent="0.2">
      <c r="A1487" s="21" t="str">
        <f t="shared" si="161"/>
        <v>y</v>
      </c>
      <c r="B1487" s="24">
        <v>43626</v>
      </c>
      <c r="C1487" t="s">
        <v>578</v>
      </c>
      <c r="D1487" t="s">
        <v>14</v>
      </c>
      <c r="E1487" t="s">
        <v>27</v>
      </c>
      <c r="F1487" t="s">
        <v>2</v>
      </c>
      <c r="G1487" t="s">
        <v>611</v>
      </c>
      <c r="H1487" t="s">
        <v>2041</v>
      </c>
      <c r="I1487" s="22" t="str">
        <f t="shared" si="162"/>
        <v>2019-10-06</v>
      </c>
      <c r="J1487" s="23" t="str">
        <f t="shared" si="163"/>
        <v>43</v>
      </c>
      <c r="K1487" t="str">
        <f t="shared" si="164"/>
        <v>yes</v>
      </c>
      <c r="L1487">
        <v>43</v>
      </c>
      <c r="M1487" t="str">
        <f t="shared" si="165"/>
        <v>2019-10-06</v>
      </c>
      <c r="N1487" s="20">
        <f t="shared" si="166"/>
        <v>43745</v>
      </c>
      <c r="O1487" t="str">
        <f t="shared" si="167"/>
        <v>2019-10-07</v>
      </c>
    </row>
    <row r="1488" spans="1:15" x14ac:dyDescent="0.2">
      <c r="A1488" s="21" t="str">
        <f t="shared" si="161"/>
        <v>y</v>
      </c>
      <c r="B1488" s="24">
        <v>43626</v>
      </c>
      <c r="C1488" t="s">
        <v>503</v>
      </c>
      <c r="D1488" t="s">
        <v>13</v>
      </c>
      <c r="E1488" t="s">
        <v>34</v>
      </c>
      <c r="F1488" t="s">
        <v>2</v>
      </c>
      <c r="G1488" t="s">
        <v>613</v>
      </c>
      <c r="H1488" t="s">
        <v>2025</v>
      </c>
      <c r="I1488" s="22" t="str">
        <f t="shared" si="162"/>
        <v>2019-10-06</v>
      </c>
      <c r="J1488" s="23" t="str">
        <f t="shared" si="163"/>
        <v>43</v>
      </c>
      <c r="K1488" t="str">
        <f t="shared" si="164"/>
        <v>yes</v>
      </c>
      <c r="L1488">
        <v>43</v>
      </c>
      <c r="M1488" t="str">
        <f t="shared" si="165"/>
        <v>2019-10-06</v>
      </c>
      <c r="N1488" s="20">
        <f t="shared" si="166"/>
        <v>43745</v>
      </c>
      <c r="O1488" t="str">
        <f t="shared" si="167"/>
        <v>2019-10-07</v>
      </c>
    </row>
    <row r="1489" spans="1:15" x14ac:dyDescent="0.2">
      <c r="A1489" s="21" t="str">
        <f t="shared" si="161"/>
        <v>y</v>
      </c>
      <c r="B1489" s="24">
        <v>43626</v>
      </c>
      <c r="C1489" t="s">
        <v>426</v>
      </c>
      <c r="D1489" t="s">
        <v>13</v>
      </c>
      <c r="E1489" t="s">
        <v>49</v>
      </c>
      <c r="F1489" t="s">
        <v>29</v>
      </c>
      <c r="G1489" t="s">
        <v>612</v>
      </c>
      <c r="H1489" t="s">
        <v>2041</v>
      </c>
      <c r="I1489" s="22" t="str">
        <f t="shared" si="162"/>
        <v>2019-10-06</v>
      </c>
      <c r="J1489" s="23" t="str">
        <f t="shared" si="163"/>
        <v>43</v>
      </c>
      <c r="K1489" t="str">
        <f t="shared" si="164"/>
        <v>yes</v>
      </c>
      <c r="L1489">
        <v>43</v>
      </c>
      <c r="M1489" t="str">
        <f t="shared" si="165"/>
        <v>2019-10-06</v>
      </c>
      <c r="N1489" s="20" t="str">
        <f t="shared" si="166"/>
        <v>2019-10-06</v>
      </c>
      <c r="O1489" t="str">
        <f t="shared" si="167"/>
        <v>2019-10-06</v>
      </c>
    </row>
    <row r="1490" spans="1:15" x14ac:dyDescent="0.2">
      <c r="A1490" s="21" t="str">
        <f t="shared" si="161"/>
        <v>y</v>
      </c>
      <c r="B1490" s="24">
        <v>43534</v>
      </c>
      <c r="C1490" t="s">
        <v>578</v>
      </c>
      <c r="D1490" t="s">
        <v>14</v>
      </c>
      <c r="E1490" t="s">
        <v>27</v>
      </c>
      <c r="F1490" t="s">
        <v>2</v>
      </c>
      <c r="G1490" t="s">
        <v>610</v>
      </c>
      <c r="H1490" t="s">
        <v>2019</v>
      </c>
      <c r="I1490" s="22" t="str">
        <f t="shared" si="162"/>
        <v>2019-10-03</v>
      </c>
      <c r="J1490" s="23" t="str">
        <f t="shared" si="163"/>
        <v>43</v>
      </c>
      <c r="K1490" t="str">
        <f t="shared" si="164"/>
        <v>yes</v>
      </c>
      <c r="L1490">
        <v>43</v>
      </c>
      <c r="M1490" t="str">
        <f t="shared" si="165"/>
        <v>2019-10-03</v>
      </c>
      <c r="N1490" s="20">
        <f t="shared" si="166"/>
        <v>43742</v>
      </c>
      <c r="O1490" t="str">
        <f t="shared" si="167"/>
        <v>2019-10-04</v>
      </c>
    </row>
    <row r="1491" spans="1:15" x14ac:dyDescent="0.2">
      <c r="A1491" s="21" t="str">
        <f t="shared" si="161"/>
        <v>y</v>
      </c>
      <c r="B1491" s="24">
        <v>43534</v>
      </c>
      <c r="C1491" t="s">
        <v>503</v>
      </c>
      <c r="D1491" t="s">
        <v>13</v>
      </c>
      <c r="E1491" t="s">
        <v>34</v>
      </c>
      <c r="F1491" t="s">
        <v>2</v>
      </c>
      <c r="H1491" t="s">
        <v>2025</v>
      </c>
      <c r="I1491" s="22" t="str">
        <f t="shared" si="162"/>
        <v>2019-10-03</v>
      </c>
      <c r="J1491" s="23" t="str">
        <f t="shared" si="163"/>
        <v>43</v>
      </c>
      <c r="K1491" t="str">
        <f t="shared" si="164"/>
        <v>yes</v>
      </c>
      <c r="L1491">
        <v>43</v>
      </c>
      <c r="M1491" t="str">
        <f t="shared" si="165"/>
        <v>2019-10-03</v>
      </c>
      <c r="N1491" s="20">
        <f t="shared" si="166"/>
        <v>43742</v>
      </c>
      <c r="O1491" t="str">
        <f t="shared" si="167"/>
        <v>2019-10-04</v>
      </c>
    </row>
    <row r="1492" spans="1:15" x14ac:dyDescent="0.2">
      <c r="A1492" s="21" t="str">
        <f t="shared" si="161"/>
        <v>y</v>
      </c>
      <c r="B1492" s="24">
        <v>43506</v>
      </c>
      <c r="C1492" t="s">
        <v>578</v>
      </c>
      <c r="D1492" t="s">
        <v>14</v>
      </c>
      <c r="E1492" t="s">
        <v>27</v>
      </c>
      <c r="F1492" t="s">
        <v>2</v>
      </c>
      <c r="G1492" t="s">
        <v>606</v>
      </c>
      <c r="H1492" t="s">
        <v>2064</v>
      </c>
      <c r="I1492" s="22" t="str">
        <f t="shared" si="162"/>
        <v>2019-10-02</v>
      </c>
      <c r="J1492" s="23" t="str">
        <f t="shared" si="163"/>
        <v>43</v>
      </c>
      <c r="K1492" t="str">
        <f t="shared" si="164"/>
        <v>yes</v>
      </c>
      <c r="L1492">
        <v>43</v>
      </c>
      <c r="M1492" t="str">
        <f t="shared" si="165"/>
        <v>2019-10-02</v>
      </c>
      <c r="N1492" s="20">
        <f t="shared" si="166"/>
        <v>43741</v>
      </c>
      <c r="O1492" t="str">
        <f t="shared" si="167"/>
        <v>2019-10-03</v>
      </c>
    </row>
    <row r="1493" spans="1:15" x14ac:dyDescent="0.2">
      <c r="A1493" s="21" t="str">
        <f t="shared" si="161"/>
        <v>y</v>
      </c>
      <c r="B1493" s="24">
        <v>43506</v>
      </c>
      <c r="C1493" t="s">
        <v>65</v>
      </c>
      <c r="D1493" t="s">
        <v>14</v>
      </c>
      <c r="E1493" t="s">
        <v>64</v>
      </c>
      <c r="F1493" t="s">
        <v>2</v>
      </c>
      <c r="H1493" t="s">
        <v>2041</v>
      </c>
      <c r="I1493" s="22" t="str">
        <f t="shared" si="162"/>
        <v>2019-10-02</v>
      </c>
      <c r="J1493" s="23" t="str">
        <f t="shared" si="163"/>
        <v>43</v>
      </c>
      <c r="K1493" t="str">
        <f t="shared" si="164"/>
        <v>yes</v>
      </c>
      <c r="L1493">
        <v>43</v>
      </c>
      <c r="M1493" t="str">
        <f t="shared" si="165"/>
        <v>2019-10-02</v>
      </c>
      <c r="N1493" s="20">
        <f t="shared" si="166"/>
        <v>43741</v>
      </c>
      <c r="O1493" t="str">
        <f t="shared" si="167"/>
        <v>2019-10-03</v>
      </c>
    </row>
    <row r="1494" spans="1:15" x14ac:dyDescent="0.2">
      <c r="A1494" s="21" t="str">
        <f t="shared" si="161"/>
        <v>y</v>
      </c>
      <c r="B1494" s="24">
        <v>43506</v>
      </c>
      <c r="C1494" t="s">
        <v>503</v>
      </c>
      <c r="D1494" t="s">
        <v>13</v>
      </c>
      <c r="E1494" t="s">
        <v>34</v>
      </c>
      <c r="F1494" t="s">
        <v>2</v>
      </c>
      <c r="G1494" t="s">
        <v>609</v>
      </c>
      <c r="H1494" t="s">
        <v>2019</v>
      </c>
      <c r="I1494" s="22" t="str">
        <f t="shared" si="162"/>
        <v>2019-10-02</v>
      </c>
      <c r="J1494" s="23" t="str">
        <f t="shared" si="163"/>
        <v>43</v>
      </c>
      <c r="K1494" t="str">
        <f t="shared" si="164"/>
        <v>yes</v>
      </c>
      <c r="L1494">
        <v>43</v>
      </c>
      <c r="M1494" t="str">
        <f t="shared" si="165"/>
        <v>2019-10-02</v>
      </c>
      <c r="N1494" s="20">
        <f t="shared" si="166"/>
        <v>43741</v>
      </c>
      <c r="O1494" t="str">
        <f t="shared" si="167"/>
        <v>2019-10-03</v>
      </c>
    </row>
    <row r="1495" spans="1:15" x14ac:dyDescent="0.2">
      <c r="A1495" s="21" t="str">
        <f t="shared" si="161"/>
        <v>y</v>
      </c>
      <c r="B1495" s="24">
        <v>43475</v>
      </c>
      <c r="C1495" t="s">
        <v>578</v>
      </c>
      <c r="D1495" t="s">
        <v>14</v>
      </c>
      <c r="E1495" t="s">
        <v>27</v>
      </c>
      <c r="F1495" t="s">
        <v>2</v>
      </c>
      <c r="G1495" t="s">
        <v>606</v>
      </c>
      <c r="H1495" t="s">
        <v>2057</v>
      </c>
      <c r="I1495" s="22" t="str">
        <f t="shared" si="162"/>
        <v>2019-10-01</v>
      </c>
      <c r="J1495" s="23" t="str">
        <f t="shared" si="163"/>
        <v>43</v>
      </c>
      <c r="K1495" t="str">
        <f t="shared" si="164"/>
        <v>yes</v>
      </c>
      <c r="L1495">
        <v>43</v>
      </c>
      <c r="M1495" t="str">
        <f t="shared" si="165"/>
        <v>2019-10-01</v>
      </c>
      <c r="N1495" s="20">
        <f t="shared" si="166"/>
        <v>43740</v>
      </c>
      <c r="O1495" t="str">
        <f t="shared" si="167"/>
        <v>2019-10-02</v>
      </c>
    </row>
    <row r="1496" spans="1:15" x14ac:dyDescent="0.2">
      <c r="A1496" s="21" t="str">
        <f t="shared" si="161"/>
        <v>y</v>
      </c>
      <c r="B1496" s="24">
        <v>43475</v>
      </c>
      <c r="C1496" t="s">
        <v>503</v>
      </c>
      <c r="D1496" t="s">
        <v>13</v>
      </c>
      <c r="E1496" t="s">
        <v>27</v>
      </c>
      <c r="F1496" t="s">
        <v>29</v>
      </c>
      <c r="G1496" t="s">
        <v>607</v>
      </c>
      <c r="H1496" t="s">
        <v>1988</v>
      </c>
      <c r="I1496" s="22" t="str">
        <f t="shared" si="162"/>
        <v>2019-10-01</v>
      </c>
      <c r="J1496" s="23" t="str">
        <f t="shared" si="163"/>
        <v>43</v>
      </c>
      <c r="K1496" t="str">
        <f t="shared" si="164"/>
        <v>yes</v>
      </c>
      <c r="L1496">
        <v>43</v>
      </c>
      <c r="M1496" t="str">
        <f t="shared" si="165"/>
        <v>2019-10-01</v>
      </c>
      <c r="N1496" s="20" t="str">
        <f t="shared" si="166"/>
        <v>2019-10-01</v>
      </c>
      <c r="O1496" t="str">
        <f t="shared" si="167"/>
        <v>2019-10-01</v>
      </c>
    </row>
    <row r="1497" spans="1:15" x14ac:dyDescent="0.2">
      <c r="A1497" s="21" t="str">
        <f t="shared" si="161"/>
        <v>y</v>
      </c>
      <c r="B1497" s="24">
        <v>43475</v>
      </c>
      <c r="C1497" t="s">
        <v>32</v>
      </c>
      <c r="D1497" t="s">
        <v>13</v>
      </c>
      <c r="E1497" t="s">
        <v>28</v>
      </c>
      <c r="F1497" t="s">
        <v>29</v>
      </c>
      <c r="G1497" t="s">
        <v>608</v>
      </c>
      <c r="H1497" t="s">
        <v>2025</v>
      </c>
      <c r="I1497" s="22" t="str">
        <f t="shared" si="162"/>
        <v>2019-10-01</v>
      </c>
      <c r="J1497" s="23" t="str">
        <f t="shared" si="163"/>
        <v>43</v>
      </c>
      <c r="K1497" t="str">
        <f t="shared" si="164"/>
        <v>yes</v>
      </c>
      <c r="L1497">
        <v>43</v>
      </c>
      <c r="M1497" t="str">
        <f t="shared" si="165"/>
        <v>2019-10-01</v>
      </c>
      <c r="N1497" s="20" t="str">
        <f t="shared" si="166"/>
        <v>2019-10-01</v>
      </c>
      <c r="O1497" t="str">
        <f t="shared" si="167"/>
        <v>2019-10-01</v>
      </c>
    </row>
    <row r="1498" spans="1:15" x14ac:dyDescent="0.2">
      <c r="A1498" s="21" t="str">
        <f t="shared" si="161"/>
        <v>y</v>
      </c>
      <c r="B1498" s="24" t="s">
        <v>1819</v>
      </c>
      <c r="C1498" t="s">
        <v>578</v>
      </c>
      <c r="D1498" t="s">
        <v>14</v>
      </c>
      <c r="E1498" t="s">
        <v>27</v>
      </c>
      <c r="F1498" t="s">
        <v>2</v>
      </c>
      <c r="G1498" t="s">
        <v>603</v>
      </c>
      <c r="H1498" t="s">
        <v>2028</v>
      </c>
      <c r="I1498" s="22" t="str">
        <f t="shared" si="162"/>
        <v>2019-09-30</v>
      </c>
      <c r="J1498" s="23" t="str">
        <f t="shared" si="163"/>
        <v>30</v>
      </c>
      <c r="K1498" t="str">
        <f t="shared" si="164"/>
        <v>no</v>
      </c>
      <c r="L1498">
        <v>30</v>
      </c>
      <c r="M1498" t="str">
        <f t="shared" si="165"/>
        <v>2019-09-30</v>
      </c>
      <c r="N1498" s="20">
        <f t="shared" si="166"/>
        <v>43739</v>
      </c>
      <c r="O1498" t="str">
        <f t="shared" si="167"/>
        <v>2019-10-01</v>
      </c>
    </row>
    <row r="1499" spans="1:15" x14ac:dyDescent="0.2">
      <c r="A1499" s="21" t="str">
        <f t="shared" si="161"/>
        <v>y</v>
      </c>
      <c r="B1499" s="24" t="s">
        <v>1819</v>
      </c>
      <c r="C1499" t="s">
        <v>109</v>
      </c>
      <c r="D1499" t="s">
        <v>15</v>
      </c>
      <c r="E1499" t="s">
        <v>8</v>
      </c>
      <c r="F1499" t="s">
        <v>29</v>
      </c>
      <c r="G1499" t="s">
        <v>604</v>
      </c>
      <c r="H1499" t="s">
        <v>2028</v>
      </c>
      <c r="I1499" s="22" t="str">
        <f t="shared" si="162"/>
        <v>2019-09-30</v>
      </c>
      <c r="J1499" s="23" t="str">
        <f t="shared" si="163"/>
        <v>30</v>
      </c>
      <c r="K1499" t="str">
        <f t="shared" si="164"/>
        <v>no</v>
      </c>
      <c r="L1499">
        <v>30</v>
      </c>
      <c r="M1499" t="str">
        <f t="shared" si="165"/>
        <v>2019-09-30</v>
      </c>
      <c r="N1499" s="20" t="str">
        <f t="shared" si="166"/>
        <v>2019-09-30</v>
      </c>
      <c r="O1499" t="str">
        <f t="shared" si="167"/>
        <v>2019-09-30</v>
      </c>
    </row>
    <row r="1500" spans="1:15" x14ac:dyDescent="0.2">
      <c r="A1500" s="21" t="str">
        <f t="shared" si="161"/>
        <v>y</v>
      </c>
      <c r="B1500" s="24" t="s">
        <v>1819</v>
      </c>
      <c r="C1500" t="s">
        <v>503</v>
      </c>
      <c r="D1500" t="s">
        <v>13</v>
      </c>
      <c r="E1500" t="s">
        <v>27</v>
      </c>
      <c r="F1500" t="s">
        <v>29</v>
      </c>
      <c r="G1500" t="s">
        <v>605</v>
      </c>
      <c r="H1500" t="s">
        <v>2019</v>
      </c>
      <c r="I1500" s="22" t="str">
        <f t="shared" si="162"/>
        <v>2019-09-30</v>
      </c>
      <c r="J1500" s="23" t="str">
        <f t="shared" si="163"/>
        <v>30</v>
      </c>
      <c r="K1500" t="str">
        <f t="shared" si="164"/>
        <v>no</v>
      </c>
      <c r="L1500">
        <v>30</v>
      </c>
      <c r="M1500" t="str">
        <f t="shared" si="165"/>
        <v>2019-09-30</v>
      </c>
      <c r="N1500" s="20" t="str">
        <f t="shared" si="166"/>
        <v>2019-09-30</v>
      </c>
      <c r="O1500" t="str">
        <f t="shared" si="167"/>
        <v>2019-09-30</v>
      </c>
    </row>
    <row r="1501" spans="1:15" x14ac:dyDescent="0.2">
      <c r="A1501" s="21" t="str">
        <f t="shared" si="161"/>
        <v>y</v>
      </c>
      <c r="B1501" s="24" t="s">
        <v>1820</v>
      </c>
      <c r="C1501" t="s">
        <v>426</v>
      </c>
      <c r="D1501" t="s">
        <v>13</v>
      </c>
      <c r="E1501" t="s">
        <v>49</v>
      </c>
      <c r="F1501" t="s">
        <v>29</v>
      </c>
      <c r="G1501" t="s">
        <v>602</v>
      </c>
      <c r="H1501" t="s">
        <v>2045</v>
      </c>
      <c r="I1501" s="22" t="str">
        <f t="shared" si="162"/>
        <v>2019-09-29</v>
      </c>
      <c r="J1501" s="23" t="str">
        <f t="shared" si="163"/>
        <v>29</v>
      </c>
      <c r="K1501" t="str">
        <f t="shared" si="164"/>
        <v>no</v>
      </c>
      <c r="L1501">
        <v>29</v>
      </c>
      <c r="M1501" t="str">
        <f t="shared" si="165"/>
        <v>2019-09-29</v>
      </c>
      <c r="N1501" s="20" t="str">
        <f t="shared" si="166"/>
        <v>2019-09-29</v>
      </c>
      <c r="O1501" t="str">
        <f t="shared" si="167"/>
        <v>2019-09-29</v>
      </c>
    </row>
    <row r="1502" spans="1:15" x14ac:dyDescent="0.2">
      <c r="A1502" s="21" t="str">
        <f t="shared" si="161"/>
        <v>y</v>
      </c>
      <c r="B1502" s="24" t="s">
        <v>1820</v>
      </c>
      <c r="C1502" t="s">
        <v>32</v>
      </c>
      <c r="D1502" t="s">
        <v>13</v>
      </c>
      <c r="E1502" t="s">
        <v>49</v>
      </c>
      <c r="F1502" t="s">
        <v>29</v>
      </c>
      <c r="G1502" t="s">
        <v>599</v>
      </c>
      <c r="H1502" t="s">
        <v>2026</v>
      </c>
      <c r="I1502" s="22" t="str">
        <f t="shared" si="162"/>
        <v>2019-09-29</v>
      </c>
      <c r="J1502" s="23" t="str">
        <f t="shared" si="163"/>
        <v>29</v>
      </c>
      <c r="K1502" t="str">
        <f t="shared" si="164"/>
        <v>no</v>
      </c>
      <c r="L1502">
        <v>29</v>
      </c>
      <c r="M1502" t="str">
        <f t="shared" si="165"/>
        <v>2019-09-29</v>
      </c>
      <c r="N1502" s="20" t="str">
        <f t="shared" si="166"/>
        <v>2019-09-29</v>
      </c>
      <c r="O1502" t="str">
        <f t="shared" si="167"/>
        <v>2019-09-29</v>
      </c>
    </row>
    <row r="1503" spans="1:15" x14ac:dyDescent="0.2">
      <c r="A1503" s="21" t="str">
        <f t="shared" si="161"/>
        <v>y</v>
      </c>
      <c r="B1503" s="24" t="s">
        <v>1820</v>
      </c>
      <c r="C1503" t="s">
        <v>365</v>
      </c>
      <c r="D1503" t="s">
        <v>13</v>
      </c>
      <c r="E1503" t="s">
        <v>8</v>
      </c>
      <c r="F1503" t="s">
        <v>29</v>
      </c>
      <c r="G1503" t="s">
        <v>598</v>
      </c>
      <c r="H1503" t="s">
        <v>2028</v>
      </c>
      <c r="I1503" s="22" t="str">
        <f t="shared" si="162"/>
        <v>2019-09-29</v>
      </c>
      <c r="J1503" s="23" t="str">
        <f t="shared" si="163"/>
        <v>29</v>
      </c>
      <c r="K1503" t="str">
        <f t="shared" si="164"/>
        <v>no</v>
      </c>
      <c r="L1503">
        <v>29</v>
      </c>
      <c r="M1503" t="str">
        <f t="shared" si="165"/>
        <v>2019-09-29</v>
      </c>
      <c r="N1503" s="20" t="str">
        <f t="shared" si="166"/>
        <v>2019-09-29</v>
      </c>
      <c r="O1503" t="str">
        <f t="shared" si="167"/>
        <v>2019-09-29</v>
      </c>
    </row>
    <row r="1504" spans="1:15" x14ac:dyDescent="0.2">
      <c r="A1504" s="21" t="str">
        <f t="shared" si="161"/>
        <v>y</v>
      </c>
      <c r="B1504" s="24" t="s">
        <v>1820</v>
      </c>
      <c r="C1504" t="s">
        <v>151</v>
      </c>
      <c r="D1504" t="s">
        <v>13</v>
      </c>
      <c r="E1504" t="s">
        <v>42</v>
      </c>
      <c r="F1504" t="s">
        <v>29</v>
      </c>
      <c r="G1504" t="s">
        <v>601</v>
      </c>
      <c r="H1504" t="s">
        <v>2029</v>
      </c>
      <c r="I1504" s="22" t="str">
        <f t="shared" si="162"/>
        <v>2019-09-29</v>
      </c>
      <c r="J1504" s="23" t="str">
        <f t="shared" si="163"/>
        <v>29</v>
      </c>
      <c r="K1504" t="str">
        <f t="shared" si="164"/>
        <v>no</v>
      </c>
      <c r="L1504">
        <v>29</v>
      </c>
      <c r="M1504" t="str">
        <f t="shared" si="165"/>
        <v>2019-09-29</v>
      </c>
      <c r="N1504" s="20" t="str">
        <f t="shared" si="166"/>
        <v>2019-09-29</v>
      </c>
      <c r="O1504" t="str">
        <f t="shared" si="167"/>
        <v>2019-09-29</v>
      </c>
    </row>
    <row r="1505" spans="1:15" x14ac:dyDescent="0.2">
      <c r="A1505" s="21" t="str">
        <f t="shared" si="161"/>
        <v>y</v>
      </c>
      <c r="B1505" s="24" t="s">
        <v>1820</v>
      </c>
      <c r="C1505" t="s">
        <v>578</v>
      </c>
      <c r="D1505" t="s">
        <v>14</v>
      </c>
      <c r="E1505" t="s">
        <v>27</v>
      </c>
      <c r="F1505" t="s">
        <v>29</v>
      </c>
      <c r="G1505" t="s">
        <v>600</v>
      </c>
      <c r="H1505" t="s">
        <v>2025</v>
      </c>
      <c r="I1505" s="22" t="str">
        <f t="shared" si="162"/>
        <v>2019-09-29</v>
      </c>
      <c r="J1505" s="23" t="str">
        <f t="shared" si="163"/>
        <v>29</v>
      </c>
      <c r="K1505" t="str">
        <f t="shared" si="164"/>
        <v>no</v>
      </c>
      <c r="L1505">
        <v>29</v>
      </c>
      <c r="M1505" t="str">
        <f t="shared" si="165"/>
        <v>2019-09-29</v>
      </c>
      <c r="N1505" s="20" t="str">
        <f t="shared" si="166"/>
        <v>2019-09-29</v>
      </c>
      <c r="O1505" t="str">
        <f t="shared" si="167"/>
        <v>2019-09-29</v>
      </c>
    </row>
    <row r="1506" spans="1:15" x14ac:dyDescent="0.2">
      <c r="A1506" s="21" t="str">
        <f t="shared" si="161"/>
        <v>y</v>
      </c>
      <c r="B1506" s="24" t="s">
        <v>1821</v>
      </c>
      <c r="C1506" t="s">
        <v>426</v>
      </c>
      <c r="D1506" t="s">
        <v>13</v>
      </c>
      <c r="E1506" t="s">
        <v>49</v>
      </c>
      <c r="F1506" t="s">
        <v>29</v>
      </c>
      <c r="G1506" t="s">
        <v>597</v>
      </c>
      <c r="H1506" t="s">
        <v>2025</v>
      </c>
      <c r="I1506" s="22" t="str">
        <f t="shared" si="162"/>
        <v>2019-09-26</v>
      </c>
      <c r="J1506" s="23" t="str">
        <f t="shared" si="163"/>
        <v>26</v>
      </c>
      <c r="K1506" t="str">
        <f t="shared" si="164"/>
        <v>no</v>
      </c>
      <c r="L1506">
        <v>26</v>
      </c>
      <c r="M1506" t="str">
        <f t="shared" si="165"/>
        <v>2019-09-26</v>
      </c>
      <c r="N1506" s="20" t="str">
        <f t="shared" si="166"/>
        <v>2019-09-26</v>
      </c>
      <c r="O1506" t="str">
        <f t="shared" si="167"/>
        <v>2019-09-26</v>
      </c>
    </row>
    <row r="1507" spans="1:15" x14ac:dyDescent="0.2">
      <c r="A1507" s="21" t="str">
        <f t="shared" si="161"/>
        <v>y</v>
      </c>
      <c r="B1507" s="24" t="s">
        <v>1822</v>
      </c>
      <c r="C1507" t="s">
        <v>426</v>
      </c>
      <c r="D1507" t="s">
        <v>13</v>
      </c>
      <c r="E1507" t="s">
        <v>27</v>
      </c>
      <c r="F1507" t="s">
        <v>29</v>
      </c>
      <c r="G1507" t="s">
        <v>588</v>
      </c>
      <c r="H1507" t="s">
        <v>2026</v>
      </c>
      <c r="I1507" s="22" t="str">
        <f t="shared" si="162"/>
        <v>2019-09-25</v>
      </c>
      <c r="J1507" s="23" t="str">
        <f t="shared" si="163"/>
        <v>25</v>
      </c>
      <c r="K1507" t="str">
        <f t="shared" si="164"/>
        <v>no</v>
      </c>
      <c r="L1507">
        <v>25</v>
      </c>
      <c r="M1507" t="str">
        <f t="shared" si="165"/>
        <v>2019-09-25</v>
      </c>
      <c r="N1507" s="20" t="str">
        <f t="shared" si="166"/>
        <v>2019-09-25</v>
      </c>
      <c r="O1507" t="str">
        <f t="shared" si="167"/>
        <v>2019-09-25</v>
      </c>
    </row>
    <row r="1508" spans="1:15" x14ac:dyDescent="0.2">
      <c r="A1508" s="21" t="str">
        <f t="shared" si="161"/>
        <v>y</v>
      </c>
      <c r="B1508" s="24" t="s">
        <v>1822</v>
      </c>
      <c r="C1508" t="s">
        <v>32</v>
      </c>
      <c r="D1508" t="s">
        <v>13</v>
      </c>
      <c r="E1508" t="s">
        <v>4</v>
      </c>
      <c r="F1508" t="s">
        <v>29</v>
      </c>
      <c r="G1508" t="s">
        <v>595</v>
      </c>
      <c r="H1508" t="s">
        <v>1960</v>
      </c>
      <c r="I1508" s="22" t="str">
        <f t="shared" si="162"/>
        <v>2019-09-25</v>
      </c>
      <c r="J1508" s="23" t="str">
        <f t="shared" si="163"/>
        <v>25</v>
      </c>
      <c r="K1508" t="str">
        <f t="shared" si="164"/>
        <v>no</v>
      </c>
      <c r="L1508">
        <v>25</v>
      </c>
      <c r="M1508" t="str">
        <f t="shared" si="165"/>
        <v>2019-09-25</v>
      </c>
      <c r="N1508" s="20" t="str">
        <f t="shared" si="166"/>
        <v>2019-09-25</v>
      </c>
      <c r="O1508" t="str">
        <f t="shared" si="167"/>
        <v>2019-09-25</v>
      </c>
    </row>
    <row r="1509" spans="1:15" x14ac:dyDescent="0.2">
      <c r="A1509" s="21" t="str">
        <f t="shared" si="161"/>
        <v>y</v>
      </c>
      <c r="B1509" s="24" t="s">
        <v>1822</v>
      </c>
      <c r="C1509" t="s">
        <v>489</v>
      </c>
      <c r="D1509" t="s">
        <v>19</v>
      </c>
      <c r="E1509" t="s">
        <v>27</v>
      </c>
      <c r="F1509" t="s">
        <v>29</v>
      </c>
      <c r="G1509" t="s">
        <v>515</v>
      </c>
      <c r="H1509" t="s">
        <v>2057</v>
      </c>
      <c r="I1509" s="22" t="str">
        <f t="shared" si="162"/>
        <v>2019-09-25</v>
      </c>
      <c r="J1509" s="23" t="str">
        <f t="shared" si="163"/>
        <v>25</v>
      </c>
      <c r="K1509" t="str">
        <f t="shared" si="164"/>
        <v>no</v>
      </c>
      <c r="L1509">
        <v>25</v>
      </c>
      <c r="M1509" t="str">
        <f t="shared" si="165"/>
        <v>2019-09-25</v>
      </c>
      <c r="N1509" s="20" t="str">
        <f t="shared" si="166"/>
        <v>2019-09-25</v>
      </c>
      <c r="O1509" t="str">
        <f t="shared" si="167"/>
        <v>2019-09-25</v>
      </c>
    </row>
    <row r="1510" spans="1:15" x14ac:dyDescent="0.2">
      <c r="A1510" s="21" t="str">
        <f t="shared" si="161"/>
        <v>y</v>
      </c>
      <c r="B1510" s="24" t="s">
        <v>1822</v>
      </c>
      <c r="C1510" t="s">
        <v>65</v>
      </c>
      <c r="D1510" t="s">
        <v>14</v>
      </c>
      <c r="E1510" t="s">
        <v>115</v>
      </c>
      <c r="F1510" t="s">
        <v>29</v>
      </c>
      <c r="G1510" t="s">
        <v>596</v>
      </c>
      <c r="H1510" t="s">
        <v>2019</v>
      </c>
      <c r="I1510" s="22" t="str">
        <f t="shared" si="162"/>
        <v>2019-09-25</v>
      </c>
      <c r="J1510" s="23" t="str">
        <f t="shared" si="163"/>
        <v>25</v>
      </c>
      <c r="K1510" t="str">
        <f t="shared" si="164"/>
        <v>no</v>
      </c>
      <c r="L1510">
        <v>25</v>
      </c>
      <c r="M1510" t="str">
        <f t="shared" si="165"/>
        <v>2019-09-25</v>
      </c>
      <c r="N1510" s="20" t="str">
        <f t="shared" si="166"/>
        <v>2019-09-25</v>
      </c>
      <c r="O1510" t="str">
        <f t="shared" si="167"/>
        <v>2019-09-25</v>
      </c>
    </row>
    <row r="1511" spans="1:15" x14ac:dyDescent="0.2">
      <c r="A1511" s="21" t="str">
        <f t="shared" si="161"/>
        <v>y</v>
      </c>
      <c r="B1511" s="24" t="s">
        <v>1823</v>
      </c>
      <c r="C1511" t="s">
        <v>235</v>
      </c>
      <c r="D1511" t="s">
        <v>13</v>
      </c>
      <c r="E1511" t="s">
        <v>27</v>
      </c>
      <c r="F1511" t="s">
        <v>29</v>
      </c>
      <c r="G1511" t="s">
        <v>589</v>
      </c>
      <c r="H1511" t="s">
        <v>2028</v>
      </c>
      <c r="I1511" s="22" t="str">
        <f t="shared" si="162"/>
        <v>2019-09-24</v>
      </c>
      <c r="J1511" s="23" t="str">
        <f t="shared" si="163"/>
        <v>24</v>
      </c>
      <c r="K1511" t="str">
        <f t="shared" si="164"/>
        <v>no</v>
      </c>
      <c r="L1511">
        <v>24</v>
      </c>
      <c r="M1511" t="str">
        <f t="shared" si="165"/>
        <v>2019-09-24</v>
      </c>
      <c r="N1511" s="20" t="str">
        <f t="shared" si="166"/>
        <v>2019-09-24</v>
      </c>
      <c r="O1511" t="str">
        <f t="shared" si="167"/>
        <v>2019-09-24</v>
      </c>
    </row>
    <row r="1512" spans="1:15" x14ac:dyDescent="0.2">
      <c r="A1512" s="21" t="str">
        <f t="shared" si="161"/>
        <v>y</v>
      </c>
      <c r="B1512" s="24" t="s">
        <v>1823</v>
      </c>
      <c r="C1512" t="s">
        <v>578</v>
      </c>
      <c r="D1512" t="s">
        <v>14</v>
      </c>
      <c r="E1512" t="s">
        <v>27</v>
      </c>
      <c r="F1512" t="s">
        <v>29</v>
      </c>
      <c r="G1512" t="s">
        <v>590</v>
      </c>
      <c r="H1512" t="s">
        <v>2029</v>
      </c>
      <c r="I1512" s="22" t="str">
        <f t="shared" si="162"/>
        <v>2019-09-24</v>
      </c>
      <c r="J1512" s="23" t="str">
        <f t="shared" si="163"/>
        <v>24</v>
      </c>
      <c r="K1512" t="str">
        <f t="shared" si="164"/>
        <v>no</v>
      </c>
      <c r="L1512">
        <v>24</v>
      </c>
      <c r="M1512" t="str">
        <f t="shared" si="165"/>
        <v>2019-09-24</v>
      </c>
      <c r="N1512" s="20" t="str">
        <f t="shared" si="166"/>
        <v>2019-09-24</v>
      </c>
      <c r="O1512" t="str">
        <f t="shared" si="167"/>
        <v>2019-09-24</v>
      </c>
    </row>
    <row r="1513" spans="1:15" x14ac:dyDescent="0.2">
      <c r="A1513" s="21" t="str">
        <f t="shared" si="161"/>
        <v>y</v>
      </c>
      <c r="B1513" s="24" t="s">
        <v>1823</v>
      </c>
      <c r="C1513" t="s">
        <v>578</v>
      </c>
      <c r="D1513" t="s">
        <v>14</v>
      </c>
      <c r="E1513" t="s">
        <v>27</v>
      </c>
      <c r="F1513" t="s">
        <v>29</v>
      </c>
      <c r="G1513" t="s">
        <v>587</v>
      </c>
      <c r="H1513" t="s">
        <v>2065</v>
      </c>
      <c r="I1513" s="22" t="str">
        <f t="shared" si="162"/>
        <v>2019-09-24</v>
      </c>
      <c r="J1513" s="23" t="str">
        <f t="shared" si="163"/>
        <v>24</v>
      </c>
      <c r="K1513" t="str">
        <f t="shared" si="164"/>
        <v>no</v>
      </c>
      <c r="L1513">
        <v>24</v>
      </c>
      <c r="M1513" t="str">
        <f t="shared" si="165"/>
        <v>2019-09-24</v>
      </c>
      <c r="N1513" s="20" t="str">
        <f t="shared" si="166"/>
        <v>2019-09-24</v>
      </c>
      <c r="O1513" t="str">
        <f t="shared" si="167"/>
        <v>2019-09-24</v>
      </c>
    </row>
    <row r="1514" spans="1:15" x14ac:dyDescent="0.2">
      <c r="A1514" s="21" t="str">
        <f t="shared" si="161"/>
        <v>y</v>
      </c>
      <c r="B1514" s="24" t="s">
        <v>1823</v>
      </c>
      <c r="C1514" t="s">
        <v>426</v>
      </c>
      <c r="D1514" t="s">
        <v>13</v>
      </c>
      <c r="E1514" t="s">
        <v>27</v>
      </c>
      <c r="F1514" t="s">
        <v>29</v>
      </c>
      <c r="G1514" t="s">
        <v>588</v>
      </c>
      <c r="H1514" t="s">
        <v>2025</v>
      </c>
      <c r="I1514" s="22" t="str">
        <f t="shared" si="162"/>
        <v>2019-09-24</v>
      </c>
      <c r="J1514" s="23" t="str">
        <f t="shared" si="163"/>
        <v>24</v>
      </c>
      <c r="K1514" t="str">
        <f t="shared" si="164"/>
        <v>no</v>
      </c>
      <c r="L1514">
        <v>24</v>
      </c>
      <c r="M1514" t="str">
        <f t="shared" si="165"/>
        <v>2019-09-24</v>
      </c>
      <c r="N1514" s="20" t="str">
        <f t="shared" si="166"/>
        <v>2019-09-24</v>
      </c>
      <c r="O1514" t="str">
        <f t="shared" si="167"/>
        <v>2019-09-24</v>
      </c>
    </row>
    <row r="1515" spans="1:15" x14ac:dyDescent="0.2">
      <c r="A1515" s="21" t="str">
        <f t="shared" si="161"/>
        <v>y</v>
      </c>
      <c r="B1515" s="24" t="s">
        <v>1823</v>
      </c>
      <c r="C1515" t="s">
        <v>65</v>
      </c>
      <c r="D1515" t="s">
        <v>14</v>
      </c>
      <c r="E1515" t="s">
        <v>115</v>
      </c>
      <c r="F1515" t="s">
        <v>29</v>
      </c>
      <c r="G1515" t="s">
        <v>594</v>
      </c>
      <c r="H1515" t="s">
        <v>2019</v>
      </c>
      <c r="I1515" s="22" t="str">
        <f t="shared" si="162"/>
        <v>2019-09-24</v>
      </c>
      <c r="J1515" s="23" t="str">
        <f t="shared" si="163"/>
        <v>24</v>
      </c>
      <c r="K1515" t="str">
        <f t="shared" si="164"/>
        <v>no</v>
      </c>
      <c r="L1515">
        <v>24</v>
      </c>
      <c r="M1515" t="str">
        <f t="shared" si="165"/>
        <v>2019-09-24</v>
      </c>
      <c r="N1515" s="20" t="str">
        <f t="shared" si="166"/>
        <v>2019-09-24</v>
      </c>
      <c r="O1515" t="str">
        <f t="shared" si="167"/>
        <v>2019-09-24</v>
      </c>
    </row>
    <row r="1516" spans="1:15" x14ac:dyDescent="0.2">
      <c r="A1516" s="21" t="str">
        <f t="shared" si="161"/>
        <v>y</v>
      </c>
      <c r="B1516" s="24" t="s">
        <v>1823</v>
      </c>
      <c r="C1516" t="s">
        <v>145</v>
      </c>
      <c r="D1516" t="s">
        <v>13</v>
      </c>
      <c r="E1516" t="s">
        <v>27</v>
      </c>
      <c r="F1516" t="s">
        <v>29</v>
      </c>
      <c r="G1516" t="s">
        <v>591</v>
      </c>
      <c r="H1516" t="s">
        <v>2029</v>
      </c>
      <c r="I1516" s="22" t="str">
        <f t="shared" si="162"/>
        <v>2019-09-24</v>
      </c>
      <c r="J1516" s="23" t="str">
        <f t="shared" si="163"/>
        <v>24</v>
      </c>
      <c r="K1516" t="str">
        <f t="shared" si="164"/>
        <v>no</v>
      </c>
      <c r="L1516">
        <v>24</v>
      </c>
      <c r="M1516" t="str">
        <f t="shared" si="165"/>
        <v>2019-09-24</v>
      </c>
      <c r="N1516" s="20" t="str">
        <f t="shared" si="166"/>
        <v>2019-09-24</v>
      </c>
      <c r="O1516" t="str">
        <f t="shared" si="167"/>
        <v>2019-09-24</v>
      </c>
    </row>
    <row r="1517" spans="1:15" x14ac:dyDescent="0.2">
      <c r="A1517" s="21" t="str">
        <f t="shared" si="161"/>
        <v>y</v>
      </c>
      <c r="B1517" s="24" t="s">
        <v>1823</v>
      </c>
      <c r="C1517" t="s">
        <v>365</v>
      </c>
      <c r="D1517" t="s">
        <v>13</v>
      </c>
      <c r="E1517" t="s">
        <v>43</v>
      </c>
      <c r="F1517" t="s">
        <v>29</v>
      </c>
      <c r="G1517" t="s">
        <v>593</v>
      </c>
      <c r="H1517" t="s">
        <v>2041</v>
      </c>
      <c r="I1517" s="22" t="str">
        <f t="shared" si="162"/>
        <v>2019-09-24</v>
      </c>
      <c r="J1517" s="23" t="str">
        <f t="shared" si="163"/>
        <v>24</v>
      </c>
      <c r="K1517" t="str">
        <f t="shared" si="164"/>
        <v>no</v>
      </c>
      <c r="L1517">
        <v>24</v>
      </c>
      <c r="M1517" t="str">
        <f t="shared" si="165"/>
        <v>2019-09-24</v>
      </c>
      <c r="N1517" s="20" t="str">
        <f t="shared" si="166"/>
        <v>2019-09-24</v>
      </c>
      <c r="O1517" t="str">
        <f t="shared" si="167"/>
        <v>2019-09-24</v>
      </c>
    </row>
    <row r="1518" spans="1:15" x14ac:dyDescent="0.2">
      <c r="A1518" s="21" t="str">
        <f t="shared" si="161"/>
        <v>y</v>
      </c>
      <c r="B1518" s="24" t="s">
        <v>1823</v>
      </c>
      <c r="C1518" t="s">
        <v>32</v>
      </c>
      <c r="D1518" t="s">
        <v>13</v>
      </c>
      <c r="E1518" t="s">
        <v>28</v>
      </c>
      <c r="F1518" t="s">
        <v>2</v>
      </c>
      <c r="G1518" t="s">
        <v>592</v>
      </c>
      <c r="H1518" t="s">
        <v>2025</v>
      </c>
      <c r="I1518" s="22" t="str">
        <f t="shared" si="162"/>
        <v>2019-09-24</v>
      </c>
      <c r="J1518" s="23" t="str">
        <f t="shared" si="163"/>
        <v>24</v>
      </c>
      <c r="K1518" t="str">
        <f t="shared" si="164"/>
        <v>no</v>
      </c>
      <c r="L1518">
        <v>24</v>
      </c>
      <c r="M1518" t="str">
        <f t="shared" si="165"/>
        <v>2019-09-24</v>
      </c>
      <c r="N1518" s="20">
        <f t="shared" si="166"/>
        <v>43733</v>
      </c>
      <c r="O1518" t="str">
        <f t="shared" si="167"/>
        <v>2019-09-25</v>
      </c>
    </row>
    <row r="1519" spans="1:15" x14ac:dyDescent="0.2">
      <c r="A1519" s="21" t="str">
        <f t="shared" si="161"/>
        <v>y</v>
      </c>
      <c r="B1519" s="24" t="s">
        <v>1824</v>
      </c>
      <c r="C1519" t="s">
        <v>235</v>
      </c>
      <c r="D1519" t="s">
        <v>13</v>
      </c>
      <c r="E1519" t="s">
        <v>27</v>
      </c>
      <c r="F1519" t="s">
        <v>2</v>
      </c>
      <c r="H1519" t="s">
        <v>2028</v>
      </c>
      <c r="I1519" s="22" t="str">
        <f t="shared" si="162"/>
        <v>2019-09-23</v>
      </c>
      <c r="J1519" s="23" t="str">
        <f t="shared" si="163"/>
        <v>23</v>
      </c>
      <c r="K1519" t="str">
        <f t="shared" si="164"/>
        <v>no</v>
      </c>
      <c r="L1519">
        <v>23</v>
      </c>
      <c r="M1519" t="str">
        <f t="shared" si="165"/>
        <v>2019-09-23</v>
      </c>
      <c r="N1519" s="20">
        <f t="shared" si="166"/>
        <v>43732</v>
      </c>
      <c r="O1519" t="str">
        <f t="shared" si="167"/>
        <v>2019-09-24</v>
      </c>
    </row>
    <row r="1520" spans="1:15" x14ac:dyDescent="0.2">
      <c r="A1520" s="21" t="str">
        <f t="shared" si="161"/>
        <v>y</v>
      </c>
      <c r="B1520" s="24" t="s">
        <v>1824</v>
      </c>
      <c r="C1520" t="s">
        <v>578</v>
      </c>
      <c r="D1520" t="s">
        <v>14</v>
      </c>
      <c r="E1520" t="s">
        <v>27</v>
      </c>
      <c r="F1520" t="s">
        <v>2</v>
      </c>
      <c r="H1520" t="s">
        <v>2019</v>
      </c>
      <c r="I1520" s="22" t="str">
        <f t="shared" si="162"/>
        <v>2019-09-23</v>
      </c>
      <c r="J1520" s="23" t="str">
        <f t="shared" si="163"/>
        <v>23</v>
      </c>
      <c r="K1520" t="str">
        <f t="shared" si="164"/>
        <v>no</v>
      </c>
      <c r="L1520">
        <v>23</v>
      </c>
      <c r="M1520" t="str">
        <f t="shared" si="165"/>
        <v>2019-09-23</v>
      </c>
      <c r="N1520" s="20">
        <f t="shared" si="166"/>
        <v>43732</v>
      </c>
      <c r="O1520" t="str">
        <f t="shared" si="167"/>
        <v>2019-09-24</v>
      </c>
    </row>
    <row r="1521" spans="1:15" x14ac:dyDescent="0.2">
      <c r="A1521" s="21" t="str">
        <f t="shared" si="161"/>
        <v>y</v>
      </c>
      <c r="B1521" s="24" t="s">
        <v>1824</v>
      </c>
      <c r="C1521" t="s">
        <v>578</v>
      </c>
      <c r="D1521" t="s">
        <v>14</v>
      </c>
      <c r="E1521" t="s">
        <v>4</v>
      </c>
      <c r="F1521" t="s">
        <v>29</v>
      </c>
      <c r="G1521" t="s">
        <v>585</v>
      </c>
      <c r="H1521" t="s">
        <v>2029</v>
      </c>
      <c r="I1521" s="22" t="str">
        <f t="shared" si="162"/>
        <v>2019-09-23</v>
      </c>
      <c r="J1521" s="23" t="str">
        <f t="shared" si="163"/>
        <v>23</v>
      </c>
      <c r="K1521" t="str">
        <f t="shared" si="164"/>
        <v>no</v>
      </c>
      <c r="L1521">
        <v>23</v>
      </c>
      <c r="M1521" t="str">
        <f t="shared" si="165"/>
        <v>2019-09-23</v>
      </c>
      <c r="N1521" s="20" t="str">
        <f t="shared" si="166"/>
        <v>2019-09-23</v>
      </c>
      <c r="O1521" t="str">
        <f t="shared" si="167"/>
        <v>2019-09-23</v>
      </c>
    </row>
    <row r="1522" spans="1:15" x14ac:dyDescent="0.2">
      <c r="A1522" s="21" t="str">
        <f t="shared" si="161"/>
        <v>y</v>
      </c>
      <c r="B1522" s="24" t="s">
        <v>1824</v>
      </c>
      <c r="C1522" t="s">
        <v>584</v>
      </c>
      <c r="D1522" t="s">
        <v>13</v>
      </c>
      <c r="E1522" t="s">
        <v>27</v>
      </c>
      <c r="F1522" t="s">
        <v>29</v>
      </c>
      <c r="G1522" t="s">
        <v>586</v>
      </c>
      <c r="H1522" t="s">
        <v>2029</v>
      </c>
      <c r="I1522" s="22" t="str">
        <f t="shared" si="162"/>
        <v>2019-09-23</v>
      </c>
      <c r="J1522" s="23" t="str">
        <f t="shared" si="163"/>
        <v>23</v>
      </c>
      <c r="K1522" t="str">
        <f t="shared" si="164"/>
        <v>no</v>
      </c>
      <c r="L1522">
        <v>23</v>
      </c>
      <c r="M1522" t="str">
        <f t="shared" si="165"/>
        <v>2019-09-23</v>
      </c>
      <c r="N1522" s="20" t="str">
        <f t="shared" si="166"/>
        <v>2019-09-23</v>
      </c>
      <c r="O1522" t="str">
        <f t="shared" si="167"/>
        <v>2019-09-23</v>
      </c>
    </row>
    <row r="1523" spans="1:15" x14ac:dyDescent="0.2">
      <c r="A1523" s="21" t="str">
        <f t="shared" si="161"/>
        <v>y</v>
      </c>
      <c r="B1523" s="24" t="s">
        <v>1825</v>
      </c>
      <c r="C1523" t="s">
        <v>32</v>
      </c>
      <c r="D1523" t="s">
        <v>13</v>
      </c>
      <c r="E1523" t="s">
        <v>28</v>
      </c>
      <c r="F1523" t="s">
        <v>29</v>
      </c>
      <c r="G1523" t="s">
        <v>583</v>
      </c>
      <c r="H1523" t="s">
        <v>2041</v>
      </c>
      <c r="I1523" s="22" t="str">
        <f t="shared" si="162"/>
        <v>2019-09-22</v>
      </c>
      <c r="J1523" s="23" t="str">
        <f t="shared" si="163"/>
        <v>22</v>
      </c>
      <c r="K1523" t="str">
        <f t="shared" si="164"/>
        <v>no</v>
      </c>
      <c r="L1523">
        <v>22</v>
      </c>
      <c r="M1523" t="str">
        <f t="shared" si="165"/>
        <v>2019-09-22</v>
      </c>
      <c r="N1523" s="20" t="str">
        <f t="shared" si="166"/>
        <v>2019-09-22</v>
      </c>
      <c r="O1523" t="str">
        <f t="shared" si="167"/>
        <v>2019-09-22</v>
      </c>
    </row>
    <row r="1524" spans="1:15" x14ac:dyDescent="0.2">
      <c r="A1524" s="21" t="str">
        <f t="shared" si="161"/>
        <v>y</v>
      </c>
      <c r="B1524" s="24" t="s">
        <v>1825</v>
      </c>
      <c r="C1524" t="s">
        <v>235</v>
      </c>
      <c r="D1524" t="s">
        <v>13</v>
      </c>
      <c r="E1524" t="s">
        <v>27</v>
      </c>
      <c r="F1524" t="s">
        <v>2</v>
      </c>
      <c r="G1524" t="s">
        <v>582</v>
      </c>
      <c r="H1524" t="s">
        <v>2028</v>
      </c>
      <c r="I1524" s="22" t="str">
        <f t="shared" si="162"/>
        <v>2019-09-22</v>
      </c>
      <c r="J1524" s="23" t="str">
        <f t="shared" si="163"/>
        <v>22</v>
      </c>
      <c r="K1524" t="str">
        <f t="shared" si="164"/>
        <v>no</v>
      </c>
      <c r="L1524">
        <v>22</v>
      </c>
      <c r="M1524" t="str">
        <f t="shared" si="165"/>
        <v>2019-09-22</v>
      </c>
      <c r="N1524" s="20">
        <f t="shared" si="166"/>
        <v>43731</v>
      </c>
      <c r="O1524" t="str">
        <f t="shared" si="167"/>
        <v>2019-09-23</v>
      </c>
    </row>
    <row r="1525" spans="1:15" x14ac:dyDescent="0.2">
      <c r="A1525" s="21" t="str">
        <f t="shared" si="161"/>
        <v>y</v>
      </c>
      <c r="B1525" s="24" t="s">
        <v>1825</v>
      </c>
      <c r="C1525" t="s">
        <v>503</v>
      </c>
      <c r="D1525" t="s">
        <v>13</v>
      </c>
      <c r="E1525" t="s">
        <v>27</v>
      </c>
      <c r="F1525" t="s">
        <v>29</v>
      </c>
      <c r="G1525" t="s">
        <v>580</v>
      </c>
      <c r="H1525" t="s">
        <v>2019</v>
      </c>
      <c r="I1525" s="22" t="str">
        <f t="shared" si="162"/>
        <v>2019-09-22</v>
      </c>
      <c r="J1525" s="23" t="str">
        <f t="shared" si="163"/>
        <v>22</v>
      </c>
      <c r="K1525" t="str">
        <f t="shared" si="164"/>
        <v>no</v>
      </c>
      <c r="L1525">
        <v>22</v>
      </c>
      <c r="M1525" t="str">
        <f t="shared" si="165"/>
        <v>2019-09-22</v>
      </c>
      <c r="N1525" s="20" t="str">
        <f t="shared" si="166"/>
        <v>2019-09-22</v>
      </c>
      <c r="O1525" t="str">
        <f t="shared" si="167"/>
        <v>2019-09-22</v>
      </c>
    </row>
    <row r="1526" spans="1:15" x14ac:dyDescent="0.2">
      <c r="A1526" s="21" t="str">
        <f t="shared" si="161"/>
        <v>y</v>
      </c>
      <c r="B1526" s="24" t="s">
        <v>1825</v>
      </c>
      <c r="C1526" t="s">
        <v>426</v>
      </c>
      <c r="D1526" t="s">
        <v>13</v>
      </c>
      <c r="E1526" t="s">
        <v>27</v>
      </c>
      <c r="F1526" t="s">
        <v>29</v>
      </c>
      <c r="G1526" t="s">
        <v>579</v>
      </c>
      <c r="H1526" t="s">
        <v>2057</v>
      </c>
      <c r="I1526" s="22" t="str">
        <f t="shared" si="162"/>
        <v>2019-09-22</v>
      </c>
      <c r="J1526" s="23" t="str">
        <f t="shared" si="163"/>
        <v>22</v>
      </c>
      <c r="K1526" t="str">
        <f t="shared" si="164"/>
        <v>no</v>
      </c>
      <c r="L1526">
        <v>22</v>
      </c>
      <c r="M1526" t="str">
        <f t="shared" si="165"/>
        <v>2019-09-22</v>
      </c>
      <c r="N1526" s="20" t="str">
        <f t="shared" si="166"/>
        <v>2019-09-22</v>
      </c>
      <c r="O1526" t="str">
        <f t="shared" si="167"/>
        <v>2019-09-22</v>
      </c>
    </row>
    <row r="1527" spans="1:15" x14ac:dyDescent="0.2">
      <c r="A1527" s="21" t="str">
        <f t="shared" si="161"/>
        <v>y</v>
      </c>
      <c r="B1527" s="24" t="s">
        <v>1825</v>
      </c>
      <c r="C1527" t="s">
        <v>578</v>
      </c>
      <c r="D1527" t="s">
        <v>14</v>
      </c>
      <c r="E1527" t="s">
        <v>27</v>
      </c>
      <c r="F1527" t="s">
        <v>2</v>
      </c>
      <c r="G1527" t="s">
        <v>581</v>
      </c>
      <c r="H1527" t="s">
        <v>2029</v>
      </c>
      <c r="I1527" s="22" t="str">
        <f t="shared" si="162"/>
        <v>2019-09-22</v>
      </c>
      <c r="J1527" s="23" t="str">
        <f t="shared" si="163"/>
        <v>22</v>
      </c>
      <c r="K1527" t="str">
        <f t="shared" si="164"/>
        <v>no</v>
      </c>
      <c r="L1527">
        <v>22</v>
      </c>
      <c r="M1527" t="str">
        <f t="shared" si="165"/>
        <v>2019-09-22</v>
      </c>
      <c r="N1527" s="20">
        <f t="shared" si="166"/>
        <v>43731</v>
      </c>
      <c r="O1527" t="str">
        <f t="shared" si="167"/>
        <v>2019-09-23</v>
      </c>
    </row>
    <row r="1528" spans="1:15" x14ac:dyDescent="0.2">
      <c r="A1528" s="21" t="str">
        <f t="shared" si="161"/>
        <v>y</v>
      </c>
      <c r="B1528" s="24" t="s">
        <v>1826</v>
      </c>
      <c r="C1528" t="s">
        <v>32</v>
      </c>
      <c r="D1528" t="s">
        <v>13</v>
      </c>
      <c r="E1528" t="s">
        <v>28</v>
      </c>
      <c r="F1528" t="s">
        <v>2</v>
      </c>
      <c r="G1528" t="s">
        <v>575</v>
      </c>
      <c r="H1528" t="s">
        <v>2029</v>
      </c>
      <c r="I1528" s="22" t="str">
        <f t="shared" si="162"/>
        <v>2019-09-21</v>
      </c>
      <c r="J1528" s="23" t="str">
        <f t="shared" si="163"/>
        <v>21</v>
      </c>
      <c r="K1528" t="str">
        <f t="shared" si="164"/>
        <v>no</v>
      </c>
      <c r="L1528">
        <v>21</v>
      </c>
      <c r="M1528" t="str">
        <f t="shared" si="165"/>
        <v>2019-09-21</v>
      </c>
      <c r="N1528" s="20">
        <f t="shared" si="166"/>
        <v>43730</v>
      </c>
      <c r="O1528" t="str">
        <f t="shared" si="167"/>
        <v>2019-09-22</v>
      </c>
    </row>
    <row r="1529" spans="1:15" x14ac:dyDescent="0.2">
      <c r="A1529" s="21" t="str">
        <f t="shared" si="161"/>
        <v>y</v>
      </c>
      <c r="B1529" s="24" t="s">
        <v>1826</v>
      </c>
      <c r="C1529" t="s">
        <v>235</v>
      </c>
      <c r="D1529" t="s">
        <v>13</v>
      </c>
      <c r="E1529" t="s">
        <v>27</v>
      </c>
      <c r="F1529" t="s">
        <v>2</v>
      </c>
      <c r="H1529" t="s">
        <v>2041</v>
      </c>
      <c r="I1529" s="22" t="str">
        <f t="shared" si="162"/>
        <v>2019-09-21</v>
      </c>
      <c r="J1529" s="23" t="str">
        <f t="shared" si="163"/>
        <v>21</v>
      </c>
      <c r="K1529" t="str">
        <f t="shared" si="164"/>
        <v>no</v>
      </c>
      <c r="L1529">
        <v>21</v>
      </c>
      <c r="M1529" t="str">
        <f t="shared" si="165"/>
        <v>2019-09-21</v>
      </c>
      <c r="N1529" s="20">
        <f t="shared" si="166"/>
        <v>43730</v>
      </c>
      <c r="O1529" t="str">
        <f t="shared" si="167"/>
        <v>2019-09-22</v>
      </c>
    </row>
    <row r="1530" spans="1:15" x14ac:dyDescent="0.2">
      <c r="A1530" s="21" t="str">
        <f t="shared" si="161"/>
        <v>y</v>
      </c>
      <c r="B1530" s="24" t="s">
        <v>1826</v>
      </c>
      <c r="C1530" t="s">
        <v>235</v>
      </c>
      <c r="D1530" t="s">
        <v>13</v>
      </c>
      <c r="E1530" t="s">
        <v>43</v>
      </c>
      <c r="F1530" t="s">
        <v>2</v>
      </c>
      <c r="H1530" t="s">
        <v>2019</v>
      </c>
      <c r="I1530" s="22" t="str">
        <f t="shared" si="162"/>
        <v>2019-09-21</v>
      </c>
      <c r="J1530" s="23" t="str">
        <f t="shared" si="163"/>
        <v>21</v>
      </c>
      <c r="K1530" t="str">
        <f t="shared" si="164"/>
        <v>no</v>
      </c>
      <c r="L1530">
        <v>21</v>
      </c>
      <c r="M1530" t="str">
        <f t="shared" si="165"/>
        <v>2019-09-21</v>
      </c>
      <c r="N1530" s="20">
        <f t="shared" si="166"/>
        <v>43730</v>
      </c>
      <c r="O1530" t="str">
        <f t="shared" si="167"/>
        <v>2019-09-22</v>
      </c>
    </row>
    <row r="1531" spans="1:15" x14ac:dyDescent="0.2">
      <c r="A1531" s="21" t="str">
        <f t="shared" si="161"/>
        <v>y</v>
      </c>
      <c r="B1531" s="24" t="s">
        <v>1826</v>
      </c>
      <c r="C1531" t="s">
        <v>503</v>
      </c>
      <c r="D1531" t="s">
        <v>13</v>
      </c>
      <c r="E1531" t="s">
        <v>27</v>
      </c>
      <c r="F1531" t="s">
        <v>29</v>
      </c>
      <c r="G1531" t="s">
        <v>576</v>
      </c>
      <c r="H1531" t="s">
        <v>2029</v>
      </c>
      <c r="I1531" s="22" t="str">
        <f t="shared" si="162"/>
        <v>2019-09-21</v>
      </c>
      <c r="J1531" s="23" t="str">
        <f t="shared" si="163"/>
        <v>21</v>
      </c>
      <c r="K1531" t="str">
        <f t="shared" si="164"/>
        <v>no</v>
      </c>
      <c r="L1531">
        <v>21</v>
      </c>
      <c r="M1531" t="str">
        <f t="shared" si="165"/>
        <v>2019-09-21</v>
      </c>
      <c r="N1531" s="20" t="str">
        <f t="shared" si="166"/>
        <v>2019-09-21</v>
      </c>
      <c r="O1531" t="str">
        <f t="shared" si="167"/>
        <v>2019-09-21</v>
      </c>
    </row>
    <row r="1532" spans="1:15" x14ac:dyDescent="0.2">
      <c r="A1532" s="21" t="str">
        <f t="shared" si="161"/>
        <v>y</v>
      </c>
      <c r="B1532" s="24" t="s">
        <v>1826</v>
      </c>
      <c r="C1532" t="s">
        <v>426</v>
      </c>
      <c r="D1532" t="s">
        <v>13</v>
      </c>
      <c r="E1532" t="s">
        <v>27</v>
      </c>
      <c r="F1532" t="s">
        <v>2</v>
      </c>
      <c r="G1532" t="s">
        <v>577</v>
      </c>
      <c r="H1532" t="s">
        <v>2057</v>
      </c>
      <c r="I1532" s="22" t="str">
        <f t="shared" si="162"/>
        <v>2019-09-21</v>
      </c>
      <c r="J1532" s="23" t="str">
        <f t="shared" si="163"/>
        <v>21</v>
      </c>
      <c r="K1532" t="str">
        <f t="shared" si="164"/>
        <v>no</v>
      </c>
      <c r="L1532">
        <v>21</v>
      </c>
      <c r="M1532" t="str">
        <f t="shared" si="165"/>
        <v>2019-09-21</v>
      </c>
      <c r="N1532" s="20">
        <f t="shared" si="166"/>
        <v>43730</v>
      </c>
      <c r="O1532" t="str">
        <f t="shared" si="167"/>
        <v>2019-09-22</v>
      </c>
    </row>
    <row r="1533" spans="1:15" x14ac:dyDescent="0.2">
      <c r="A1533" s="21" t="str">
        <f t="shared" si="161"/>
        <v>y</v>
      </c>
      <c r="B1533" s="24" t="s">
        <v>1827</v>
      </c>
      <c r="C1533" t="s">
        <v>32</v>
      </c>
      <c r="D1533" t="s">
        <v>13</v>
      </c>
      <c r="E1533" t="s">
        <v>28</v>
      </c>
      <c r="F1533" t="s">
        <v>2</v>
      </c>
      <c r="G1533" t="s">
        <v>572</v>
      </c>
      <c r="H1533" t="s">
        <v>2029</v>
      </c>
      <c r="I1533" s="22" t="str">
        <f t="shared" si="162"/>
        <v>2019-09-19</v>
      </c>
      <c r="J1533" s="23" t="str">
        <f t="shared" si="163"/>
        <v>19</v>
      </c>
      <c r="K1533" t="str">
        <f t="shared" si="164"/>
        <v>no</v>
      </c>
      <c r="L1533">
        <v>19</v>
      </c>
      <c r="M1533" t="str">
        <f t="shared" si="165"/>
        <v>2019-09-19</v>
      </c>
      <c r="N1533" s="20">
        <f t="shared" si="166"/>
        <v>43728</v>
      </c>
      <c r="O1533" t="str">
        <f t="shared" si="167"/>
        <v>2019-09-20</v>
      </c>
    </row>
    <row r="1534" spans="1:15" x14ac:dyDescent="0.2">
      <c r="A1534" s="21" t="str">
        <f t="shared" si="161"/>
        <v>y</v>
      </c>
      <c r="B1534" s="24" t="s">
        <v>1827</v>
      </c>
      <c r="C1534" t="s">
        <v>365</v>
      </c>
      <c r="D1534" t="s">
        <v>13</v>
      </c>
      <c r="E1534" t="s">
        <v>43</v>
      </c>
      <c r="F1534" t="s">
        <v>2</v>
      </c>
      <c r="H1534" t="s">
        <v>2019</v>
      </c>
      <c r="I1534" s="22" t="str">
        <f t="shared" si="162"/>
        <v>2019-09-19</v>
      </c>
      <c r="J1534" s="23" t="str">
        <f t="shared" si="163"/>
        <v>19</v>
      </c>
      <c r="K1534" t="str">
        <f t="shared" si="164"/>
        <v>no</v>
      </c>
      <c r="L1534">
        <v>19</v>
      </c>
      <c r="M1534" t="str">
        <f t="shared" si="165"/>
        <v>2019-09-19</v>
      </c>
      <c r="N1534" s="20">
        <f t="shared" si="166"/>
        <v>43728</v>
      </c>
      <c r="O1534" t="str">
        <f t="shared" si="167"/>
        <v>2019-09-20</v>
      </c>
    </row>
    <row r="1535" spans="1:15" x14ac:dyDescent="0.2">
      <c r="A1535" s="21" t="str">
        <f t="shared" si="161"/>
        <v>y</v>
      </c>
      <c r="B1535" s="24" t="s">
        <v>1827</v>
      </c>
      <c r="C1535" t="s">
        <v>235</v>
      </c>
      <c r="D1535" t="s">
        <v>13</v>
      </c>
      <c r="E1535" t="s">
        <v>27</v>
      </c>
      <c r="F1535" t="s">
        <v>2</v>
      </c>
      <c r="H1535" t="s">
        <v>2057</v>
      </c>
      <c r="I1535" s="22" t="str">
        <f t="shared" si="162"/>
        <v>2019-09-19</v>
      </c>
      <c r="J1535" s="23" t="str">
        <f t="shared" si="163"/>
        <v>19</v>
      </c>
      <c r="K1535" t="str">
        <f t="shared" si="164"/>
        <v>no</v>
      </c>
      <c r="L1535">
        <v>19</v>
      </c>
      <c r="M1535" t="str">
        <f t="shared" si="165"/>
        <v>2019-09-19</v>
      </c>
      <c r="N1535" s="20">
        <f t="shared" si="166"/>
        <v>43728</v>
      </c>
      <c r="O1535" t="str">
        <f t="shared" si="167"/>
        <v>2019-09-20</v>
      </c>
    </row>
    <row r="1536" spans="1:15" x14ac:dyDescent="0.2">
      <c r="A1536" s="21" t="str">
        <f t="shared" si="161"/>
        <v>y</v>
      </c>
      <c r="B1536" s="24" t="s">
        <v>1827</v>
      </c>
      <c r="C1536" t="s">
        <v>235</v>
      </c>
      <c r="D1536" t="s">
        <v>13</v>
      </c>
      <c r="E1536" t="s">
        <v>43</v>
      </c>
      <c r="F1536" t="s">
        <v>2</v>
      </c>
      <c r="G1536" t="s">
        <v>574</v>
      </c>
      <c r="H1536" t="s">
        <v>2019</v>
      </c>
      <c r="I1536" s="22" t="str">
        <f t="shared" si="162"/>
        <v>2019-09-19</v>
      </c>
      <c r="J1536" s="23" t="str">
        <f t="shared" si="163"/>
        <v>19</v>
      </c>
      <c r="K1536" t="str">
        <f t="shared" si="164"/>
        <v>no</v>
      </c>
      <c r="L1536">
        <v>19</v>
      </c>
      <c r="M1536" t="str">
        <f t="shared" si="165"/>
        <v>2019-09-19</v>
      </c>
      <c r="N1536" s="20">
        <f t="shared" si="166"/>
        <v>43728</v>
      </c>
      <c r="O1536" t="str">
        <f t="shared" si="167"/>
        <v>2019-09-20</v>
      </c>
    </row>
    <row r="1537" spans="1:15" x14ac:dyDescent="0.2">
      <c r="A1537" s="21" t="str">
        <f t="shared" si="161"/>
        <v>y</v>
      </c>
      <c r="B1537" s="24" t="s">
        <v>1827</v>
      </c>
      <c r="C1537" t="s">
        <v>503</v>
      </c>
      <c r="D1537" t="s">
        <v>13</v>
      </c>
      <c r="E1537" t="s">
        <v>27</v>
      </c>
      <c r="F1537" t="s">
        <v>2</v>
      </c>
      <c r="G1537" t="s">
        <v>521</v>
      </c>
      <c r="H1537" t="s">
        <v>2057</v>
      </c>
      <c r="I1537" s="22" t="str">
        <f t="shared" si="162"/>
        <v>2019-09-19</v>
      </c>
      <c r="J1537" s="23" t="str">
        <f t="shared" si="163"/>
        <v>19</v>
      </c>
      <c r="K1537" t="str">
        <f t="shared" si="164"/>
        <v>no</v>
      </c>
      <c r="L1537">
        <v>19</v>
      </c>
      <c r="M1537" t="str">
        <f t="shared" si="165"/>
        <v>2019-09-19</v>
      </c>
      <c r="N1537" s="20">
        <f t="shared" si="166"/>
        <v>43728</v>
      </c>
      <c r="O1537" t="str">
        <f t="shared" si="167"/>
        <v>2019-09-20</v>
      </c>
    </row>
    <row r="1538" spans="1:15" x14ac:dyDescent="0.2">
      <c r="A1538" s="21" t="str">
        <f t="shared" si="161"/>
        <v>y</v>
      </c>
      <c r="B1538" s="24" t="s">
        <v>1828</v>
      </c>
      <c r="C1538" t="s">
        <v>32</v>
      </c>
      <c r="D1538" t="s">
        <v>13</v>
      </c>
      <c r="E1538" t="s">
        <v>28</v>
      </c>
      <c r="F1538" t="s">
        <v>2</v>
      </c>
      <c r="G1538" t="s">
        <v>572</v>
      </c>
      <c r="H1538" t="s">
        <v>2019</v>
      </c>
      <c r="I1538" s="22" t="str">
        <f t="shared" si="162"/>
        <v>2019-09-18</v>
      </c>
      <c r="J1538" s="23" t="str">
        <f t="shared" si="163"/>
        <v>18</v>
      </c>
      <c r="K1538" t="str">
        <f t="shared" si="164"/>
        <v>no</v>
      </c>
      <c r="L1538">
        <v>18</v>
      </c>
      <c r="M1538" t="str">
        <f t="shared" si="165"/>
        <v>2019-09-18</v>
      </c>
      <c r="N1538" s="20">
        <f t="shared" si="166"/>
        <v>43727</v>
      </c>
      <c r="O1538" t="str">
        <f t="shared" si="167"/>
        <v>2019-09-19</v>
      </c>
    </row>
    <row r="1539" spans="1:15" x14ac:dyDescent="0.2">
      <c r="A1539" s="21" t="str">
        <f t="shared" si="161"/>
        <v>y</v>
      </c>
      <c r="B1539" s="24" t="s">
        <v>1828</v>
      </c>
      <c r="C1539" t="s">
        <v>365</v>
      </c>
      <c r="D1539" t="s">
        <v>13</v>
      </c>
      <c r="E1539" t="s">
        <v>43</v>
      </c>
      <c r="F1539" t="s">
        <v>2</v>
      </c>
      <c r="H1539" t="s">
        <v>2019</v>
      </c>
      <c r="I1539" s="22" t="str">
        <f t="shared" si="162"/>
        <v>2019-09-18</v>
      </c>
      <c r="J1539" s="23" t="str">
        <f t="shared" si="163"/>
        <v>18</v>
      </c>
      <c r="K1539" t="str">
        <f t="shared" si="164"/>
        <v>no</v>
      </c>
      <c r="L1539">
        <v>18</v>
      </c>
      <c r="M1539" t="str">
        <f t="shared" si="165"/>
        <v>2019-09-18</v>
      </c>
      <c r="N1539" s="20">
        <f t="shared" si="166"/>
        <v>43727</v>
      </c>
      <c r="O1539" t="str">
        <f t="shared" si="167"/>
        <v>2019-09-19</v>
      </c>
    </row>
    <row r="1540" spans="1:15" x14ac:dyDescent="0.2">
      <c r="A1540" s="21" t="str">
        <f t="shared" ref="A1540:A1603" si="168">IF(LEFT(B1540,2)&gt;12,"y","-")</f>
        <v>y</v>
      </c>
      <c r="B1540" s="24" t="s">
        <v>1828</v>
      </c>
      <c r="C1540" t="s">
        <v>235</v>
      </c>
      <c r="D1540" t="s">
        <v>13</v>
      </c>
      <c r="E1540" t="s">
        <v>21</v>
      </c>
      <c r="F1540" t="s">
        <v>29</v>
      </c>
      <c r="G1540" t="s">
        <v>573</v>
      </c>
      <c r="H1540" t="s">
        <v>2066</v>
      </c>
      <c r="I1540" s="22" t="str">
        <f t="shared" ref="I1540:I1603" si="169">IF(K1540="yes",TEXT(B1540,"YYYY-DD-MM"),TEXT(B1540,"YYYY-MM-DD"))</f>
        <v>2019-09-18</v>
      </c>
      <c r="J1540" s="23" t="str">
        <f t="shared" ref="J1540:J1603" si="170">LEFT(B1540,2)</f>
        <v>18</v>
      </c>
      <c r="K1540" t="str">
        <f t="shared" ref="K1540:K1603" si="171">IF(L1540&gt;31,"yes","no")</f>
        <v>no</v>
      </c>
      <c r="L1540">
        <v>18</v>
      </c>
      <c r="M1540" t="str">
        <f t="shared" ref="M1540:M1603" si="172">I1540</f>
        <v>2019-09-18</v>
      </c>
      <c r="N1540" s="20" t="str">
        <f t="shared" ref="N1540:N1603" si="173">IF(F1540="DONE",M1540,M1540+1)</f>
        <v>2019-09-18</v>
      </c>
      <c r="O1540" t="str">
        <f t="shared" ref="O1540:O1603" si="174">TEXT(N1540,"YYYY-MM-DD")</f>
        <v>2019-09-18</v>
      </c>
    </row>
    <row r="1541" spans="1:15" x14ac:dyDescent="0.2">
      <c r="A1541" s="21" t="str">
        <f t="shared" si="168"/>
        <v>y</v>
      </c>
      <c r="B1541" s="24" t="s">
        <v>1828</v>
      </c>
      <c r="C1541" t="s">
        <v>235</v>
      </c>
      <c r="D1541" t="s">
        <v>13</v>
      </c>
      <c r="E1541" t="s">
        <v>27</v>
      </c>
      <c r="F1541" t="s">
        <v>2</v>
      </c>
      <c r="H1541" t="s">
        <v>2029</v>
      </c>
      <c r="I1541" s="22" t="str">
        <f t="shared" si="169"/>
        <v>2019-09-18</v>
      </c>
      <c r="J1541" s="23" t="str">
        <f t="shared" si="170"/>
        <v>18</v>
      </c>
      <c r="K1541" t="str">
        <f t="shared" si="171"/>
        <v>no</v>
      </c>
      <c r="L1541">
        <v>18</v>
      </c>
      <c r="M1541" t="str">
        <f t="shared" si="172"/>
        <v>2019-09-18</v>
      </c>
      <c r="N1541" s="20">
        <f t="shared" si="173"/>
        <v>43727</v>
      </c>
      <c r="O1541" t="str">
        <f t="shared" si="174"/>
        <v>2019-09-19</v>
      </c>
    </row>
    <row r="1542" spans="1:15" x14ac:dyDescent="0.2">
      <c r="A1542" s="21" t="str">
        <f t="shared" si="168"/>
        <v>y</v>
      </c>
      <c r="B1542" s="24" t="s">
        <v>1829</v>
      </c>
      <c r="C1542" t="s">
        <v>32</v>
      </c>
      <c r="D1542" t="s">
        <v>13</v>
      </c>
      <c r="E1542" t="s">
        <v>28</v>
      </c>
      <c r="F1542" t="s">
        <v>2</v>
      </c>
      <c r="G1542" t="s">
        <v>570</v>
      </c>
      <c r="H1542" t="s">
        <v>2067</v>
      </c>
      <c r="I1542" s="22" t="str">
        <f t="shared" si="169"/>
        <v>2019-09-17</v>
      </c>
      <c r="J1542" s="23" t="str">
        <f t="shared" si="170"/>
        <v>17</v>
      </c>
      <c r="K1542" t="str">
        <f t="shared" si="171"/>
        <v>no</v>
      </c>
      <c r="L1542">
        <v>17</v>
      </c>
      <c r="M1542" t="str">
        <f t="shared" si="172"/>
        <v>2019-09-17</v>
      </c>
      <c r="N1542" s="20">
        <f t="shared" si="173"/>
        <v>43726</v>
      </c>
      <c r="O1542" t="str">
        <f t="shared" si="174"/>
        <v>2019-09-18</v>
      </c>
    </row>
    <row r="1543" spans="1:15" x14ac:dyDescent="0.2">
      <c r="A1543" s="21" t="str">
        <f t="shared" si="168"/>
        <v>y</v>
      </c>
      <c r="B1543" s="24" t="s">
        <v>1829</v>
      </c>
      <c r="C1543" t="s">
        <v>365</v>
      </c>
      <c r="D1543" t="s">
        <v>13</v>
      </c>
      <c r="E1543" t="s">
        <v>43</v>
      </c>
      <c r="F1543" t="s">
        <v>2</v>
      </c>
      <c r="G1543" t="s">
        <v>571</v>
      </c>
      <c r="H1543" t="s">
        <v>2019</v>
      </c>
      <c r="I1543" s="22" t="str">
        <f t="shared" si="169"/>
        <v>2019-09-17</v>
      </c>
      <c r="J1543" s="23" t="str">
        <f t="shared" si="170"/>
        <v>17</v>
      </c>
      <c r="K1543" t="str">
        <f t="shared" si="171"/>
        <v>no</v>
      </c>
      <c r="L1543">
        <v>17</v>
      </c>
      <c r="M1543" t="str">
        <f t="shared" si="172"/>
        <v>2019-09-17</v>
      </c>
      <c r="N1543" s="20">
        <f t="shared" si="173"/>
        <v>43726</v>
      </c>
      <c r="O1543" t="str">
        <f t="shared" si="174"/>
        <v>2019-09-18</v>
      </c>
    </row>
    <row r="1544" spans="1:15" x14ac:dyDescent="0.2">
      <c r="A1544" s="21" t="str">
        <f t="shared" si="168"/>
        <v>y</v>
      </c>
      <c r="B1544" s="24" t="s">
        <v>1830</v>
      </c>
      <c r="C1544" t="s">
        <v>32</v>
      </c>
      <c r="D1544" t="s">
        <v>13</v>
      </c>
      <c r="E1544" t="s">
        <v>28</v>
      </c>
      <c r="F1544" t="s">
        <v>2</v>
      </c>
      <c r="G1544" t="s">
        <v>569</v>
      </c>
      <c r="H1544" t="s">
        <v>2019</v>
      </c>
      <c r="I1544" s="22" t="str">
        <f t="shared" si="169"/>
        <v>2019-09-16</v>
      </c>
      <c r="J1544" s="23" t="str">
        <f t="shared" si="170"/>
        <v>16</v>
      </c>
      <c r="K1544" t="str">
        <f t="shared" si="171"/>
        <v>no</v>
      </c>
      <c r="L1544">
        <v>16</v>
      </c>
      <c r="M1544" t="str">
        <f t="shared" si="172"/>
        <v>2019-09-16</v>
      </c>
      <c r="N1544" s="20">
        <f t="shared" si="173"/>
        <v>43725</v>
      </c>
      <c r="O1544" t="str">
        <f t="shared" si="174"/>
        <v>2019-09-17</v>
      </c>
    </row>
    <row r="1545" spans="1:15" x14ac:dyDescent="0.2">
      <c r="A1545" s="21" t="str">
        <f t="shared" si="168"/>
        <v>y</v>
      </c>
      <c r="B1545" s="24" t="s">
        <v>1830</v>
      </c>
      <c r="C1545" t="s">
        <v>365</v>
      </c>
      <c r="D1545" t="s">
        <v>13</v>
      </c>
      <c r="E1545" t="s">
        <v>43</v>
      </c>
      <c r="F1545" t="s">
        <v>2</v>
      </c>
      <c r="H1545" t="s">
        <v>2068</v>
      </c>
      <c r="I1545" s="22" t="str">
        <f t="shared" si="169"/>
        <v>2019-09-16</v>
      </c>
      <c r="J1545" s="23" t="str">
        <f t="shared" si="170"/>
        <v>16</v>
      </c>
      <c r="K1545" t="str">
        <f t="shared" si="171"/>
        <v>no</v>
      </c>
      <c r="L1545">
        <v>16</v>
      </c>
      <c r="M1545" t="str">
        <f t="shared" si="172"/>
        <v>2019-09-16</v>
      </c>
      <c r="N1545" s="20">
        <f t="shared" si="173"/>
        <v>43725</v>
      </c>
      <c r="O1545" t="str">
        <f t="shared" si="174"/>
        <v>2019-09-17</v>
      </c>
    </row>
    <row r="1546" spans="1:15" x14ac:dyDescent="0.2">
      <c r="A1546" s="21" t="str">
        <f t="shared" si="168"/>
        <v>y</v>
      </c>
      <c r="B1546" s="24" t="s">
        <v>1831</v>
      </c>
      <c r="C1546" t="s">
        <v>32</v>
      </c>
      <c r="D1546" t="s">
        <v>13</v>
      </c>
      <c r="E1546" t="s">
        <v>28</v>
      </c>
      <c r="F1546" t="s">
        <v>2</v>
      </c>
      <c r="H1546" t="s">
        <v>2029</v>
      </c>
      <c r="I1546" s="22" t="str">
        <f t="shared" si="169"/>
        <v>2019-09-15</v>
      </c>
      <c r="J1546" s="23" t="str">
        <f t="shared" si="170"/>
        <v>15</v>
      </c>
      <c r="K1546" t="str">
        <f t="shared" si="171"/>
        <v>no</v>
      </c>
      <c r="L1546">
        <v>15</v>
      </c>
      <c r="M1546" t="str">
        <f t="shared" si="172"/>
        <v>2019-09-15</v>
      </c>
      <c r="N1546" s="20">
        <f t="shared" si="173"/>
        <v>43724</v>
      </c>
      <c r="O1546" t="str">
        <f t="shared" si="174"/>
        <v>2019-09-16</v>
      </c>
    </row>
    <row r="1547" spans="1:15" x14ac:dyDescent="0.2">
      <c r="A1547" s="21" t="str">
        <f t="shared" si="168"/>
        <v>y</v>
      </c>
      <c r="B1547" s="24">
        <v>43808</v>
      </c>
      <c r="C1547" t="s">
        <v>32</v>
      </c>
      <c r="D1547" t="s">
        <v>13</v>
      </c>
      <c r="E1547" t="s">
        <v>28</v>
      </c>
      <c r="F1547" t="s">
        <v>2</v>
      </c>
      <c r="H1547" t="s">
        <v>2067</v>
      </c>
      <c r="I1547" s="22" t="str">
        <f t="shared" si="169"/>
        <v>2019-09-12</v>
      </c>
      <c r="J1547" s="23" t="str">
        <f t="shared" si="170"/>
        <v>43</v>
      </c>
      <c r="K1547" t="str">
        <f t="shared" si="171"/>
        <v>yes</v>
      </c>
      <c r="L1547">
        <v>43</v>
      </c>
      <c r="M1547" t="str">
        <f t="shared" si="172"/>
        <v>2019-09-12</v>
      </c>
      <c r="N1547" s="20">
        <f t="shared" si="173"/>
        <v>43721</v>
      </c>
      <c r="O1547" t="str">
        <f t="shared" si="174"/>
        <v>2019-09-13</v>
      </c>
    </row>
    <row r="1548" spans="1:15" x14ac:dyDescent="0.2">
      <c r="A1548" s="21" t="str">
        <f t="shared" si="168"/>
        <v>y</v>
      </c>
      <c r="B1548" s="24">
        <v>43808</v>
      </c>
      <c r="C1548" t="s">
        <v>551</v>
      </c>
      <c r="D1548" t="s">
        <v>13</v>
      </c>
      <c r="E1548" t="s">
        <v>28</v>
      </c>
      <c r="F1548" t="s">
        <v>29</v>
      </c>
      <c r="G1548" t="s">
        <v>568</v>
      </c>
      <c r="H1548" t="s">
        <v>2064</v>
      </c>
      <c r="I1548" s="22" t="str">
        <f t="shared" si="169"/>
        <v>2019-09-12</v>
      </c>
      <c r="J1548" s="23" t="str">
        <f t="shared" si="170"/>
        <v>43</v>
      </c>
      <c r="K1548" t="str">
        <f t="shared" si="171"/>
        <v>yes</v>
      </c>
      <c r="L1548">
        <v>43</v>
      </c>
      <c r="M1548" t="str">
        <f t="shared" si="172"/>
        <v>2019-09-12</v>
      </c>
      <c r="N1548" s="20" t="str">
        <f t="shared" si="173"/>
        <v>2019-09-12</v>
      </c>
      <c r="O1548" t="str">
        <f t="shared" si="174"/>
        <v>2019-09-12</v>
      </c>
    </row>
    <row r="1549" spans="1:15" x14ac:dyDescent="0.2">
      <c r="A1549" s="21" t="str">
        <f t="shared" si="168"/>
        <v>y</v>
      </c>
      <c r="B1549" s="24">
        <v>43778</v>
      </c>
      <c r="C1549" t="s">
        <v>235</v>
      </c>
      <c r="D1549" t="s">
        <v>13</v>
      </c>
      <c r="E1549" t="s">
        <v>27</v>
      </c>
      <c r="F1549" t="s">
        <v>29</v>
      </c>
      <c r="G1549" t="s">
        <v>566</v>
      </c>
      <c r="H1549" t="s">
        <v>2066</v>
      </c>
      <c r="I1549" s="22" t="str">
        <f t="shared" si="169"/>
        <v>2019-09-11</v>
      </c>
      <c r="J1549" s="23" t="str">
        <f t="shared" si="170"/>
        <v>43</v>
      </c>
      <c r="K1549" t="str">
        <f t="shared" si="171"/>
        <v>yes</v>
      </c>
      <c r="L1549">
        <v>43</v>
      </c>
      <c r="M1549" t="str">
        <f t="shared" si="172"/>
        <v>2019-09-11</v>
      </c>
      <c r="N1549" s="20" t="str">
        <f t="shared" si="173"/>
        <v>2019-09-11</v>
      </c>
      <c r="O1549" t="str">
        <f t="shared" si="174"/>
        <v>2019-09-11</v>
      </c>
    </row>
    <row r="1550" spans="1:15" x14ac:dyDescent="0.2">
      <c r="A1550" s="21" t="str">
        <f t="shared" si="168"/>
        <v>y</v>
      </c>
      <c r="B1550" s="24">
        <v>43778</v>
      </c>
      <c r="C1550" t="s">
        <v>316</v>
      </c>
      <c r="D1550" t="s">
        <v>13</v>
      </c>
      <c r="E1550" t="s">
        <v>27</v>
      </c>
      <c r="F1550" t="s">
        <v>29</v>
      </c>
      <c r="G1550" t="s">
        <v>565</v>
      </c>
      <c r="H1550" t="s">
        <v>2019</v>
      </c>
      <c r="I1550" s="22" t="str">
        <f t="shared" si="169"/>
        <v>2019-09-11</v>
      </c>
      <c r="J1550" s="23" t="str">
        <f t="shared" si="170"/>
        <v>43</v>
      </c>
      <c r="K1550" t="str">
        <f t="shared" si="171"/>
        <v>yes</v>
      </c>
      <c r="L1550">
        <v>43</v>
      </c>
      <c r="M1550" t="str">
        <f t="shared" si="172"/>
        <v>2019-09-11</v>
      </c>
      <c r="N1550" s="20" t="str">
        <f t="shared" si="173"/>
        <v>2019-09-11</v>
      </c>
      <c r="O1550" t="str">
        <f t="shared" si="174"/>
        <v>2019-09-11</v>
      </c>
    </row>
    <row r="1551" spans="1:15" x14ac:dyDescent="0.2">
      <c r="A1551" s="21" t="str">
        <f t="shared" si="168"/>
        <v>y</v>
      </c>
      <c r="B1551" s="24">
        <v>43778</v>
      </c>
      <c r="C1551" t="s">
        <v>32</v>
      </c>
      <c r="D1551" t="s">
        <v>13</v>
      </c>
      <c r="E1551" t="s">
        <v>28</v>
      </c>
      <c r="F1551" t="s">
        <v>2</v>
      </c>
      <c r="G1551" t="s">
        <v>567</v>
      </c>
      <c r="H1551" t="s">
        <v>2068</v>
      </c>
      <c r="I1551" s="22" t="str">
        <f t="shared" si="169"/>
        <v>2019-09-11</v>
      </c>
      <c r="J1551" s="23" t="str">
        <f t="shared" si="170"/>
        <v>43</v>
      </c>
      <c r="K1551" t="str">
        <f t="shared" si="171"/>
        <v>yes</v>
      </c>
      <c r="L1551">
        <v>43</v>
      </c>
      <c r="M1551" t="str">
        <f t="shared" si="172"/>
        <v>2019-09-11</v>
      </c>
      <c r="N1551" s="20">
        <f t="shared" si="173"/>
        <v>43720</v>
      </c>
      <c r="O1551" t="str">
        <f t="shared" si="174"/>
        <v>2019-09-12</v>
      </c>
    </row>
    <row r="1552" spans="1:15" x14ac:dyDescent="0.2">
      <c r="A1552" s="21" t="str">
        <f t="shared" si="168"/>
        <v>y</v>
      </c>
      <c r="B1552" s="24">
        <v>43717</v>
      </c>
      <c r="C1552" t="s">
        <v>32</v>
      </c>
      <c r="D1552" t="s">
        <v>13</v>
      </c>
      <c r="E1552" t="s">
        <v>28</v>
      </c>
      <c r="F1552" t="s">
        <v>29</v>
      </c>
      <c r="G1552" t="s">
        <v>563</v>
      </c>
      <c r="H1552" t="s">
        <v>2029</v>
      </c>
      <c r="I1552" s="22" t="str">
        <f t="shared" si="169"/>
        <v>2019-09-09</v>
      </c>
      <c r="J1552" s="23" t="str">
        <f t="shared" si="170"/>
        <v>43</v>
      </c>
      <c r="K1552" t="str">
        <f t="shared" si="171"/>
        <v>yes</v>
      </c>
      <c r="L1552">
        <v>43</v>
      </c>
      <c r="M1552" t="str">
        <f t="shared" si="172"/>
        <v>2019-09-09</v>
      </c>
      <c r="N1552" s="20" t="str">
        <f t="shared" si="173"/>
        <v>2019-09-09</v>
      </c>
      <c r="O1552" t="str">
        <f t="shared" si="174"/>
        <v>2019-09-09</v>
      </c>
    </row>
    <row r="1553" spans="1:15" x14ac:dyDescent="0.2">
      <c r="A1553" s="21" t="str">
        <f t="shared" si="168"/>
        <v>y</v>
      </c>
      <c r="B1553" s="24">
        <v>43717</v>
      </c>
      <c r="C1553" t="s">
        <v>555</v>
      </c>
      <c r="D1553" t="s">
        <v>13</v>
      </c>
      <c r="E1553" t="s">
        <v>27</v>
      </c>
      <c r="F1553" t="s">
        <v>2</v>
      </c>
      <c r="H1553" t="s">
        <v>2067</v>
      </c>
      <c r="I1553" s="22" t="str">
        <f t="shared" si="169"/>
        <v>2019-09-09</v>
      </c>
      <c r="J1553" s="23" t="str">
        <f t="shared" si="170"/>
        <v>43</v>
      </c>
      <c r="K1553" t="str">
        <f t="shared" si="171"/>
        <v>yes</v>
      </c>
      <c r="L1553">
        <v>43</v>
      </c>
      <c r="M1553" t="str">
        <f t="shared" si="172"/>
        <v>2019-09-09</v>
      </c>
      <c r="N1553" s="20">
        <f t="shared" si="173"/>
        <v>43718</v>
      </c>
      <c r="O1553" t="str">
        <f t="shared" si="174"/>
        <v>2019-09-10</v>
      </c>
    </row>
    <row r="1554" spans="1:15" x14ac:dyDescent="0.2">
      <c r="A1554" s="21" t="str">
        <f t="shared" si="168"/>
        <v>y</v>
      </c>
      <c r="B1554" s="24">
        <v>43717</v>
      </c>
      <c r="C1554" t="s">
        <v>235</v>
      </c>
      <c r="D1554" t="s">
        <v>13</v>
      </c>
      <c r="E1554" t="s">
        <v>27</v>
      </c>
      <c r="F1554" t="s">
        <v>2</v>
      </c>
      <c r="H1554" t="s">
        <v>2029</v>
      </c>
      <c r="I1554" s="22" t="str">
        <f t="shared" si="169"/>
        <v>2019-09-09</v>
      </c>
      <c r="J1554" s="23" t="str">
        <f t="shared" si="170"/>
        <v>43</v>
      </c>
      <c r="K1554" t="str">
        <f t="shared" si="171"/>
        <v>yes</v>
      </c>
      <c r="L1554">
        <v>43</v>
      </c>
      <c r="M1554" t="str">
        <f t="shared" si="172"/>
        <v>2019-09-09</v>
      </c>
      <c r="N1554" s="20">
        <f t="shared" si="173"/>
        <v>43718</v>
      </c>
      <c r="O1554" t="str">
        <f t="shared" si="174"/>
        <v>2019-09-10</v>
      </c>
    </row>
    <row r="1555" spans="1:15" x14ac:dyDescent="0.2">
      <c r="A1555" s="21" t="str">
        <f t="shared" si="168"/>
        <v>y</v>
      </c>
      <c r="B1555" s="24">
        <v>43717</v>
      </c>
      <c r="C1555" t="s">
        <v>316</v>
      </c>
      <c r="D1555" t="s">
        <v>13</v>
      </c>
      <c r="E1555" t="s">
        <v>27</v>
      </c>
      <c r="F1555" t="s">
        <v>29</v>
      </c>
      <c r="G1555" t="s">
        <v>561</v>
      </c>
      <c r="H1555" t="s">
        <v>2019</v>
      </c>
      <c r="I1555" s="22" t="str">
        <f t="shared" si="169"/>
        <v>2019-09-09</v>
      </c>
      <c r="J1555" s="23" t="str">
        <f t="shared" si="170"/>
        <v>43</v>
      </c>
      <c r="K1555" t="str">
        <f t="shared" si="171"/>
        <v>yes</v>
      </c>
      <c r="L1555">
        <v>43</v>
      </c>
      <c r="M1555" t="str">
        <f t="shared" si="172"/>
        <v>2019-09-09</v>
      </c>
      <c r="N1555" s="20" t="str">
        <f t="shared" si="173"/>
        <v>2019-09-09</v>
      </c>
      <c r="O1555" t="str">
        <f t="shared" si="174"/>
        <v>2019-09-09</v>
      </c>
    </row>
    <row r="1556" spans="1:15" x14ac:dyDescent="0.2">
      <c r="A1556" s="21" t="str">
        <f t="shared" si="168"/>
        <v>y</v>
      </c>
      <c r="B1556" s="24">
        <v>43717</v>
      </c>
      <c r="C1556" t="s">
        <v>109</v>
      </c>
      <c r="D1556" t="s">
        <v>15</v>
      </c>
      <c r="E1556" t="s">
        <v>8</v>
      </c>
      <c r="F1556" t="s">
        <v>29</v>
      </c>
      <c r="G1556" t="s">
        <v>562</v>
      </c>
      <c r="H1556" t="s">
        <v>2069</v>
      </c>
      <c r="I1556" s="22" t="str">
        <f t="shared" si="169"/>
        <v>2019-09-09</v>
      </c>
      <c r="J1556" s="23" t="str">
        <f t="shared" si="170"/>
        <v>43</v>
      </c>
      <c r="K1556" t="str">
        <f t="shared" si="171"/>
        <v>yes</v>
      </c>
      <c r="L1556">
        <v>43</v>
      </c>
      <c r="M1556" t="str">
        <f t="shared" si="172"/>
        <v>2019-09-09</v>
      </c>
      <c r="N1556" s="20" t="str">
        <f t="shared" si="173"/>
        <v>2019-09-09</v>
      </c>
      <c r="O1556" t="str">
        <f t="shared" si="174"/>
        <v>2019-09-09</v>
      </c>
    </row>
    <row r="1557" spans="1:15" x14ac:dyDescent="0.2">
      <c r="A1557" s="21" t="str">
        <f t="shared" si="168"/>
        <v>y</v>
      </c>
      <c r="B1557" s="24">
        <v>43717</v>
      </c>
      <c r="C1557" t="s">
        <v>551</v>
      </c>
      <c r="D1557" t="s">
        <v>13</v>
      </c>
      <c r="E1557" t="s">
        <v>8</v>
      </c>
      <c r="F1557" t="s">
        <v>29</v>
      </c>
      <c r="G1557" t="s">
        <v>564</v>
      </c>
      <c r="H1557" t="s">
        <v>1960</v>
      </c>
      <c r="I1557" s="22" t="str">
        <f t="shared" si="169"/>
        <v>2019-09-09</v>
      </c>
      <c r="J1557" s="23" t="str">
        <f t="shared" si="170"/>
        <v>43</v>
      </c>
      <c r="K1557" t="str">
        <f t="shared" si="171"/>
        <v>yes</v>
      </c>
      <c r="L1557">
        <v>43</v>
      </c>
      <c r="M1557" t="str">
        <f t="shared" si="172"/>
        <v>2019-09-09</v>
      </c>
      <c r="N1557" s="20" t="str">
        <f t="shared" si="173"/>
        <v>2019-09-09</v>
      </c>
      <c r="O1557" t="str">
        <f t="shared" si="174"/>
        <v>2019-09-09</v>
      </c>
    </row>
    <row r="1558" spans="1:15" x14ac:dyDescent="0.2">
      <c r="A1558" s="21" t="str">
        <f t="shared" si="168"/>
        <v>y</v>
      </c>
      <c r="B1558" s="24">
        <v>43686</v>
      </c>
      <c r="C1558" t="s">
        <v>32</v>
      </c>
      <c r="D1558" t="s">
        <v>13</v>
      </c>
      <c r="E1558" t="s">
        <v>28</v>
      </c>
      <c r="F1558" t="s">
        <v>2</v>
      </c>
      <c r="H1558" t="s">
        <v>2068</v>
      </c>
      <c r="I1558" s="22" t="str">
        <f t="shared" si="169"/>
        <v>2019-09-08</v>
      </c>
      <c r="J1558" s="23" t="str">
        <f t="shared" si="170"/>
        <v>43</v>
      </c>
      <c r="K1558" t="str">
        <f t="shared" si="171"/>
        <v>yes</v>
      </c>
      <c r="L1558">
        <v>43</v>
      </c>
      <c r="M1558" t="str">
        <f t="shared" si="172"/>
        <v>2019-09-08</v>
      </c>
      <c r="N1558" s="20">
        <f t="shared" si="173"/>
        <v>43717</v>
      </c>
      <c r="O1558" t="str">
        <f t="shared" si="174"/>
        <v>2019-09-09</v>
      </c>
    </row>
    <row r="1559" spans="1:15" x14ac:dyDescent="0.2">
      <c r="A1559" s="21" t="str">
        <f t="shared" si="168"/>
        <v>y</v>
      </c>
      <c r="B1559" s="24">
        <v>43686</v>
      </c>
      <c r="C1559" t="s">
        <v>555</v>
      </c>
      <c r="D1559" t="s">
        <v>13</v>
      </c>
      <c r="E1559" t="s">
        <v>27</v>
      </c>
      <c r="F1559" t="s">
        <v>2</v>
      </c>
      <c r="H1559" t="s">
        <v>2019</v>
      </c>
      <c r="I1559" s="22" t="str">
        <f t="shared" si="169"/>
        <v>2019-09-08</v>
      </c>
      <c r="J1559" s="23" t="str">
        <f t="shared" si="170"/>
        <v>43</v>
      </c>
      <c r="K1559" t="str">
        <f t="shared" si="171"/>
        <v>yes</v>
      </c>
      <c r="L1559">
        <v>43</v>
      </c>
      <c r="M1559" t="str">
        <f t="shared" si="172"/>
        <v>2019-09-08</v>
      </c>
      <c r="N1559" s="20">
        <f t="shared" si="173"/>
        <v>43717</v>
      </c>
      <c r="O1559" t="str">
        <f t="shared" si="174"/>
        <v>2019-09-09</v>
      </c>
    </row>
    <row r="1560" spans="1:15" x14ac:dyDescent="0.2">
      <c r="A1560" s="21" t="str">
        <f t="shared" si="168"/>
        <v>y</v>
      </c>
      <c r="B1560" s="24">
        <v>43686</v>
      </c>
      <c r="C1560" t="s">
        <v>235</v>
      </c>
      <c r="D1560" t="s">
        <v>13</v>
      </c>
      <c r="E1560" t="s">
        <v>4</v>
      </c>
      <c r="F1560" t="s">
        <v>29</v>
      </c>
      <c r="G1560" t="s">
        <v>558</v>
      </c>
      <c r="H1560" t="s">
        <v>2057</v>
      </c>
      <c r="I1560" s="22" t="str">
        <f t="shared" si="169"/>
        <v>2019-09-08</v>
      </c>
      <c r="J1560" s="23" t="str">
        <f t="shared" si="170"/>
        <v>43</v>
      </c>
      <c r="K1560" t="str">
        <f t="shared" si="171"/>
        <v>yes</v>
      </c>
      <c r="L1560">
        <v>43</v>
      </c>
      <c r="M1560" t="str">
        <f t="shared" si="172"/>
        <v>2019-09-08</v>
      </c>
      <c r="N1560" s="20" t="str">
        <f t="shared" si="173"/>
        <v>2019-09-08</v>
      </c>
      <c r="O1560" t="str">
        <f t="shared" si="174"/>
        <v>2019-09-08</v>
      </c>
    </row>
    <row r="1561" spans="1:15" x14ac:dyDescent="0.2">
      <c r="A1561" s="21" t="str">
        <f t="shared" si="168"/>
        <v>y</v>
      </c>
      <c r="B1561" s="24">
        <v>43686</v>
      </c>
      <c r="C1561" t="s">
        <v>235</v>
      </c>
      <c r="D1561" t="s">
        <v>13</v>
      </c>
      <c r="E1561" t="s">
        <v>27</v>
      </c>
      <c r="F1561" t="s">
        <v>2</v>
      </c>
      <c r="G1561" t="s">
        <v>557</v>
      </c>
      <c r="H1561" t="s">
        <v>2066</v>
      </c>
      <c r="I1561" s="22" t="str">
        <f t="shared" si="169"/>
        <v>2019-09-08</v>
      </c>
      <c r="J1561" s="23" t="str">
        <f t="shared" si="170"/>
        <v>43</v>
      </c>
      <c r="K1561" t="str">
        <f t="shared" si="171"/>
        <v>yes</v>
      </c>
      <c r="L1561">
        <v>43</v>
      </c>
      <c r="M1561" t="str">
        <f t="shared" si="172"/>
        <v>2019-09-08</v>
      </c>
      <c r="N1561" s="20">
        <f t="shared" si="173"/>
        <v>43717</v>
      </c>
      <c r="O1561" t="str">
        <f t="shared" si="174"/>
        <v>2019-09-09</v>
      </c>
    </row>
    <row r="1562" spans="1:15" x14ac:dyDescent="0.2">
      <c r="A1562" s="21" t="str">
        <f t="shared" si="168"/>
        <v>y</v>
      </c>
      <c r="B1562" s="24">
        <v>43686</v>
      </c>
      <c r="C1562" t="s">
        <v>316</v>
      </c>
      <c r="D1562" t="s">
        <v>13</v>
      </c>
      <c r="E1562" t="s">
        <v>27</v>
      </c>
      <c r="F1562" t="s">
        <v>29</v>
      </c>
      <c r="G1562" t="s">
        <v>560</v>
      </c>
      <c r="H1562" t="s">
        <v>2069</v>
      </c>
      <c r="I1562" s="22" t="str">
        <f t="shared" si="169"/>
        <v>2019-09-08</v>
      </c>
      <c r="J1562" s="23" t="str">
        <f t="shared" si="170"/>
        <v>43</v>
      </c>
      <c r="K1562" t="str">
        <f t="shared" si="171"/>
        <v>yes</v>
      </c>
      <c r="L1562">
        <v>43</v>
      </c>
      <c r="M1562" t="str">
        <f t="shared" si="172"/>
        <v>2019-09-08</v>
      </c>
      <c r="N1562" s="20" t="str">
        <f t="shared" si="173"/>
        <v>2019-09-08</v>
      </c>
      <c r="O1562" t="str">
        <f t="shared" si="174"/>
        <v>2019-09-08</v>
      </c>
    </row>
    <row r="1563" spans="1:15" x14ac:dyDescent="0.2">
      <c r="A1563" s="21" t="str">
        <f t="shared" si="168"/>
        <v>y</v>
      </c>
      <c r="B1563" s="24">
        <v>43594</v>
      </c>
      <c r="C1563" t="s">
        <v>32</v>
      </c>
      <c r="D1563" t="s">
        <v>13</v>
      </c>
      <c r="E1563" t="s">
        <v>28</v>
      </c>
      <c r="F1563" t="s">
        <v>2</v>
      </c>
      <c r="H1563" t="s">
        <v>2019</v>
      </c>
      <c r="I1563" s="22" t="str">
        <f t="shared" si="169"/>
        <v>2019-09-05</v>
      </c>
      <c r="J1563" s="23" t="str">
        <f t="shared" si="170"/>
        <v>43</v>
      </c>
      <c r="K1563" t="str">
        <f t="shared" si="171"/>
        <v>yes</v>
      </c>
      <c r="L1563">
        <v>43</v>
      </c>
      <c r="M1563" t="str">
        <f t="shared" si="172"/>
        <v>2019-09-05</v>
      </c>
      <c r="N1563" s="20">
        <f t="shared" si="173"/>
        <v>43714</v>
      </c>
      <c r="O1563" t="str">
        <f t="shared" si="174"/>
        <v>2019-09-06</v>
      </c>
    </row>
    <row r="1564" spans="1:15" x14ac:dyDescent="0.2">
      <c r="A1564" s="21" t="str">
        <f t="shared" si="168"/>
        <v>y</v>
      </c>
      <c r="B1564" s="24">
        <v>43594</v>
      </c>
      <c r="C1564" t="s">
        <v>553</v>
      </c>
      <c r="D1564" t="s">
        <v>13</v>
      </c>
      <c r="E1564" t="s">
        <v>27</v>
      </c>
      <c r="F1564" t="s">
        <v>29</v>
      </c>
      <c r="G1564" t="s">
        <v>556</v>
      </c>
      <c r="H1564" t="s">
        <v>2057</v>
      </c>
      <c r="I1564" s="22" t="str">
        <f t="shared" si="169"/>
        <v>2019-09-05</v>
      </c>
      <c r="J1564" s="23" t="str">
        <f t="shared" si="170"/>
        <v>43</v>
      </c>
      <c r="K1564" t="str">
        <f t="shared" si="171"/>
        <v>yes</v>
      </c>
      <c r="L1564">
        <v>43</v>
      </c>
      <c r="M1564" t="str">
        <f t="shared" si="172"/>
        <v>2019-09-05</v>
      </c>
      <c r="N1564" s="20" t="str">
        <f t="shared" si="173"/>
        <v>2019-09-05</v>
      </c>
      <c r="O1564" t="str">
        <f t="shared" si="174"/>
        <v>2019-09-05</v>
      </c>
    </row>
    <row r="1565" spans="1:15" x14ac:dyDescent="0.2">
      <c r="A1565" s="21" t="str">
        <f t="shared" si="168"/>
        <v>y</v>
      </c>
      <c r="B1565" s="24">
        <v>43594</v>
      </c>
      <c r="C1565" t="s">
        <v>145</v>
      </c>
      <c r="D1565" t="s">
        <v>13</v>
      </c>
      <c r="E1565" t="s">
        <v>64</v>
      </c>
      <c r="F1565" t="s">
        <v>29</v>
      </c>
      <c r="G1565" t="s">
        <v>559</v>
      </c>
      <c r="H1565" t="s">
        <v>2026</v>
      </c>
      <c r="I1565" s="22" t="str">
        <f t="shared" si="169"/>
        <v>2019-09-05</v>
      </c>
      <c r="J1565" s="23" t="str">
        <f t="shared" si="170"/>
        <v>43</v>
      </c>
      <c r="K1565" t="str">
        <f t="shared" si="171"/>
        <v>yes</v>
      </c>
      <c r="L1565">
        <v>43</v>
      </c>
      <c r="M1565" t="str">
        <f t="shared" si="172"/>
        <v>2019-09-05</v>
      </c>
      <c r="N1565" s="20" t="str">
        <f t="shared" si="173"/>
        <v>2019-09-05</v>
      </c>
      <c r="O1565" t="str">
        <f t="shared" si="174"/>
        <v>2019-09-05</v>
      </c>
    </row>
    <row r="1566" spans="1:15" x14ac:dyDescent="0.2">
      <c r="A1566" s="21" t="str">
        <f t="shared" si="168"/>
        <v>y</v>
      </c>
      <c r="B1566" s="24">
        <v>43594</v>
      </c>
      <c r="C1566" t="s">
        <v>555</v>
      </c>
      <c r="D1566" t="s">
        <v>13</v>
      </c>
      <c r="E1566" t="s">
        <v>27</v>
      </c>
      <c r="F1566" t="s">
        <v>2</v>
      </c>
      <c r="H1566" t="s">
        <v>2019</v>
      </c>
      <c r="I1566" s="22" t="str">
        <f t="shared" si="169"/>
        <v>2019-09-05</v>
      </c>
      <c r="J1566" s="23" t="str">
        <f t="shared" si="170"/>
        <v>43</v>
      </c>
      <c r="K1566" t="str">
        <f t="shared" si="171"/>
        <v>yes</v>
      </c>
      <c r="L1566">
        <v>43</v>
      </c>
      <c r="M1566" t="str">
        <f t="shared" si="172"/>
        <v>2019-09-05</v>
      </c>
      <c r="N1566" s="20">
        <f t="shared" si="173"/>
        <v>43714</v>
      </c>
      <c r="O1566" t="str">
        <f t="shared" si="174"/>
        <v>2019-09-06</v>
      </c>
    </row>
    <row r="1567" spans="1:15" x14ac:dyDescent="0.2">
      <c r="A1567" s="21" t="str">
        <f t="shared" si="168"/>
        <v>y</v>
      </c>
      <c r="B1567" s="24">
        <v>43564</v>
      </c>
      <c r="C1567" t="s">
        <v>32</v>
      </c>
      <c r="D1567" t="s">
        <v>13</v>
      </c>
      <c r="E1567" t="s">
        <v>28</v>
      </c>
      <c r="F1567" t="s">
        <v>2</v>
      </c>
      <c r="G1567" t="s">
        <v>549</v>
      </c>
      <c r="H1567" t="s">
        <v>2057</v>
      </c>
      <c r="I1567" s="22" t="str">
        <f t="shared" si="169"/>
        <v>2019-09-04</v>
      </c>
      <c r="J1567" s="23" t="str">
        <f t="shared" si="170"/>
        <v>43</v>
      </c>
      <c r="K1567" t="str">
        <f t="shared" si="171"/>
        <v>yes</v>
      </c>
      <c r="L1567">
        <v>43</v>
      </c>
      <c r="M1567" t="str">
        <f t="shared" si="172"/>
        <v>2019-09-04</v>
      </c>
      <c r="N1567" s="20">
        <f t="shared" si="173"/>
        <v>43713</v>
      </c>
      <c r="O1567" t="str">
        <f t="shared" si="174"/>
        <v>2019-09-05</v>
      </c>
    </row>
    <row r="1568" spans="1:15" x14ac:dyDescent="0.2">
      <c r="A1568" s="21" t="str">
        <f t="shared" si="168"/>
        <v>y</v>
      </c>
      <c r="B1568" s="24">
        <v>43564</v>
      </c>
      <c r="C1568" t="s">
        <v>365</v>
      </c>
      <c r="D1568" t="s">
        <v>13</v>
      </c>
      <c r="E1568" t="s">
        <v>28</v>
      </c>
      <c r="F1568" t="s">
        <v>29</v>
      </c>
      <c r="G1568" t="s">
        <v>554</v>
      </c>
      <c r="H1568" t="s">
        <v>2026</v>
      </c>
      <c r="I1568" s="22" t="str">
        <f t="shared" si="169"/>
        <v>2019-09-04</v>
      </c>
      <c r="J1568" s="23" t="str">
        <f t="shared" si="170"/>
        <v>43</v>
      </c>
      <c r="K1568" t="str">
        <f t="shared" si="171"/>
        <v>yes</v>
      </c>
      <c r="L1568">
        <v>43</v>
      </c>
      <c r="M1568" t="str">
        <f t="shared" si="172"/>
        <v>2019-09-04</v>
      </c>
      <c r="N1568" s="20" t="str">
        <f t="shared" si="173"/>
        <v>2019-09-04</v>
      </c>
      <c r="O1568" t="str">
        <f t="shared" si="174"/>
        <v>2019-09-04</v>
      </c>
    </row>
    <row r="1569" spans="1:15" x14ac:dyDescent="0.2">
      <c r="A1569" s="21" t="str">
        <f t="shared" si="168"/>
        <v>y</v>
      </c>
      <c r="B1569" s="24">
        <v>43564</v>
      </c>
      <c r="C1569" t="s">
        <v>551</v>
      </c>
      <c r="D1569" t="s">
        <v>13</v>
      </c>
      <c r="E1569" t="s">
        <v>27</v>
      </c>
      <c r="F1569" t="s">
        <v>29</v>
      </c>
      <c r="G1569" t="s">
        <v>552</v>
      </c>
      <c r="H1569" t="s">
        <v>2019</v>
      </c>
      <c r="I1569" s="22" t="str">
        <f t="shared" si="169"/>
        <v>2019-09-04</v>
      </c>
      <c r="J1569" s="23" t="str">
        <f t="shared" si="170"/>
        <v>43</v>
      </c>
      <c r="K1569" t="str">
        <f t="shared" si="171"/>
        <v>yes</v>
      </c>
      <c r="L1569">
        <v>43</v>
      </c>
      <c r="M1569" t="str">
        <f t="shared" si="172"/>
        <v>2019-09-04</v>
      </c>
      <c r="N1569" s="20" t="str">
        <f t="shared" si="173"/>
        <v>2019-09-04</v>
      </c>
      <c r="O1569" t="str">
        <f t="shared" si="174"/>
        <v>2019-09-04</v>
      </c>
    </row>
    <row r="1570" spans="1:15" x14ac:dyDescent="0.2">
      <c r="A1570" s="21" t="str">
        <f t="shared" si="168"/>
        <v>y</v>
      </c>
      <c r="B1570" s="24">
        <v>43564</v>
      </c>
      <c r="C1570" t="s">
        <v>553</v>
      </c>
      <c r="D1570" t="s">
        <v>13</v>
      </c>
      <c r="E1570" t="s">
        <v>27</v>
      </c>
      <c r="F1570" t="s">
        <v>2</v>
      </c>
      <c r="H1570" t="s">
        <v>2041</v>
      </c>
      <c r="I1570" s="22" t="str">
        <f t="shared" si="169"/>
        <v>2019-09-04</v>
      </c>
      <c r="J1570" s="23" t="str">
        <f t="shared" si="170"/>
        <v>43</v>
      </c>
      <c r="K1570" t="str">
        <f t="shared" si="171"/>
        <v>yes</v>
      </c>
      <c r="L1570">
        <v>43</v>
      </c>
      <c r="M1570" t="str">
        <f t="shared" si="172"/>
        <v>2019-09-04</v>
      </c>
      <c r="N1570" s="20">
        <f t="shared" si="173"/>
        <v>43713</v>
      </c>
      <c r="O1570" t="str">
        <f t="shared" si="174"/>
        <v>2019-09-05</v>
      </c>
    </row>
    <row r="1571" spans="1:15" x14ac:dyDescent="0.2">
      <c r="A1571" s="21" t="str">
        <f t="shared" si="168"/>
        <v>y</v>
      </c>
      <c r="B1571" s="24">
        <v>43533</v>
      </c>
      <c r="C1571" t="s">
        <v>32</v>
      </c>
      <c r="D1571" t="s">
        <v>13</v>
      </c>
      <c r="E1571" t="s">
        <v>28</v>
      </c>
      <c r="F1571" t="s">
        <v>2</v>
      </c>
      <c r="G1571" t="s">
        <v>548</v>
      </c>
      <c r="H1571" t="s">
        <v>2057</v>
      </c>
      <c r="I1571" s="22" t="str">
        <f t="shared" si="169"/>
        <v>2019-09-03</v>
      </c>
      <c r="J1571" s="23" t="str">
        <f t="shared" si="170"/>
        <v>43</v>
      </c>
      <c r="K1571" t="str">
        <f t="shared" si="171"/>
        <v>yes</v>
      </c>
      <c r="L1571">
        <v>43</v>
      </c>
      <c r="M1571" t="str">
        <f t="shared" si="172"/>
        <v>2019-09-03</v>
      </c>
      <c r="N1571" s="20">
        <f t="shared" si="173"/>
        <v>43712</v>
      </c>
      <c r="O1571" t="str">
        <f t="shared" si="174"/>
        <v>2019-09-04</v>
      </c>
    </row>
    <row r="1572" spans="1:15" x14ac:dyDescent="0.2">
      <c r="A1572" s="21" t="str">
        <f t="shared" si="168"/>
        <v>y</v>
      </c>
      <c r="B1572" s="24">
        <v>43533</v>
      </c>
      <c r="C1572" t="s">
        <v>365</v>
      </c>
      <c r="D1572" t="s">
        <v>13</v>
      </c>
      <c r="E1572" t="s">
        <v>43</v>
      </c>
      <c r="F1572" t="s">
        <v>2</v>
      </c>
      <c r="H1572" t="s">
        <v>2067</v>
      </c>
      <c r="I1572" s="22" t="str">
        <f t="shared" si="169"/>
        <v>2019-09-03</v>
      </c>
      <c r="J1572" s="23" t="str">
        <f t="shared" si="170"/>
        <v>43</v>
      </c>
      <c r="K1572" t="str">
        <f t="shared" si="171"/>
        <v>yes</v>
      </c>
      <c r="L1572">
        <v>43</v>
      </c>
      <c r="M1572" t="str">
        <f t="shared" si="172"/>
        <v>2019-09-03</v>
      </c>
      <c r="N1572" s="20">
        <f t="shared" si="173"/>
        <v>43712</v>
      </c>
      <c r="O1572" t="str">
        <f t="shared" si="174"/>
        <v>2019-09-04</v>
      </c>
    </row>
    <row r="1573" spans="1:15" x14ac:dyDescent="0.2">
      <c r="A1573" s="21" t="str">
        <f t="shared" si="168"/>
        <v>y</v>
      </c>
      <c r="B1573" s="24">
        <v>43533</v>
      </c>
      <c r="C1573" t="s">
        <v>65</v>
      </c>
      <c r="D1573" t="s">
        <v>14</v>
      </c>
      <c r="E1573" t="s">
        <v>8</v>
      </c>
      <c r="F1573" t="s">
        <v>29</v>
      </c>
      <c r="G1573" t="s">
        <v>550</v>
      </c>
      <c r="H1573" t="s">
        <v>2036</v>
      </c>
      <c r="I1573" s="22" t="str">
        <f t="shared" si="169"/>
        <v>2019-09-03</v>
      </c>
      <c r="J1573" s="23" t="str">
        <f t="shared" si="170"/>
        <v>43</v>
      </c>
      <c r="K1573" t="str">
        <f t="shared" si="171"/>
        <v>yes</v>
      </c>
      <c r="L1573">
        <v>43</v>
      </c>
      <c r="M1573" t="str">
        <f t="shared" si="172"/>
        <v>2019-09-03</v>
      </c>
      <c r="N1573" s="20" t="str">
        <f t="shared" si="173"/>
        <v>2019-09-03</v>
      </c>
      <c r="O1573" t="str">
        <f t="shared" si="174"/>
        <v>2019-09-03</v>
      </c>
    </row>
    <row r="1574" spans="1:15" x14ac:dyDescent="0.2">
      <c r="A1574" s="21" t="str">
        <f t="shared" si="168"/>
        <v>y</v>
      </c>
      <c r="B1574" s="24">
        <v>43505</v>
      </c>
      <c r="C1574" t="s">
        <v>32</v>
      </c>
      <c r="D1574" t="s">
        <v>13</v>
      </c>
      <c r="E1574" t="s">
        <v>28</v>
      </c>
      <c r="F1574" t="s">
        <v>2</v>
      </c>
      <c r="G1574" t="s">
        <v>547</v>
      </c>
      <c r="H1574" t="s">
        <v>2019</v>
      </c>
      <c r="I1574" s="22" t="str">
        <f t="shared" si="169"/>
        <v>2019-09-02</v>
      </c>
      <c r="J1574" s="23" t="str">
        <f t="shared" si="170"/>
        <v>43</v>
      </c>
      <c r="K1574" t="str">
        <f t="shared" si="171"/>
        <v>yes</v>
      </c>
      <c r="L1574">
        <v>43</v>
      </c>
      <c r="M1574" t="str">
        <f t="shared" si="172"/>
        <v>2019-09-02</v>
      </c>
      <c r="N1574" s="20">
        <f t="shared" si="173"/>
        <v>43711</v>
      </c>
      <c r="O1574" t="str">
        <f t="shared" si="174"/>
        <v>2019-09-03</v>
      </c>
    </row>
    <row r="1575" spans="1:15" x14ac:dyDescent="0.2">
      <c r="A1575" s="21" t="str">
        <f t="shared" si="168"/>
        <v>y</v>
      </c>
      <c r="B1575" s="24">
        <v>43505</v>
      </c>
      <c r="C1575" t="s">
        <v>365</v>
      </c>
      <c r="D1575" t="s">
        <v>13</v>
      </c>
      <c r="E1575" t="s">
        <v>43</v>
      </c>
      <c r="F1575" t="s">
        <v>2</v>
      </c>
      <c r="H1575" t="s">
        <v>2041</v>
      </c>
      <c r="I1575" s="22" t="str">
        <f t="shared" si="169"/>
        <v>2019-09-02</v>
      </c>
      <c r="J1575" s="23" t="str">
        <f t="shared" si="170"/>
        <v>43</v>
      </c>
      <c r="K1575" t="str">
        <f t="shared" si="171"/>
        <v>yes</v>
      </c>
      <c r="L1575">
        <v>43</v>
      </c>
      <c r="M1575" t="str">
        <f t="shared" si="172"/>
        <v>2019-09-02</v>
      </c>
      <c r="N1575" s="20">
        <f t="shared" si="173"/>
        <v>43711</v>
      </c>
      <c r="O1575" t="str">
        <f t="shared" si="174"/>
        <v>2019-09-03</v>
      </c>
    </row>
    <row r="1576" spans="1:15" x14ac:dyDescent="0.2">
      <c r="A1576" s="21" t="str">
        <f t="shared" si="168"/>
        <v>y</v>
      </c>
      <c r="B1576" s="24">
        <v>43505</v>
      </c>
      <c r="C1576" t="s">
        <v>65</v>
      </c>
      <c r="D1576" t="s">
        <v>14</v>
      </c>
      <c r="E1576" t="s">
        <v>43</v>
      </c>
      <c r="F1576" t="s">
        <v>2</v>
      </c>
      <c r="G1576" t="s">
        <v>546</v>
      </c>
      <c r="H1576" t="s">
        <v>2057</v>
      </c>
      <c r="I1576" s="22" t="str">
        <f t="shared" si="169"/>
        <v>2019-09-02</v>
      </c>
      <c r="J1576" s="23" t="str">
        <f t="shared" si="170"/>
        <v>43</v>
      </c>
      <c r="K1576" t="str">
        <f t="shared" si="171"/>
        <v>yes</v>
      </c>
      <c r="L1576">
        <v>43</v>
      </c>
      <c r="M1576" t="str">
        <f t="shared" si="172"/>
        <v>2019-09-02</v>
      </c>
      <c r="N1576" s="20">
        <f t="shared" si="173"/>
        <v>43711</v>
      </c>
      <c r="O1576" t="str">
        <f t="shared" si="174"/>
        <v>2019-09-03</v>
      </c>
    </row>
    <row r="1577" spans="1:15" x14ac:dyDescent="0.2">
      <c r="A1577" s="21" t="str">
        <f t="shared" si="168"/>
        <v>y</v>
      </c>
      <c r="B1577" s="24">
        <v>43474</v>
      </c>
      <c r="C1577" t="s">
        <v>32</v>
      </c>
      <c r="D1577" t="s">
        <v>13</v>
      </c>
      <c r="E1577" t="s">
        <v>28</v>
      </c>
      <c r="F1577" t="s">
        <v>2</v>
      </c>
      <c r="G1577" t="s">
        <v>545</v>
      </c>
      <c r="H1577" t="s">
        <v>2067</v>
      </c>
      <c r="I1577" s="22" t="str">
        <f t="shared" si="169"/>
        <v>2019-09-01</v>
      </c>
      <c r="J1577" s="23" t="str">
        <f t="shared" si="170"/>
        <v>43</v>
      </c>
      <c r="K1577" t="str">
        <f t="shared" si="171"/>
        <v>yes</v>
      </c>
      <c r="L1577">
        <v>43</v>
      </c>
      <c r="M1577" t="str">
        <f t="shared" si="172"/>
        <v>2019-09-01</v>
      </c>
      <c r="N1577" s="20">
        <f t="shared" si="173"/>
        <v>43710</v>
      </c>
      <c r="O1577" t="str">
        <f t="shared" si="174"/>
        <v>2019-09-02</v>
      </c>
    </row>
    <row r="1578" spans="1:15" x14ac:dyDescent="0.2">
      <c r="A1578" s="21" t="str">
        <f t="shared" si="168"/>
        <v>y</v>
      </c>
      <c r="B1578" s="24">
        <v>43474</v>
      </c>
      <c r="C1578" t="s">
        <v>503</v>
      </c>
      <c r="D1578" t="s">
        <v>13</v>
      </c>
      <c r="E1578" t="s">
        <v>8</v>
      </c>
      <c r="F1578" t="s">
        <v>29</v>
      </c>
      <c r="G1578" t="s">
        <v>544</v>
      </c>
      <c r="H1578" t="s">
        <v>2019</v>
      </c>
      <c r="I1578" s="22" t="str">
        <f t="shared" si="169"/>
        <v>2019-09-01</v>
      </c>
      <c r="J1578" s="23" t="str">
        <f t="shared" si="170"/>
        <v>43</v>
      </c>
      <c r="K1578" t="str">
        <f t="shared" si="171"/>
        <v>yes</v>
      </c>
      <c r="L1578">
        <v>43</v>
      </c>
      <c r="M1578" t="str">
        <f t="shared" si="172"/>
        <v>2019-09-01</v>
      </c>
      <c r="N1578" s="20" t="str">
        <f t="shared" si="173"/>
        <v>2019-09-01</v>
      </c>
      <c r="O1578" t="str">
        <f t="shared" si="174"/>
        <v>2019-09-01</v>
      </c>
    </row>
    <row r="1579" spans="1:15" x14ac:dyDescent="0.2">
      <c r="A1579" s="21" t="str">
        <f t="shared" si="168"/>
        <v>y</v>
      </c>
      <c r="B1579" s="24">
        <v>43474</v>
      </c>
      <c r="C1579" t="s">
        <v>365</v>
      </c>
      <c r="D1579" t="s">
        <v>13</v>
      </c>
      <c r="E1579" t="s">
        <v>43</v>
      </c>
      <c r="F1579" t="s">
        <v>2</v>
      </c>
      <c r="G1579" t="s">
        <v>543</v>
      </c>
      <c r="H1579" t="s">
        <v>2041</v>
      </c>
      <c r="I1579" s="22" t="str">
        <f t="shared" si="169"/>
        <v>2019-09-01</v>
      </c>
      <c r="J1579" s="23" t="str">
        <f t="shared" si="170"/>
        <v>43</v>
      </c>
      <c r="K1579" t="str">
        <f t="shared" si="171"/>
        <v>yes</v>
      </c>
      <c r="L1579">
        <v>43</v>
      </c>
      <c r="M1579" t="str">
        <f t="shared" si="172"/>
        <v>2019-09-01</v>
      </c>
      <c r="N1579" s="20">
        <f t="shared" si="173"/>
        <v>43710</v>
      </c>
      <c r="O1579" t="str">
        <f t="shared" si="174"/>
        <v>2019-09-02</v>
      </c>
    </row>
    <row r="1580" spans="1:15" x14ac:dyDescent="0.2">
      <c r="A1580" s="21" t="str">
        <f t="shared" si="168"/>
        <v>y</v>
      </c>
      <c r="B1580" s="24">
        <v>43474</v>
      </c>
      <c r="C1580" t="s">
        <v>316</v>
      </c>
      <c r="D1580" t="s">
        <v>13</v>
      </c>
      <c r="E1580" t="s">
        <v>27</v>
      </c>
      <c r="F1580" t="s">
        <v>29</v>
      </c>
      <c r="G1580" t="s">
        <v>542</v>
      </c>
      <c r="H1580" t="s">
        <v>2057</v>
      </c>
      <c r="I1580" s="22" t="str">
        <f t="shared" si="169"/>
        <v>2019-09-01</v>
      </c>
      <c r="J1580" s="23" t="str">
        <f t="shared" si="170"/>
        <v>43</v>
      </c>
      <c r="K1580" t="str">
        <f t="shared" si="171"/>
        <v>yes</v>
      </c>
      <c r="L1580">
        <v>43</v>
      </c>
      <c r="M1580" t="str">
        <f t="shared" si="172"/>
        <v>2019-09-01</v>
      </c>
      <c r="N1580" s="20" t="str">
        <f t="shared" si="173"/>
        <v>2019-09-01</v>
      </c>
      <c r="O1580" t="str">
        <f t="shared" si="174"/>
        <v>2019-09-01</v>
      </c>
    </row>
    <row r="1581" spans="1:15" x14ac:dyDescent="0.2">
      <c r="A1581" s="21" t="str">
        <f t="shared" si="168"/>
        <v>y</v>
      </c>
      <c r="B1581" s="24">
        <v>43474</v>
      </c>
      <c r="C1581" t="s">
        <v>540</v>
      </c>
      <c r="D1581" t="s">
        <v>13</v>
      </c>
      <c r="E1581" t="s">
        <v>27</v>
      </c>
      <c r="F1581" t="s">
        <v>29</v>
      </c>
      <c r="G1581" t="s">
        <v>541</v>
      </c>
      <c r="H1581" t="s">
        <v>2061</v>
      </c>
      <c r="I1581" s="22" t="str">
        <f t="shared" si="169"/>
        <v>2019-09-01</v>
      </c>
      <c r="J1581" s="23" t="str">
        <f t="shared" si="170"/>
        <v>43</v>
      </c>
      <c r="K1581" t="str">
        <f t="shared" si="171"/>
        <v>yes</v>
      </c>
      <c r="L1581">
        <v>43</v>
      </c>
      <c r="M1581" t="str">
        <f t="shared" si="172"/>
        <v>2019-09-01</v>
      </c>
      <c r="N1581" s="20" t="str">
        <f t="shared" si="173"/>
        <v>2019-09-01</v>
      </c>
      <c r="O1581" t="str">
        <f t="shared" si="174"/>
        <v>2019-09-01</v>
      </c>
    </row>
    <row r="1582" spans="1:15" x14ac:dyDescent="0.2">
      <c r="A1582" s="21" t="str">
        <f t="shared" si="168"/>
        <v>y</v>
      </c>
      <c r="B1582" s="24" t="s">
        <v>1832</v>
      </c>
      <c r="C1582" t="s">
        <v>32</v>
      </c>
      <c r="D1582" t="s">
        <v>13</v>
      </c>
      <c r="E1582" t="s">
        <v>28</v>
      </c>
      <c r="F1582" t="s">
        <v>2</v>
      </c>
      <c r="G1582" t="s">
        <v>539</v>
      </c>
      <c r="H1582" t="s">
        <v>2019</v>
      </c>
      <c r="I1582" s="22" t="str">
        <f t="shared" si="169"/>
        <v>2019-08-29</v>
      </c>
      <c r="J1582" s="23" t="str">
        <f t="shared" si="170"/>
        <v>29</v>
      </c>
      <c r="K1582" t="str">
        <f t="shared" si="171"/>
        <v>no</v>
      </c>
      <c r="L1582">
        <v>29</v>
      </c>
      <c r="M1582" t="str">
        <f t="shared" si="172"/>
        <v>2019-08-29</v>
      </c>
      <c r="N1582" s="20">
        <f t="shared" si="173"/>
        <v>43707</v>
      </c>
      <c r="O1582" t="str">
        <f t="shared" si="174"/>
        <v>2019-08-30</v>
      </c>
    </row>
    <row r="1583" spans="1:15" x14ac:dyDescent="0.2">
      <c r="A1583" s="21" t="str">
        <f t="shared" si="168"/>
        <v>y</v>
      </c>
      <c r="B1583" s="24" t="s">
        <v>1832</v>
      </c>
      <c r="C1583" t="s">
        <v>503</v>
      </c>
      <c r="D1583" t="s">
        <v>13</v>
      </c>
      <c r="E1583" t="s">
        <v>27</v>
      </c>
      <c r="F1583" t="s">
        <v>2</v>
      </c>
      <c r="H1583" t="s">
        <v>2041</v>
      </c>
      <c r="I1583" s="22" t="str">
        <f t="shared" si="169"/>
        <v>2019-08-29</v>
      </c>
      <c r="J1583" s="23" t="str">
        <f t="shared" si="170"/>
        <v>29</v>
      </c>
      <c r="K1583" t="str">
        <f t="shared" si="171"/>
        <v>no</v>
      </c>
      <c r="L1583">
        <v>29</v>
      </c>
      <c r="M1583" t="str">
        <f t="shared" si="172"/>
        <v>2019-08-29</v>
      </c>
      <c r="N1583" s="20">
        <f t="shared" si="173"/>
        <v>43707</v>
      </c>
      <c r="O1583" t="str">
        <f t="shared" si="174"/>
        <v>2019-08-30</v>
      </c>
    </row>
    <row r="1584" spans="1:15" x14ac:dyDescent="0.2">
      <c r="A1584" s="21" t="str">
        <f t="shared" si="168"/>
        <v>y</v>
      </c>
      <c r="B1584" s="24" t="s">
        <v>1832</v>
      </c>
      <c r="C1584" t="s">
        <v>365</v>
      </c>
      <c r="D1584" t="s">
        <v>13</v>
      </c>
      <c r="E1584" t="s">
        <v>43</v>
      </c>
      <c r="F1584" t="s">
        <v>2</v>
      </c>
      <c r="H1584" t="s">
        <v>2070</v>
      </c>
      <c r="I1584" s="22" t="str">
        <f t="shared" si="169"/>
        <v>2019-08-29</v>
      </c>
      <c r="J1584" s="23" t="str">
        <f t="shared" si="170"/>
        <v>29</v>
      </c>
      <c r="K1584" t="str">
        <f t="shared" si="171"/>
        <v>no</v>
      </c>
      <c r="L1584">
        <v>29</v>
      </c>
      <c r="M1584" t="str">
        <f t="shared" si="172"/>
        <v>2019-08-29</v>
      </c>
      <c r="N1584" s="20">
        <f t="shared" si="173"/>
        <v>43707</v>
      </c>
      <c r="O1584" t="str">
        <f t="shared" si="174"/>
        <v>2019-08-30</v>
      </c>
    </row>
    <row r="1585" spans="1:15" x14ac:dyDescent="0.2">
      <c r="A1585" s="21" t="str">
        <f t="shared" si="168"/>
        <v>y</v>
      </c>
      <c r="B1585" s="24" t="s">
        <v>1832</v>
      </c>
      <c r="C1585" t="s">
        <v>316</v>
      </c>
      <c r="D1585" t="s">
        <v>13</v>
      </c>
      <c r="E1585" t="s">
        <v>27</v>
      </c>
      <c r="F1585" t="s">
        <v>29</v>
      </c>
      <c r="G1585" t="s">
        <v>536</v>
      </c>
      <c r="H1585" t="s">
        <v>2071</v>
      </c>
      <c r="I1585" s="22" t="str">
        <f t="shared" si="169"/>
        <v>2019-08-29</v>
      </c>
      <c r="J1585" s="23" t="str">
        <f t="shared" si="170"/>
        <v>29</v>
      </c>
      <c r="K1585" t="str">
        <f t="shared" si="171"/>
        <v>no</v>
      </c>
      <c r="L1585">
        <v>29</v>
      </c>
      <c r="M1585" t="str">
        <f t="shared" si="172"/>
        <v>2019-08-29</v>
      </c>
      <c r="N1585" s="20" t="str">
        <f t="shared" si="173"/>
        <v>2019-08-29</v>
      </c>
      <c r="O1585" t="str">
        <f t="shared" si="174"/>
        <v>2019-08-29</v>
      </c>
    </row>
    <row r="1586" spans="1:15" x14ac:dyDescent="0.2">
      <c r="A1586" s="21" t="str">
        <f t="shared" si="168"/>
        <v>y</v>
      </c>
      <c r="B1586" s="24" t="s">
        <v>1833</v>
      </c>
      <c r="C1586" t="s">
        <v>32</v>
      </c>
      <c r="D1586" t="s">
        <v>13</v>
      </c>
      <c r="E1586" t="s">
        <v>28</v>
      </c>
      <c r="F1586" t="s">
        <v>2</v>
      </c>
      <c r="G1586" t="s">
        <v>538</v>
      </c>
      <c r="H1586" t="s">
        <v>2067</v>
      </c>
      <c r="I1586" s="22" t="str">
        <f t="shared" si="169"/>
        <v>2019-08-28</v>
      </c>
      <c r="J1586" s="23" t="str">
        <f t="shared" si="170"/>
        <v>28</v>
      </c>
      <c r="K1586" t="str">
        <f t="shared" si="171"/>
        <v>no</v>
      </c>
      <c r="L1586">
        <v>28</v>
      </c>
      <c r="M1586" t="str">
        <f t="shared" si="172"/>
        <v>2019-08-28</v>
      </c>
      <c r="N1586" s="20">
        <f t="shared" si="173"/>
        <v>43706</v>
      </c>
      <c r="O1586" t="str">
        <f t="shared" si="174"/>
        <v>2019-08-29</v>
      </c>
    </row>
    <row r="1587" spans="1:15" x14ac:dyDescent="0.2">
      <c r="A1587" s="21" t="str">
        <f t="shared" si="168"/>
        <v>y</v>
      </c>
      <c r="B1587" s="24" t="s">
        <v>1833</v>
      </c>
      <c r="C1587" t="s">
        <v>503</v>
      </c>
      <c r="D1587" t="s">
        <v>13</v>
      </c>
      <c r="E1587" t="s">
        <v>27</v>
      </c>
      <c r="F1587" t="s">
        <v>2</v>
      </c>
      <c r="H1587" t="s">
        <v>1960</v>
      </c>
      <c r="I1587" s="22" t="str">
        <f t="shared" si="169"/>
        <v>2019-08-28</v>
      </c>
      <c r="J1587" s="23" t="str">
        <f t="shared" si="170"/>
        <v>28</v>
      </c>
      <c r="K1587" t="str">
        <f t="shared" si="171"/>
        <v>no</v>
      </c>
      <c r="L1587">
        <v>28</v>
      </c>
      <c r="M1587" t="str">
        <f t="shared" si="172"/>
        <v>2019-08-28</v>
      </c>
      <c r="N1587" s="20">
        <f t="shared" si="173"/>
        <v>43706</v>
      </c>
      <c r="O1587" t="str">
        <f t="shared" si="174"/>
        <v>2019-08-29</v>
      </c>
    </row>
    <row r="1588" spans="1:15" x14ac:dyDescent="0.2">
      <c r="A1588" s="21" t="str">
        <f t="shared" si="168"/>
        <v>y</v>
      </c>
      <c r="B1588" s="24" t="s">
        <v>1833</v>
      </c>
      <c r="C1588" t="s">
        <v>365</v>
      </c>
      <c r="D1588" t="s">
        <v>13</v>
      </c>
      <c r="E1588" t="s">
        <v>43</v>
      </c>
      <c r="F1588" t="s">
        <v>2</v>
      </c>
      <c r="H1588" t="s">
        <v>2057</v>
      </c>
      <c r="I1588" s="22" t="str">
        <f t="shared" si="169"/>
        <v>2019-08-28</v>
      </c>
      <c r="J1588" s="23" t="str">
        <f t="shared" si="170"/>
        <v>28</v>
      </c>
      <c r="K1588" t="str">
        <f t="shared" si="171"/>
        <v>no</v>
      </c>
      <c r="L1588">
        <v>28</v>
      </c>
      <c r="M1588" t="str">
        <f t="shared" si="172"/>
        <v>2019-08-28</v>
      </c>
      <c r="N1588" s="20">
        <f t="shared" si="173"/>
        <v>43706</v>
      </c>
      <c r="O1588" t="str">
        <f t="shared" si="174"/>
        <v>2019-08-29</v>
      </c>
    </row>
    <row r="1589" spans="1:15" x14ac:dyDescent="0.2">
      <c r="A1589" s="21" t="str">
        <f t="shared" si="168"/>
        <v>y</v>
      </c>
      <c r="B1589" s="24" t="s">
        <v>1833</v>
      </c>
      <c r="C1589" t="s">
        <v>220</v>
      </c>
      <c r="D1589" t="s">
        <v>13</v>
      </c>
      <c r="E1589" t="s">
        <v>34</v>
      </c>
      <c r="F1589" t="s">
        <v>29</v>
      </c>
      <c r="G1589" t="s">
        <v>537</v>
      </c>
      <c r="H1589" t="s">
        <v>2061</v>
      </c>
      <c r="I1589" s="22" t="str">
        <f t="shared" si="169"/>
        <v>2019-08-28</v>
      </c>
      <c r="J1589" s="23" t="str">
        <f t="shared" si="170"/>
        <v>28</v>
      </c>
      <c r="K1589" t="str">
        <f t="shared" si="171"/>
        <v>no</v>
      </c>
      <c r="L1589">
        <v>28</v>
      </c>
      <c r="M1589" t="str">
        <f t="shared" si="172"/>
        <v>2019-08-28</v>
      </c>
      <c r="N1589" s="20" t="str">
        <f t="shared" si="173"/>
        <v>2019-08-28</v>
      </c>
      <c r="O1589" t="str">
        <f t="shared" si="174"/>
        <v>2019-08-28</v>
      </c>
    </row>
    <row r="1590" spans="1:15" x14ac:dyDescent="0.2">
      <c r="A1590" s="21" t="str">
        <f t="shared" si="168"/>
        <v>y</v>
      </c>
      <c r="B1590" s="24" t="s">
        <v>1834</v>
      </c>
      <c r="C1590" t="s">
        <v>32</v>
      </c>
      <c r="D1590" t="s">
        <v>13</v>
      </c>
      <c r="E1590" t="s">
        <v>28</v>
      </c>
      <c r="F1590" t="s">
        <v>2</v>
      </c>
      <c r="H1590" t="s">
        <v>2019</v>
      </c>
      <c r="I1590" s="22" t="str">
        <f t="shared" si="169"/>
        <v>2019-08-27</v>
      </c>
      <c r="J1590" s="23" t="str">
        <f t="shared" si="170"/>
        <v>27</v>
      </c>
      <c r="K1590" t="str">
        <f t="shared" si="171"/>
        <v>no</v>
      </c>
      <c r="L1590">
        <v>27</v>
      </c>
      <c r="M1590" t="str">
        <f t="shared" si="172"/>
        <v>2019-08-27</v>
      </c>
      <c r="N1590" s="20">
        <f t="shared" si="173"/>
        <v>43705</v>
      </c>
      <c r="O1590" t="str">
        <f t="shared" si="174"/>
        <v>2019-08-28</v>
      </c>
    </row>
    <row r="1591" spans="1:15" x14ac:dyDescent="0.2">
      <c r="A1591" s="21" t="str">
        <f t="shared" si="168"/>
        <v>y</v>
      </c>
      <c r="B1591" s="24" t="s">
        <v>1834</v>
      </c>
      <c r="C1591" t="s">
        <v>503</v>
      </c>
      <c r="D1591" t="s">
        <v>13</v>
      </c>
      <c r="E1591" t="s">
        <v>27</v>
      </c>
      <c r="F1591" t="s">
        <v>2</v>
      </c>
      <c r="H1591" t="s">
        <v>2041</v>
      </c>
      <c r="I1591" s="22" t="str">
        <f t="shared" si="169"/>
        <v>2019-08-27</v>
      </c>
      <c r="J1591" s="23" t="str">
        <f t="shared" si="170"/>
        <v>27</v>
      </c>
      <c r="K1591" t="str">
        <f t="shared" si="171"/>
        <v>no</v>
      </c>
      <c r="L1591">
        <v>27</v>
      </c>
      <c r="M1591" t="str">
        <f t="shared" si="172"/>
        <v>2019-08-27</v>
      </c>
      <c r="N1591" s="20">
        <f t="shared" si="173"/>
        <v>43705</v>
      </c>
      <c r="O1591" t="str">
        <f t="shared" si="174"/>
        <v>2019-08-28</v>
      </c>
    </row>
    <row r="1592" spans="1:15" x14ac:dyDescent="0.2">
      <c r="A1592" s="21" t="str">
        <f t="shared" si="168"/>
        <v>y</v>
      </c>
      <c r="B1592" s="24" t="s">
        <v>1834</v>
      </c>
      <c r="C1592" t="s">
        <v>429</v>
      </c>
      <c r="D1592" t="s">
        <v>13</v>
      </c>
      <c r="E1592" t="s">
        <v>27</v>
      </c>
      <c r="F1592" t="s">
        <v>29</v>
      </c>
      <c r="G1592" t="s">
        <v>532</v>
      </c>
      <c r="H1592" t="s">
        <v>2070</v>
      </c>
      <c r="I1592" s="22" t="str">
        <f t="shared" si="169"/>
        <v>2019-08-27</v>
      </c>
      <c r="J1592" s="23" t="str">
        <f t="shared" si="170"/>
        <v>27</v>
      </c>
      <c r="K1592" t="str">
        <f t="shared" si="171"/>
        <v>no</v>
      </c>
      <c r="L1592">
        <v>27</v>
      </c>
      <c r="M1592" t="str">
        <f t="shared" si="172"/>
        <v>2019-08-27</v>
      </c>
      <c r="N1592" s="20" t="str">
        <f t="shared" si="173"/>
        <v>2019-08-27</v>
      </c>
      <c r="O1592" t="str">
        <f t="shared" si="174"/>
        <v>2019-08-27</v>
      </c>
    </row>
    <row r="1593" spans="1:15" x14ac:dyDescent="0.2">
      <c r="A1593" s="21" t="str">
        <f t="shared" si="168"/>
        <v>y</v>
      </c>
      <c r="B1593" s="24" t="s">
        <v>1834</v>
      </c>
      <c r="C1593" t="s">
        <v>495</v>
      </c>
      <c r="D1593" t="s">
        <v>13</v>
      </c>
      <c r="E1593" t="s">
        <v>27</v>
      </c>
      <c r="F1593" t="s">
        <v>29</v>
      </c>
      <c r="G1593" t="s">
        <v>531</v>
      </c>
      <c r="H1593" t="s">
        <v>2061</v>
      </c>
      <c r="I1593" s="22" t="str">
        <f t="shared" si="169"/>
        <v>2019-08-27</v>
      </c>
      <c r="J1593" s="23" t="str">
        <f t="shared" si="170"/>
        <v>27</v>
      </c>
      <c r="K1593" t="str">
        <f t="shared" si="171"/>
        <v>no</v>
      </c>
      <c r="L1593">
        <v>27</v>
      </c>
      <c r="M1593" t="str">
        <f t="shared" si="172"/>
        <v>2019-08-27</v>
      </c>
      <c r="N1593" s="20" t="str">
        <f t="shared" si="173"/>
        <v>2019-08-27</v>
      </c>
      <c r="O1593" t="str">
        <f t="shared" si="174"/>
        <v>2019-08-27</v>
      </c>
    </row>
    <row r="1594" spans="1:15" x14ac:dyDescent="0.2">
      <c r="A1594" s="21" t="str">
        <f t="shared" si="168"/>
        <v>y</v>
      </c>
      <c r="B1594" s="24" t="s">
        <v>1834</v>
      </c>
      <c r="C1594" t="s">
        <v>316</v>
      </c>
      <c r="D1594" t="s">
        <v>13</v>
      </c>
      <c r="E1594" t="s">
        <v>27</v>
      </c>
      <c r="F1594" t="s">
        <v>29</v>
      </c>
      <c r="G1594" t="s">
        <v>533</v>
      </c>
      <c r="H1594" t="s">
        <v>2026</v>
      </c>
      <c r="I1594" s="22" t="str">
        <f t="shared" si="169"/>
        <v>2019-08-27</v>
      </c>
      <c r="J1594" s="23" t="str">
        <f t="shared" si="170"/>
        <v>27</v>
      </c>
      <c r="K1594" t="str">
        <f t="shared" si="171"/>
        <v>no</v>
      </c>
      <c r="L1594">
        <v>27</v>
      </c>
      <c r="M1594" t="str">
        <f t="shared" si="172"/>
        <v>2019-08-27</v>
      </c>
      <c r="N1594" s="20" t="str">
        <f t="shared" si="173"/>
        <v>2019-08-27</v>
      </c>
      <c r="O1594" t="str">
        <f t="shared" si="174"/>
        <v>2019-08-27</v>
      </c>
    </row>
    <row r="1595" spans="1:15" x14ac:dyDescent="0.2">
      <c r="A1595" s="21" t="str">
        <f t="shared" si="168"/>
        <v>y</v>
      </c>
      <c r="B1595" s="24" t="s">
        <v>1834</v>
      </c>
      <c r="C1595" t="s">
        <v>145</v>
      </c>
      <c r="D1595" t="s">
        <v>13</v>
      </c>
      <c r="E1595" t="s">
        <v>64</v>
      </c>
      <c r="F1595" t="s">
        <v>29</v>
      </c>
      <c r="G1595" t="s">
        <v>535</v>
      </c>
      <c r="H1595" t="s">
        <v>2071</v>
      </c>
      <c r="I1595" s="22" t="str">
        <f t="shared" si="169"/>
        <v>2019-08-27</v>
      </c>
      <c r="J1595" s="23" t="str">
        <f t="shared" si="170"/>
        <v>27</v>
      </c>
      <c r="K1595" t="str">
        <f t="shared" si="171"/>
        <v>no</v>
      </c>
      <c r="L1595">
        <v>27</v>
      </c>
      <c r="M1595" t="str">
        <f t="shared" si="172"/>
        <v>2019-08-27</v>
      </c>
      <c r="N1595" s="20" t="str">
        <f t="shared" si="173"/>
        <v>2019-08-27</v>
      </c>
      <c r="O1595" t="str">
        <f t="shared" si="174"/>
        <v>2019-08-27</v>
      </c>
    </row>
    <row r="1596" spans="1:15" x14ac:dyDescent="0.2">
      <c r="A1596" s="21" t="str">
        <f t="shared" si="168"/>
        <v>y</v>
      </c>
      <c r="B1596" s="24" t="s">
        <v>1834</v>
      </c>
      <c r="C1596" t="s">
        <v>365</v>
      </c>
      <c r="D1596" t="s">
        <v>13</v>
      </c>
      <c r="E1596" t="s">
        <v>43</v>
      </c>
      <c r="F1596" t="s">
        <v>2</v>
      </c>
      <c r="H1596" t="s">
        <v>2067</v>
      </c>
      <c r="I1596" s="22" t="str">
        <f t="shared" si="169"/>
        <v>2019-08-27</v>
      </c>
      <c r="J1596" s="23" t="str">
        <f t="shared" si="170"/>
        <v>27</v>
      </c>
      <c r="K1596" t="str">
        <f t="shared" si="171"/>
        <v>no</v>
      </c>
      <c r="L1596">
        <v>27</v>
      </c>
      <c r="M1596" t="str">
        <f t="shared" si="172"/>
        <v>2019-08-27</v>
      </c>
      <c r="N1596" s="20">
        <f t="shared" si="173"/>
        <v>43705</v>
      </c>
      <c r="O1596" t="str">
        <f t="shared" si="174"/>
        <v>2019-08-28</v>
      </c>
    </row>
    <row r="1597" spans="1:15" x14ac:dyDescent="0.2">
      <c r="A1597" s="21" t="str">
        <f t="shared" si="168"/>
        <v>y</v>
      </c>
      <c r="B1597" s="24" t="s">
        <v>1834</v>
      </c>
      <c r="C1597" t="s">
        <v>220</v>
      </c>
      <c r="D1597" t="s">
        <v>13</v>
      </c>
      <c r="E1597" t="s">
        <v>34</v>
      </c>
      <c r="F1597" t="s">
        <v>2</v>
      </c>
      <c r="G1597" t="s">
        <v>534</v>
      </c>
      <c r="H1597" t="s">
        <v>1960</v>
      </c>
      <c r="I1597" s="22" t="str">
        <f t="shared" si="169"/>
        <v>2019-08-27</v>
      </c>
      <c r="J1597" s="23" t="str">
        <f t="shared" si="170"/>
        <v>27</v>
      </c>
      <c r="K1597" t="str">
        <f t="shared" si="171"/>
        <v>no</v>
      </c>
      <c r="L1597">
        <v>27</v>
      </c>
      <c r="M1597" t="str">
        <f t="shared" si="172"/>
        <v>2019-08-27</v>
      </c>
      <c r="N1597" s="20">
        <f t="shared" si="173"/>
        <v>43705</v>
      </c>
      <c r="O1597" t="str">
        <f t="shared" si="174"/>
        <v>2019-08-28</v>
      </c>
    </row>
    <row r="1598" spans="1:15" x14ac:dyDescent="0.2">
      <c r="A1598" s="21" t="str">
        <f t="shared" si="168"/>
        <v>y</v>
      </c>
      <c r="B1598" s="24" t="s">
        <v>1835</v>
      </c>
      <c r="C1598" t="s">
        <v>220</v>
      </c>
      <c r="D1598" t="s">
        <v>13</v>
      </c>
      <c r="E1598" t="s">
        <v>34</v>
      </c>
      <c r="F1598" t="s">
        <v>2</v>
      </c>
      <c r="G1598" t="s">
        <v>530</v>
      </c>
      <c r="H1598" t="s">
        <v>2057</v>
      </c>
      <c r="I1598" s="22" t="str">
        <f t="shared" si="169"/>
        <v>2019-08-26</v>
      </c>
      <c r="J1598" s="23" t="str">
        <f t="shared" si="170"/>
        <v>26</v>
      </c>
      <c r="K1598" t="str">
        <f t="shared" si="171"/>
        <v>no</v>
      </c>
      <c r="L1598">
        <v>26</v>
      </c>
      <c r="M1598" t="str">
        <f t="shared" si="172"/>
        <v>2019-08-26</v>
      </c>
      <c r="N1598" s="20">
        <f t="shared" si="173"/>
        <v>43704</v>
      </c>
      <c r="O1598" t="str">
        <f t="shared" si="174"/>
        <v>2019-08-27</v>
      </c>
    </row>
    <row r="1599" spans="1:15" x14ac:dyDescent="0.2">
      <c r="A1599" s="21" t="str">
        <f t="shared" si="168"/>
        <v>y</v>
      </c>
      <c r="B1599" s="24" t="s">
        <v>1835</v>
      </c>
      <c r="C1599" t="s">
        <v>32</v>
      </c>
      <c r="D1599" t="s">
        <v>13</v>
      </c>
      <c r="E1599" t="s">
        <v>28</v>
      </c>
      <c r="F1599" t="s">
        <v>2</v>
      </c>
      <c r="G1599" t="s">
        <v>523</v>
      </c>
      <c r="H1599" t="s">
        <v>2035</v>
      </c>
      <c r="I1599" s="22" t="str">
        <f t="shared" si="169"/>
        <v>2019-08-26</v>
      </c>
      <c r="J1599" s="23" t="str">
        <f t="shared" si="170"/>
        <v>26</v>
      </c>
      <c r="K1599" t="str">
        <f t="shared" si="171"/>
        <v>no</v>
      </c>
      <c r="L1599">
        <v>26</v>
      </c>
      <c r="M1599" t="str">
        <f t="shared" si="172"/>
        <v>2019-08-26</v>
      </c>
      <c r="N1599" s="20">
        <f t="shared" si="173"/>
        <v>43704</v>
      </c>
      <c r="O1599" t="str">
        <f t="shared" si="174"/>
        <v>2019-08-27</v>
      </c>
    </row>
    <row r="1600" spans="1:15" x14ac:dyDescent="0.2">
      <c r="A1600" s="21" t="str">
        <f t="shared" si="168"/>
        <v>y</v>
      </c>
      <c r="B1600" s="24" t="s">
        <v>1835</v>
      </c>
      <c r="C1600" t="s">
        <v>503</v>
      </c>
      <c r="D1600" t="s">
        <v>13</v>
      </c>
      <c r="E1600" t="s">
        <v>27</v>
      </c>
      <c r="F1600" t="s">
        <v>2</v>
      </c>
      <c r="G1600" t="s">
        <v>521</v>
      </c>
      <c r="H1600" t="s">
        <v>2019</v>
      </c>
      <c r="I1600" s="22" t="str">
        <f t="shared" si="169"/>
        <v>2019-08-26</v>
      </c>
      <c r="J1600" s="23" t="str">
        <f t="shared" si="170"/>
        <v>26</v>
      </c>
      <c r="K1600" t="str">
        <f t="shared" si="171"/>
        <v>no</v>
      </c>
      <c r="L1600">
        <v>26</v>
      </c>
      <c r="M1600" t="str">
        <f t="shared" si="172"/>
        <v>2019-08-26</v>
      </c>
      <c r="N1600" s="20">
        <f t="shared" si="173"/>
        <v>43704</v>
      </c>
      <c r="O1600" t="str">
        <f t="shared" si="174"/>
        <v>2019-08-27</v>
      </c>
    </row>
    <row r="1601" spans="1:15" x14ac:dyDescent="0.2">
      <c r="A1601" s="21" t="str">
        <f t="shared" si="168"/>
        <v>y</v>
      </c>
      <c r="B1601" s="24" t="s">
        <v>1835</v>
      </c>
      <c r="C1601" t="s">
        <v>429</v>
      </c>
      <c r="D1601" t="s">
        <v>13</v>
      </c>
      <c r="E1601" t="s">
        <v>27</v>
      </c>
      <c r="F1601" t="s">
        <v>2</v>
      </c>
      <c r="G1601" t="s">
        <v>522</v>
      </c>
      <c r="H1601" t="s">
        <v>2041</v>
      </c>
      <c r="I1601" s="22" t="str">
        <f t="shared" si="169"/>
        <v>2019-08-26</v>
      </c>
      <c r="J1601" s="23" t="str">
        <f t="shared" si="170"/>
        <v>26</v>
      </c>
      <c r="K1601" t="str">
        <f t="shared" si="171"/>
        <v>no</v>
      </c>
      <c r="L1601">
        <v>26</v>
      </c>
      <c r="M1601" t="str">
        <f t="shared" si="172"/>
        <v>2019-08-26</v>
      </c>
      <c r="N1601" s="20">
        <f t="shared" si="173"/>
        <v>43704</v>
      </c>
      <c r="O1601" t="str">
        <f t="shared" si="174"/>
        <v>2019-08-27</v>
      </c>
    </row>
    <row r="1602" spans="1:15" x14ac:dyDescent="0.2">
      <c r="A1602" s="21" t="str">
        <f t="shared" si="168"/>
        <v>y</v>
      </c>
      <c r="B1602" s="24" t="s">
        <v>1835</v>
      </c>
      <c r="C1602" t="s">
        <v>65</v>
      </c>
      <c r="D1602" t="s">
        <v>14</v>
      </c>
      <c r="E1602" t="s">
        <v>42</v>
      </c>
      <c r="F1602" t="s">
        <v>29</v>
      </c>
      <c r="G1602" t="s">
        <v>524</v>
      </c>
      <c r="H1602" t="s">
        <v>2070</v>
      </c>
      <c r="I1602" s="22" t="str">
        <f t="shared" si="169"/>
        <v>2019-08-26</v>
      </c>
      <c r="J1602" s="23" t="str">
        <f t="shared" si="170"/>
        <v>26</v>
      </c>
      <c r="K1602" t="str">
        <f t="shared" si="171"/>
        <v>no</v>
      </c>
      <c r="L1602">
        <v>26</v>
      </c>
      <c r="M1602" t="str">
        <f t="shared" si="172"/>
        <v>2019-08-26</v>
      </c>
      <c r="N1602" s="20" t="str">
        <f t="shared" si="173"/>
        <v>2019-08-26</v>
      </c>
      <c r="O1602" t="str">
        <f t="shared" si="174"/>
        <v>2019-08-26</v>
      </c>
    </row>
    <row r="1603" spans="1:15" x14ac:dyDescent="0.2">
      <c r="A1603" s="21" t="str">
        <f t="shared" si="168"/>
        <v>y</v>
      </c>
      <c r="B1603" s="24" t="s">
        <v>1835</v>
      </c>
      <c r="C1603" t="s">
        <v>499</v>
      </c>
      <c r="D1603" t="s">
        <v>13</v>
      </c>
      <c r="E1603" t="s">
        <v>64</v>
      </c>
      <c r="F1603" t="s">
        <v>29</v>
      </c>
      <c r="G1603" t="s">
        <v>527</v>
      </c>
      <c r="H1603" t="s">
        <v>2072</v>
      </c>
      <c r="I1603" s="22" t="str">
        <f t="shared" si="169"/>
        <v>2019-08-26</v>
      </c>
      <c r="J1603" s="23" t="str">
        <f t="shared" si="170"/>
        <v>26</v>
      </c>
      <c r="K1603" t="str">
        <f t="shared" si="171"/>
        <v>no</v>
      </c>
      <c r="L1603">
        <v>26</v>
      </c>
      <c r="M1603" t="str">
        <f t="shared" si="172"/>
        <v>2019-08-26</v>
      </c>
      <c r="N1603" s="20" t="str">
        <f t="shared" si="173"/>
        <v>2019-08-26</v>
      </c>
      <c r="O1603" t="str">
        <f t="shared" si="174"/>
        <v>2019-08-26</v>
      </c>
    </row>
    <row r="1604" spans="1:15" x14ac:dyDescent="0.2">
      <c r="A1604" s="21" t="str">
        <f t="shared" ref="A1604:A1667" si="175">IF(LEFT(B1604,2)&gt;12,"y","-")</f>
        <v>y</v>
      </c>
      <c r="B1604" s="24" t="s">
        <v>1835</v>
      </c>
      <c r="C1604" t="s">
        <v>495</v>
      </c>
      <c r="D1604" t="s">
        <v>13</v>
      </c>
      <c r="E1604" t="s">
        <v>27</v>
      </c>
      <c r="F1604" t="s">
        <v>2</v>
      </c>
      <c r="G1604" t="s">
        <v>525</v>
      </c>
      <c r="H1604" t="s">
        <v>2061</v>
      </c>
      <c r="I1604" s="22" t="str">
        <f t="shared" ref="I1604:I1667" si="176">IF(K1604="yes",TEXT(B1604,"YYYY-DD-MM"),TEXT(B1604,"YYYY-MM-DD"))</f>
        <v>2019-08-26</v>
      </c>
      <c r="J1604" s="23" t="str">
        <f t="shared" ref="J1604:J1667" si="177">LEFT(B1604,2)</f>
        <v>26</v>
      </c>
      <c r="K1604" t="str">
        <f t="shared" ref="K1604:K1667" si="178">IF(L1604&gt;31,"yes","no")</f>
        <v>no</v>
      </c>
      <c r="L1604">
        <v>26</v>
      </c>
      <c r="M1604" t="str">
        <f t="shared" ref="M1604:M1667" si="179">I1604</f>
        <v>2019-08-26</v>
      </c>
      <c r="N1604" s="20">
        <f t="shared" ref="N1604:N1667" si="180">IF(F1604="DONE",M1604,M1604+1)</f>
        <v>43704</v>
      </c>
      <c r="O1604" t="str">
        <f t="shared" ref="O1604:O1667" si="181">TEXT(N1604,"YYYY-MM-DD")</f>
        <v>2019-08-27</v>
      </c>
    </row>
    <row r="1605" spans="1:15" x14ac:dyDescent="0.2">
      <c r="A1605" s="21" t="str">
        <f t="shared" si="175"/>
        <v>y</v>
      </c>
      <c r="B1605" s="24" t="s">
        <v>1835</v>
      </c>
      <c r="C1605" t="s">
        <v>316</v>
      </c>
      <c r="D1605" t="s">
        <v>13</v>
      </c>
      <c r="E1605" t="s">
        <v>27</v>
      </c>
      <c r="F1605" t="s">
        <v>2</v>
      </c>
      <c r="G1605" t="s">
        <v>526</v>
      </c>
      <c r="H1605" t="s">
        <v>1988</v>
      </c>
      <c r="I1605" s="22" t="str">
        <f t="shared" si="176"/>
        <v>2019-08-26</v>
      </c>
      <c r="J1605" s="23" t="str">
        <f t="shared" si="177"/>
        <v>26</v>
      </c>
      <c r="K1605" t="str">
        <f t="shared" si="178"/>
        <v>no</v>
      </c>
      <c r="L1605">
        <v>26</v>
      </c>
      <c r="M1605" t="str">
        <f t="shared" si="179"/>
        <v>2019-08-26</v>
      </c>
      <c r="N1605" s="20">
        <f t="shared" si="180"/>
        <v>43704</v>
      </c>
      <c r="O1605" t="str">
        <f t="shared" si="181"/>
        <v>2019-08-27</v>
      </c>
    </row>
    <row r="1606" spans="1:15" x14ac:dyDescent="0.2">
      <c r="A1606" s="21" t="str">
        <f t="shared" si="175"/>
        <v>y</v>
      </c>
      <c r="B1606" s="24" t="s">
        <v>1835</v>
      </c>
      <c r="C1606" t="s">
        <v>145</v>
      </c>
      <c r="D1606" t="s">
        <v>13</v>
      </c>
      <c r="E1606" t="s">
        <v>64</v>
      </c>
      <c r="F1606" t="s">
        <v>2</v>
      </c>
      <c r="G1606" t="s">
        <v>528</v>
      </c>
      <c r="H1606" t="s">
        <v>2029</v>
      </c>
      <c r="I1606" s="22" t="str">
        <f t="shared" si="176"/>
        <v>2019-08-26</v>
      </c>
      <c r="J1606" s="23" t="str">
        <f t="shared" si="177"/>
        <v>26</v>
      </c>
      <c r="K1606" t="str">
        <f t="shared" si="178"/>
        <v>no</v>
      </c>
      <c r="L1606">
        <v>26</v>
      </c>
      <c r="M1606" t="str">
        <f t="shared" si="179"/>
        <v>2019-08-26</v>
      </c>
      <c r="N1606" s="20">
        <f t="shared" si="180"/>
        <v>43704</v>
      </c>
      <c r="O1606" t="str">
        <f t="shared" si="181"/>
        <v>2019-08-27</v>
      </c>
    </row>
    <row r="1607" spans="1:15" x14ac:dyDescent="0.2">
      <c r="A1607" s="21" t="str">
        <f t="shared" si="175"/>
        <v>y</v>
      </c>
      <c r="B1607" s="24" t="s">
        <v>1835</v>
      </c>
      <c r="C1607" t="s">
        <v>365</v>
      </c>
      <c r="D1607" t="s">
        <v>13</v>
      </c>
      <c r="E1607" t="s">
        <v>43</v>
      </c>
      <c r="F1607" t="s">
        <v>2</v>
      </c>
      <c r="G1607" t="s">
        <v>529</v>
      </c>
      <c r="H1607" t="s">
        <v>2019</v>
      </c>
      <c r="I1607" s="22" t="str">
        <f t="shared" si="176"/>
        <v>2019-08-26</v>
      </c>
      <c r="J1607" s="23" t="str">
        <f t="shared" si="177"/>
        <v>26</v>
      </c>
      <c r="K1607" t="str">
        <f t="shared" si="178"/>
        <v>no</v>
      </c>
      <c r="L1607">
        <v>26</v>
      </c>
      <c r="M1607" t="str">
        <f t="shared" si="179"/>
        <v>2019-08-26</v>
      </c>
      <c r="N1607" s="20">
        <f t="shared" si="180"/>
        <v>43704</v>
      </c>
      <c r="O1607" t="str">
        <f t="shared" si="181"/>
        <v>2019-08-27</v>
      </c>
    </row>
    <row r="1608" spans="1:15" x14ac:dyDescent="0.2">
      <c r="A1608" s="21" t="str">
        <f t="shared" si="175"/>
        <v>y</v>
      </c>
      <c r="B1608" s="24" t="s">
        <v>1836</v>
      </c>
      <c r="C1608" t="s">
        <v>220</v>
      </c>
      <c r="D1608" t="s">
        <v>13</v>
      </c>
      <c r="E1608" t="s">
        <v>34</v>
      </c>
      <c r="F1608" t="s">
        <v>2</v>
      </c>
      <c r="H1608" t="s">
        <v>2073</v>
      </c>
      <c r="I1608" s="22" t="str">
        <f t="shared" si="176"/>
        <v>2019-08-25</v>
      </c>
      <c r="J1608" s="23" t="str">
        <f t="shared" si="177"/>
        <v>25</v>
      </c>
      <c r="K1608" t="str">
        <f t="shared" si="178"/>
        <v>no</v>
      </c>
      <c r="L1608">
        <v>25</v>
      </c>
      <c r="M1608" t="str">
        <f t="shared" si="179"/>
        <v>2019-08-25</v>
      </c>
      <c r="N1608" s="20">
        <f t="shared" si="180"/>
        <v>43703</v>
      </c>
      <c r="O1608" t="str">
        <f t="shared" si="181"/>
        <v>2019-08-26</v>
      </c>
    </row>
    <row r="1609" spans="1:15" x14ac:dyDescent="0.2">
      <c r="A1609" s="21" t="str">
        <f t="shared" si="175"/>
        <v>y</v>
      </c>
      <c r="B1609" s="24" t="s">
        <v>1836</v>
      </c>
      <c r="C1609" t="s">
        <v>32</v>
      </c>
      <c r="D1609" t="s">
        <v>13</v>
      </c>
      <c r="E1609" t="s">
        <v>28</v>
      </c>
      <c r="F1609" t="s">
        <v>2</v>
      </c>
      <c r="G1609" t="s">
        <v>523</v>
      </c>
      <c r="H1609" t="s">
        <v>2074</v>
      </c>
      <c r="I1609" s="22" t="str">
        <f t="shared" si="176"/>
        <v>2019-08-25</v>
      </c>
      <c r="J1609" s="23" t="str">
        <f t="shared" si="177"/>
        <v>25</v>
      </c>
      <c r="K1609" t="str">
        <f t="shared" si="178"/>
        <v>no</v>
      </c>
      <c r="L1609">
        <v>25</v>
      </c>
      <c r="M1609" t="str">
        <f t="shared" si="179"/>
        <v>2019-08-25</v>
      </c>
      <c r="N1609" s="20">
        <f t="shared" si="180"/>
        <v>43703</v>
      </c>
      <c r="O1609" t="str">
        <f t="shared" si="181"/>
        <v>2019-08-26</v>
      </c>
    </row>
    <row r="1610" spans="1:15" x14ac:dyDescent="0.2">
      <c r="A1610" s="21" t="str">
        <f t="shared" si="175"/>
        <v>y</v>
      </c>
      <c r="B1610" s="24" t="s">
        <v>1836</v>
      </c>
      <c r="C1610" t="s">
        <v>503</v>
      </c>
      <c r="D1610" t="s">
        <v>13</v>
      </c>
      <c r="E1610" t="s">
        <v>27</v>
      </c>
      <c r="F1610" t="s">
        <v>2</v>
      </c>
      <c r="G1610" t="s">
        <v>521</v>
      </c>
      <c r="H1610" t="s">
        <v>2041</v>
      </c>
      <c r="I1610" s="22" t="str">
        <f t="shared" si="176"/>
        <v>2019-08-25</v>
      </c>
      <c r="J1610" s="23" t="str">
        <f t="shared" si="177"/>
        <v>25</v>
      </c>
      <c r="K1610" t="str">
        <f t="shared" si="178"/>
        <v>no</v>
      </c>
      <c r="L1610">
        <v>25</v>
      </c>
      <c r="M1610" t="str">
        <f t="shared" si="179"/>
        <v>2019-08-25</v>
      </c>
      <c r="N1610" s="20">
        <f t="shared" si="180"/>
        <v>43703</v>
      </c>
      <c r="O1610" t="str">
        <f t="shared" si="181"/>
        <v>2019-08-26</v>
      </c>
    </row>
    <row r="1611" spans="1:15" x14ac:dyDescent="0.2">
      <c r="A1611" s="21" t="str">
        <f t="shared" si="175"/>
        <v>y</v>
      </c>
      <c r="B1611" s="24" t="s">
        <v>1836</v>
      </c>
      <c r="C1611" t="s">
        <v>429</v>
      </c>
      <c r="D1611" t="s">
        <v>13</v>
      </c>
      <c r="E1611" t="s">
        <v>28</v>
      </c>
      <c r="F1611" t="s">
        <v>2</v>
      </c>
      <c r="G1611" t="s">
        <v>522</v>
      </c>
      <c r="H1611" t="s">
        <v>2070</v>
      </c>
      <c r="I1611" s="22" t="str">
        <f t="shared" si="176"/>
        <v>2019-08-25</v>
      </c>
      <c r="J1611" s="23" t="str">
        <f t="shared" si="177"/>
        <v>25</v>
      </c>
      <c r="K1611" t="str">
        <f t="shared" si="178"/>
        <v>no</v>
      </c>
      <c r="L1611">
        <v>25</v>
      </c>
      <c r="M1611" t="str">
        <f t="shared" si="179"/>
        <v>2019-08-25</v>
      </c>
      <c r="N1611" s="20">
        <f t="shared" si="180"/>
        <v>43703</v>
      </c>
      <c r="O1611" t="str">
        <f t="shared" si="181"/>
        <v>2019-08-26</v>
      </c>
    </row>
    <row r="1612" spans="1:15" x14ac:dyDescent="0.2">
      <c r="A1612" s="21" t="str">
        <f t="shared" si="175"/>
        <v>y</v>
      </c>
      <c r="B1612" s="24" t="s">
        <v>1836</v>
      </c>
      <c r="C1612" t="s">
        <v>499</v>
      </c>
      <c r="D1612" t="s">
        <v>13</v>
      </c>
      <c r="E1612" t="s">
        <v>64</v>
      </c>
      <c r="F1612" t="s">
        <v>29</v>
      </c>
      <c r="G1612" t="s">
        <v>520</v>
      </c>
      <c r="H1612" t="s">
        <v>2045</v>
      </c>
      <c r="I1612" s="22" t="str">
        <f t="shared" si="176"/>
        <v>2019-08-25</v>
      </c>
      <c r="J1612" s="23" t="str">
        <f t="shared" si="177"/>
        <v>25</v>
      </c>
      <c r="K1612" t="str">
        <f t="shared" si="178"/>
        <v>no</v>
      </c>
      <c r="L1612">
        <v>25</v>
      </c>
      <c r="M1612" t="str">
        <f t="shared" si="179"/>
        <v>2019-08-25</v>
      </c>
      <c r="N1612" s="20" t="str">
        <f t="shared" si="180"/>
        <v>2019-08-25</v>
      </c>
      <c r="O1612" t="str">
        <f t="shared" si="181"/>
        <v>2019-08-25</v>
      </c>
    </row>
    <row r="1613" spans="1:15" x14ac:dyDescent="0.2">
      <c r="A1613" s="21" t="str">
        <f t="shared" si="175"/>
        <v>y</v>
      </c>
      <c r="B1613" s="24" t="s">
        <v>1836</v>
      </c>
      <c r="C1613" t="s">
        <v>151</v>
      </c>
      <c r="D1613" t="s">
        <v>13</v>
      </c>
      <c r="E1613" t="s">
        <v>42</v>
      </c>
      <c r="F1613" t="s">
        <v>29</v>
      </c>
      <c r="G1613" t="s">
        <v>518</v>
      </c>
      <c r="H1613" t="s">
        <v>2070</v>
      </c>
      <c r="I1613" s="22" t="str">
        <f t="shared" si="176"/>
        <v>2019-08-25</v>
      </c>
      <c r="J1613" s="23" t="str">
        <f t="shared" si="177"/>
        <v>25</v>
      </c>
      <c r="K1613" t="str">
        <f t="shared" si="178"/>
        <v>no</v>
      </c>
      <c r="L1613">
        <v>25</v>
      </c>
      <c r="M1613" t="str">
        <f t="shared" si="179"/>
        <v>2019-08-25</v>
      </c>
      <c r="N1613" s="20" t="str">
        <f t="shared" si="180"/>
        <v>2019-08-25</v>
      </c>
      <c r="O1613" t="str">
        <f t="shared" si="181"/>
        <v>2019-08-25</v>
      </c>
    </row>
    <row r="1614" spans="1:15" x14ac:dyDescent="0.2">
      <c r="A1614" s="21" t="str">
        <f t="shared" si="175"/>
        <v>y</v>
      </c>
      <c r="B1614" s="24" t="s">
        <v>1836</v>
      </c>
      <c r="C1614" t="s">
        <v>235</v>
      </c>
      <c r="D1614" t="s">
        <v>13</v>
      </c>
      <c r="E1614" t="s">
        <v>27</v>
      </c>
      <c r="F1614" t="s">
        <v>29</v>
      </c>
      <c r="G1614" t="s">
        <v>519</v>
      </c>
      <c r="H1614" t="s">
        <v>2075</v>
      </c>
      <c r="I1614" s="22" t="str">
        <f t="shared" si="176"/>
        <v>2019-08-25</v>
      </c>
      <c r="J1614" s="23" t="str">
        <f t="shared" si="177"/>
        <v>25</v>
      </c>
      <c r="K1614" t="str">
        <f t="shared" si="178"/>
        <v>no</v>
      </c>
      <c r="L1614">
        <v>25</v>
      </c>
      <c r="M1614" t="str">
        <f t="shared" si="179"/>
        <v>2019-08-25</v>
      </c>
      <c r="N1614" s="20" t="str">
        <f t="shared" si="180"/>
        <v>2019-08-25</v>
      </c>
      <c r="O1614" t="str">
        <f t="shared" si="181"/>
        <v>2019-08-25</v>
      </c>
    </row>
    <row r="1615" spans="1:15" x14ac:dyDescent="0.2">
      <c r="A1615" s="21" t="str">
        <f t="shared" si="175"/>
        <v>y</v>
      </c>
      <c r="B1615" s="24" t="s">
        <v>1837</v>
      </c>
      <c r="C1615" t="s">
        <v>32</v>
      </c>
      <c r="D1615" t="s">
        <v>13</v>
      </c>
      <c r="E1615" t="s">
        <v>28</v>
      </c>
      <c r="F1615" t="s">
        <v>2</v>
      </c>
      <c r="H1615" t="s">
        <v>2072</v>
      </c>
      <c r="I1615" s="22" t="str">
        <f t="shared" si="176"/>
        <v>2019-08-24</v>
      </c>
      <c r="J1615" s="23" t="str">
        <f t="shared" si="177"/>
        <v>24</v>
      </c>
      <c r="K1615" t="str">
        <f t="shared" si="178"/>
        <v>no</v>
      </c>
      <c r="L1615">
        <v>24</v>
      </c>
      <c r="M1615" t="str">
        <f t="shared" si="179"/>
        <v>2019-08-24</v>
      </c>
      <c r="N1615" s="20">
        <f t="shared" si="180"/>
        <v>43702</v>
      </c>
      <c r="O1615" t="str">
        <f t="shared" si="181"/>
        <v>2019-08-25</v>
      </c>
    </row>
    <row r="1616" spans="1:15" x14ac:dyDescent="0.2">
      <c r="A1616" s="21" t="str">
        <f t="shared" si="175"/>
        <v>y</v>
      </c>
      <c r="B1616" s="24" t="s">
        <v>1837</v>
      </c>
      <c r="C1616" t="s">
        <v>477</v>
      </c>
      <c r="D1616" t="s">
        <v>13</v>
      </c>
      <c r="E1616" t="s">
        <v>27</v>
      </c>
      <c r="F1616" t="s">
        <v>2</v>
      </c>
      <c r="H1616" t="s">
        <v>2019</v>
      </c>
      <c r="I1616" s="22" t="str">
        <f t="shared" si="176"/>
        <v>2019-08-24</v>
      </c>
      <c r="J1616" s="23" t="str">
        <f t="shared" si="177"/>
        <v>24</v>
      </c>
      <c r="K1616" t="str">
        <f t="shared" si="178"/>
        <v>no</v>
      </c>
      <c r="L1616">
        <v>24</v>
      </c>
      <c r="M1616" t="str">
        <f t="shared" si="179"/>
        <v>2019-08-24</v>
      </c>
      <c r="N1616" s="20">
        <f t="shared" si="180"/>
        <v>43702</v>
      </c>
      <c r="O1616" t="str">
        <f t="shared" si="181"/>
        <v>2019-08-25</v>
      </c>
    </row>
    <row r="1617" spans="1:15" x14ac:dyDescent="0.2">
      <c r="A1617" s="21" t="str">
        <f t="shared" si="175"/>
        <v>y</v>
      </c>
      <c r="B1617" s="24" t="s">
        <v>1837</v>
      </c>
      <c r="C1617" t="s">
        <v>496</v>
      </c>
      <c r="D1617" t="s">
        <v>13</v>
      </c>
      <c r="E1617" t="s">
        <v>27</v>
      </c>
      <c r="F1617" t="s">
        <v>2</v>
      </c>
      <c r="H1617" t="s">
        <v>2073</v>
      </c>
      <c r="I1617" s="22" t="str">
        <f t="shared" si="176"/>
        <v>2019-08-24</v>
      </c>
      <c r="J1617" s="23" t="str">
        <f t="shared" si="177"/>
        <v>24</v>
      </c>
      <c r="K1617" t="str">
        <f t="shared" si="178"/>
        <v>no</v>
      </c>
      <c r="L1617">
        <v>24</v>
      </c>
      <c r="M1617" t="str">
        <f t="shared" si="179"/>
        <v>2019-08-24</v>
      </c>
      <c r="N1617" s="20">
        <f t="shared" si="180"/>
        <v>43702</v>
      </c>
      <c r="O1617" t="str">
        <f t="shared" si="181"/>
        <v>2019-08-25</v>
      </c>
    </row>
    <row r="1618" spans="1:15" x14ac:dyDescent="0.2">
      <c r="A1618" s="21" t="str">
        <f t="shared" si="175"/>
        <v>y</v>
      </c>
      <c r="B1618" s="24" t="s">
        <v>1837</v>
      </c>
      <c r="C1618" t="s">
        <v>503</v>
      </c>
      <c r="D1618" t="s">
        <v>13</v>
      </c>
      <c r="E1618" t="s">
        <v>27</v>
      </c>
      <c r="F1618" t="s">
        <v>2</v>
      </c>
      <c r="H1618" t="s">
        <v>2074</v>
      </c>
      <c r="I1618" s="22" t="str">
        <f t="shared" si="176"/>
        <v>2019-08-24</v>
      </c>
      <c r="J1618" s="23" t="str">
        <f t="shared" si="177"/>
        <v>24</v>
      </c>
      <c r="K1618" t="str">
        <f t="shared" si="178"/>
        <v>no</v>
      </c>
      <c r="L1618">
        <v>24</v>
      </c>
      <c r="M1618" t="str">
        <f t="shared" si="179"/>
        <v>2019-08-24</v>
      </c>
      <c r="N1618" s="20">
        <f t="shared" si="180"/>
        <v>43702</v>
      </c>
      <c r="O1618" t="str">
        <f t="shared" si="181"/>
        <v>2019-08-25</v>
      </c>
    </row>
    <row r="1619" spans="1:15" x14ac:dyDescent="0.2">
      <c r="A1619" s="21" t="str">
        <f t="shared" si="175"/>
        <v>y</v>
      </c>
      <c r="B1619" s="24" t="s">
        <v>1837</v>
      </c>
      <c r="C1619" t="s">
        <v>429</v>
      </c>
      <c r="D1619" t="s">
        <v>13</v>
      </c>
      <c r="E1619" t="s">
        <v>61</v>
      </c>
      <c r="F1619" t="s">
        <v>29</v>
      </c>
      <c r="G1619" t="s">
        <v>514</v>
      </c>
      <c r="H1619" t="s">
        <v>1988</v>
      </c>
      <c r="I1619" s="22" t="str">
        <f t="shared" si="176"/>
        <v>2019-08-24</v>
      </c>
      <c r="J1619" s="23" t="str">
        <f t="shared" si="177"/>
        <v>24</v>
      </c>
      <c r="K1619" t="str">
        <f t="shared" si="178"/>
        <v>no</v>
      </c>
      <c r="L1619">
        <v>24</v>
      </c>
      <c r="M1619" t="str">
        <f t="shared" si="179"/>
        <v>2019-08-24</v>
      </c>
      <c r="N1619" s="20" t="str">
        <f t="shared" si="180"/>
        <v>2019-08-24</v>
      </c>
      <c r="O1619" t="str">
        <f t="shared" si="181"/>
        <v>2019-08-24</v>
      </c>
    </row>
    <row r="1620" spans="1:15" x14ac:dyDescent="0.2">
      <c r="A1620" s="21" t="str">
        <f t="shared" si="175"/>
        <v>y</v>
      </c>
      <c r="B1620" s="24" t="s">
        <v>1837</v>
      </c>
      <c r="C1620" t="s">
        <v>489</v>
      </c>
      <c r="D1620" t="s">
        <v>19</v>
      </c>
      <c r="E1620" t="s">
        <v>27</v>
      </c>
      <c r="F1620" t="s">
        <v>29</v>
      </c>
      <c r="G1620" t="s">
        <v>515</v>
      </c>
      <c r="H1620" t="s">
        <v>2041</v>
      </c>
      <c r="I1620" s="22" t="str">
        <f t="shared" si="176"/>
        <v>2019-08-24</v>
      </c>
      <c r="J1620" s="23" t="str">
        <f t="shared" si="177"/>
        <v>24</v>
      </c>
      <c r="K1620" t="str">
        <f t="shared" si="178"/>
        <v>no</v>
      </c>
      <c r="L1620">
        <v>24</v>
      </c>
      <c r="M1620" t="str">
        <f t="shared" si="179"/>
        <v>2019-08-24</v>
      </c>
      <c r="N1620" s="20" t="str">
        <f t="shared" si="180"/>
        <v>2019-08-24</v>
      </c>
      <c r="O1620" t="str">
        <f t="shared" si="181"/>
        <v>2019-08-24</v>
      </c>
    </row>
    <row r="1621" spans="1:15" x14ac:dyDescent="0.2">
      <c r="A1621" s="21" t="str">
        <f t="shared" si="175"/>
        <v>y</v>
      </c>
      <c r="B1621" s="24" t="s">
        <v>1837</v>
      </c>
      <c r="C1621" t="s">
        <v>429</v>
      </c>
      <c r="D1621" t="s">
        <v>13</v>
      </c>
      <c r="E1621" t="s">
        <v>28</v>
      </c>
      <c r="F1621" t="s">
        <v>2</v>
      </c>
      <c r="H1621" t="s">
        <v>2070</v>
      </c>
      <c r="I1621" s="22" t="str">
        <f t="shared" si="176"/>
        <v>2019-08-24</v>
      </c>
      <c r="J1621" s="23" t="str">
        <f t="shared" si="177"/>
        <v>24</v>
      </c>
      <c r="K1621" t="str">
        <f t="shared" si="178"/>
        <v>no</v>
      </c>
      <c r="L1621">
        <v>24</v>
      </c>
      <c r="M1621" t="str">
        <f t="shared" si="179"/>
        <v>2019-08-24</v>
      </c>
      <c r="N1621" s="20">
        <f t="shared" si="180"/>
        <v>43702</v>
      </c>
      <c r="O1621" t="str">
        <f t="shared" si="181"/>
        <v>2019-08-25</v>
      </c>
    </row>
    <row r="1622" spans="1:15" x14ac:dyDescent="0.2">
      <c r="A1622" s="21" t="str">
        <f t="shared" si="175"/>
        <v>y</v>
      </c>
      <c r="B1622" s="24" t="s">
        <v>1837</v>
      </c>
      <c r="C1622" t="s">
        <v>516</v>
      </c>
      <c r="D1622" t="s">
        <v>13</v>
      </c>
      <c r="E1622" t="s">
        <v>64</v>
      </c>
      <c r="F1622" t="s">
        <v>29</v>
      </c>
      <c r="G1622" t="s">
        <v>517</v>
      </c>
      <c r="H1622" t="s">
        <v>2067</v>
      </c>
      <c r="I1622" s="22" t="str">
        <f t="shared" si="176"/>
        <v>2019-08-24</v>
      </c>
      <c r="J1622" s="23" t="str">
        <f t="shared" si="177"/>
        <v>24</v>
      </c>
      <c r="K1622" t="str">
        <f t="shared" si="178"/>
        <v>no</v>
      </c>
      <c r="L1622">
        <v>24</v>
      </c>
      <c r="M1622" t="str">
        <f t="shared" si="179"/>
        <v>2019-08-24</v>
      </c>
      <c r="N1622" s="20" t="str">
        <f t="shared" si="180"/>
        <v>2019-08-24</v>
      </c>
      <c r="O1622" t="str">
        <f t="shared" si="181"/>
        <v>2019-08-24</v>
      </c>
    </row>
    <row r="1623" spans="1:15" x14ac:dyDescent="0.2">
      <c r="A1623" s="21" t="str">
        <f t="shared" si="175"/>
        <v>y</v>
      </c>
      <c r="B1623" s="24" t="s">
        <v>1837</v>
      </c>
      <c r="C1623" t="s">
        <v>499</v>
      </c>
      <c r="D1623" t="s">
        <v>13</v>
      </c>
      <c r="E1623" t="s">
        <v>64</v>
      </c>
      <c r="F1623" t="s">
        <v>2</v>
      </c>
      <c r="H1623" t="s">
        <v>1985</v>
      </c>
      <c r="I1623" s="22" t="str">
        <f t="shared" si="176"/>
        <v>2019-08-24</v>
      </c>
      <c r="J1623" s="23" t="str">
        <f t="shared" si="177"/>
        <v>24</v>
      </c>
      <c r="K1623" t="str">
        <f t="shared" si="178"/>
        <v>no</v>
      </c>
      <c r="L1623">
        <v>24</v>
      </c>
      <c r="M1623" t="str">
        <f t="shared" si="179"/>
        <v>2019-08-24</v>
      </c>
      <c r="N1623" s="20">
        <f t="shared" si="180"/>
        <v>43702</v>
      </c>
      <c r="O1623" t="str">
        <f t="shared" si="181"/>
        <v>2019-08-25</v>
      </c>
    </row>
    <row r="1624" spans="1:15" x14ac:dyDescent="0.2">
      <c r="A1624" s="21" t="str">
        <f t="shared" si="175"/>
        <v>y</v>
      </c>
      <c r="B1624" s="24" t="s">
        <v>1838</v>
      </c>
      <c r="C1624" t="s">
        <v>32</v>
      </c>
      <c r="D1624" t="s">
        <v>13</v>
      </c>
      <c r="E1624" t="s">
        <v>28</v>
      </c>
      <c r="F1624" t="s">
        <v>2</v>
      </c>
      <c r="H1624" t="s">
        <v>2072</v>
      </c>
      <c r="I1624" s="22" t="str">
        <f t="shared" si="176"/>
        <v>2019-08-22</v>
      </c>
      <c r="J1624" s="23" t="str">
        <f t="shared" si="177"/>
        <v>22</v>
      </c>
      <c r="K1624" t="str">
        <f t="shared" si="178"/>
        <v>no</v>
      </c>
      <c r="L1624">
        <v>22</v>
      </c>
      <c r="M1624" t="str">
        <f t="shared" si="179"/>
        <v>2019-08-22</v>
      </c>
      <c r="N1624" s="20">
        <f t="shared" si="180"/>
        <v>43700</v>
      </c>
      <c r="O1624" t="str">
        <f t="shared" si="181"/>
        <v>2019-08-23</v>
      </c>
    </row>
    <row r="1625" spans="1:15" x14ac:dyDescent="0.2">
      <c r="A1625" s="21" t="str">
        <f t="shared" si="175"/>
        <v>y</v>
      </c>
      <c r="B1625" s="24" t="s">
        <v>1838</v>
      </c>
      <c r="C1625" t="s">
        <v>477</v>
      </c>
      <c r="D1625" t="s">
        <v>13</v>
      </c>
      <c r="E1625" t="s">
        <v>27</v>
      </c>
      <c r="F1625" t="s">
        <v>2</v>
      </c>
      <c r="H1625" t="s">
        <v>2061</v>
      </c>
      <c r="I1625" s="22" t="str">
        <f t="shared" si="176"/>
        <v>2019-08-22</v>
      </c>
      <c r="J1625" s="23" t="str">
        <f t="shared" si="177"/>
        <v>22</v>
      </c>
      <c r="K1625" t="str">
        <f t="shared" si="178"/>
        <v>no</v>
      </c>
      <c r="L1625">
        <v>22</v>
      </c>
      <c r="M1625" t="str">
        <f t="shared" si="179"/>
        <v>2019-08-22</v>
      </c>
      <c r="N1625" s="20">
        <f t="shared" si="180"/>
        <v>43700</v>
      </c>
      <c r="O1625" t="str">
        <f t="shared" si="181"/>
        <v>2019-08-23</v>
      </c>
    </row>
    <row r="1626" spans="1:15" x14ac:dyDescent="0.2">
      <c r="A1626" s="21" t="str">
        <f t="shared" si="175"/>
        <v>y</v>
      </c>
      <c r="B1626" s="24" t="s">
        <v>1838</v>
      </c>
      <c r="C1626" t="s">
        <v>496</v>
      </c>
      <c r="D1626" t="s">
        <v>13</v>
      </c>
      <c r="E1626" t="s">
        <v>27</v>
      </c>
      <c r="F1626" t="s">
        <v>2</v>
      </c>
      <c r="H1626" t="s">
        <v>2019</v>
      </c>
      <c r="I1626" s="22" t="str">
        <f t="shared" si="176"/>
        <v>2019-08-22</v>
      </c>
      <c r="J1626" s="23" t="str">
        <f t="shared" si="177"/>
        <v>22</v>
      </c>
      <c r="K1626" t="str">
        <f t="shared" si="178"/>
        <v>no</v>
      </c>
      <c r="L1626">
        <v>22</v>
      </c>
      <c r="M1626" t="str">
        <f t="shared" si="179"/>
        <v>2019-08-22</v>
      </c>
      <c r="N1626" s="20">
        <f t="shared" si="180"/>
        <v>43700</v>
      </c>
      <c r="O1626" t="str">
        <f t="shared" si="181"/>
        <v>2019-08-23</v>
      </c>
    </row>
    <row r="1627" spans="1:15" x14ac:dyDescent="0.2">
      <c r="A1627" s="21" t="str">
        <f t="shared" si="175"/>
        <v>y</v>
      </c>
      <c r="B1627" s="24" t="s">
        <v>1838</v>
      </c>
      <c r="C1627" t="s">
        <v>365</v>
      </c>
      <c r="D1627" t="s">
        <v>13</v>
      </c>
      <c r="E1627" t="s">
        <v>8</v>
      </c>
      <c r="F1627" t="s">
        <v>29</v>
      </c>
      <c r="G1627" t="s">
        <v>513</v>
      </c>
      <c r="H1627" t="s">
        <v>2073</v>
      </c>
      <c r="I1627" s="22" t="str">
        <f t="shared" si="176"/>
        <v>2019-08-22</v>
      </c>
      <c r="J1627" s="23" t="str">
        <f t="shared" si="177"/>
        <v>22</v>
      </c>
      <c r="K1627" t="str">
        <f t="shared" si="178"/>
        <v>no</v>
      </c>
      <c r="L1627">
        <v>22</v>
      </c>
      <c r="M1627" t="str">
        <f t="shared" si="179"/>
        <v>2019-08-22</v>
      </c>
      <c r="N1627" s="20" t="str">
        <f t="shared" si="180"/>
        <v>2019-08-22</v>
      </c>
      <c r="O1627" t="str">
        <f t="shared" si="181"/>
        <v>2019-08-22</v>
      </c>
    </row>
    <row r="1628" spans="1:15" x14ac:dyDescent="0.2">
      <c r="A1628" s="21" t="str">
        <f t="shared" si="175"/>
        <v>y</v>
      </c>
      <c r="B1628" s="24" t="s">
        <v>1838</v>
      </c>
      <c r="C1628" t="s">
        <v>151</v>
      </c>
      <c r="D1628" t="s">
        <v>13</v>
      </c>
      <c r="E1628" t="s">
        <v>34</v>
      </c>
      <c r="F1628" t="s">
        <v>29</v>
      </c>
      <c r="G1628" t="s">
        <v>512</v>
      </c>
      <c r="H1628" t="s">
        <v>1985</v>
      </c>
      <c r="I1628" s="22" t="str">
        <f t="shared" si="176"/>
        <v>2019-08-22</v>
      </c>
      <c r="J1628" s="23" t="str">
        <f t="shared" si="177"/>
        <v>22</v>
      </c>
      <c r="K1628" t="str">
        <f t="shared" si="178"/>
        <v>no</v>
      </c>
      <c r="L1628">
        <v>22</v>
      </c>
      <c r="M1628" t="str">
        <f t="shared" si="179"/>
        <v>2019-08-22</v>
      </c>
      <c r="N1628" s="20" t="str">
        <f t="shared" si="180"/>
        <v>2019-08-22</v>
      </c>
      <c r="O1628" t="str">
        <f t="shared" si="181"/>
        <v>2019-08-22</v>
      </c>
    </row>
    <row r="1629" spans="1:15" x14ac:dyDescent="0.2">
      <c r="A1629" s="21" t="str">
        <f t="shared" si="175"/>
        <v>y</v>
      </c>
      <c r="B1629" s="24" t="s">
        <v>1838</v>
      </c>
      <c r="C1629" t="s">
        <v>503</v>
      </c>
      <c r="D1629" t="s">
        <v>13</v>
      </c>
      <c r="E1629" t="s">
        <v>27</v>
      </c>
      <c r="F1629" t="s">
        <v>2</v>
      </c>
      <c r="H1629" t="s">
        <v>2074</v>
      </c>
      <c r="I1629" s="22" t="str">
        <f t="shared" si="176"/>
        <v>2019-08-22</v>
      </c>
      <c r="J1629" s="23" t="str">
        <f t="shared" si="177"/>
        <v>22</v>
      </c>
      <c r="K1629" t="str">
        <f t="shared" si="178"/>
        <v>no</v>
      </c>
      <c r="L1629">
        <v>22</v>
      </c>
      <c r="M1629" t="str">
        <f t="shared" si="179"/>
        <v>2019-08-22</v>
      </c>
      <c r="N1629" s="20">
        <f t="shared" si="180"/>
        <v>43700</v>
      </c>
      <c r="O1629" t="str">
        <f t="shared" si="181"/>
        <v>2019-08-23</v>
      </c>
    </row>
    <row r="1630" spans="1:15" x14ac:dyDescent="0.2">
      <c r="A1630" s="21" t="str">
        <f t="shared" si="175"/>
        <v>y</v>
      </c>
      <c r="B1630" s="24" t="s">
        <v>1838</v>
      </c>
      <c r="C1630" t="s">
        <v>429</v>
      </c>
      <c r="D1630" t="s">
        <v>13</v>
      </c>
      <c r="E1630" t="s">
        <v>46</v>
      </c>
      <c r="F1630" t="s">
        <v>29</v>
      </c>
      <c r="G1630" t="s">
        <v>510</v>
      </c>
      <c r="H1630" t="s">
        <v>1988</v>
      </c>
      <c r="I1630" s="22" t="str">
        <f t="shared" si="176"/>
        <v>2019-08-22</v>
      </c>
      <c r="J1630" s="23" t="str">
        <f t="shared" si="177"/>
        <v>22</v>
      </c>
      <c r="K1630" t="str">
        <f t="shared" si="178"/>
        <v>no</v>
      </c>
      <c r="L1630">
        <v>22</v>
      </c>
      <c r="M1630" t="str">
        <f t="shared" si="179"/>
        <v>2019-08-22</v>
      </c>
      <c r="N1630" s="20" t="str">
        <f t="shared" si="180"/>
        <v>2019-08-22</v>
      </c>
      <c r="O1630" t="str">
        <f t="shared" si="181"/>
        <v>2019-08-22</v>
      </c>
    </row>
    <row r="1631" spans="1:15" x14ac:dyDescent="0.2">
      <c r="A1631" s="21" t="str">
        <f t="shared" si="175"/>
        <v>y</v>
      </c>
      <c r="B1631" s="24" t="s">
        <v>1838</v>
      </c>
      <c r="C1631" t="s">
        <v>316</v>
      </c>
      <c r="D1631" t="s">
        <v>13</v>
      </c>
      <c r="E1631" t="s">
        <v>46</v>
      </c>
      <c r="F1631" t="s">
        <v>29</v>
      </c>
      <c r="G1631" t="s">
        <v>511</v>
      </c>
      <c r="H1631" t="s">
        <v>2041</v>
      </c>
      <c r="I1631" s="22" t="str">
        <f t="shared" si="176"/>
        <v>2019-08-22</v>
      </c>
      <c r="J1631" s="23" t="str">
        <f t="shared" si="177"/>
        <v>22</v>
      </c>
      <c r="K1631" t="str">
        <f t="shared" si="178"/>
        <v>no</v>
      </c>
      <c r="L1631">
        <v>22</v>
      </c>
      <c r="M1631" t="str">
        <f t="shared" si="179"/>
        <v>2019-08-22</v>
      </c>
      <c r="N1631" s="20" t="str">
        <f t="shared" si="180"/>
        <v>2019-08-22</v>
      </c>
      <c r="O1631" t="str">
        <f t="shared" si="181"/>
        <v>2019-08-22</v>
      </c>
    </row>
    <row r="1632" spans="1:15" x14ac:dyDescent="0.2">
      <c r="A1632" s="21" t="str">
        <f t="shared" si="175"/>
        <v>y</v>
      </c>
      <c r="B1632" s="24" t="s">
        <v>1838</v>
      </c>
      <c r="C1632" t="s">
        <v>499</v>
      </c>
      <c r="D1632" t="s">
        <v>13</v>
      </c>
      <c r="E1632" t="s">
        <v>64</v>
      </c>
      <c r="F1632" t="s">
        <v>2</v>
      </c>
      <c r="H1632" t="s">
        <v>1960</v>
      </c>
      <c r="I1632" s="22" t="str">
        <f t="shared" si="176"/>
        <v>2019-08-22</v>
      </c>
      <c r="J1632" s="23" t="str">
        <f t="shared" si="177"/>
        <v>22</v>
      </c>
      <c r="K1632" t="str">
        <f t="shared" si="178"/>
        <v>no</v>
      </c>
      <c r="L1632">
        <v>22</v>
      </c>
      <c r="M1632" t="str">
        <f t="shared" si="179"/>
        <v>2019-08-22</v>
      </c>
      <c r="N1632" s="20">
        <f t="shared" si="180"/>
        <v>43700</v>
      </c>
      <c r="O1632" t="str">
        <f t="shared" si="181"/>
        <v>2019-08-23</v>
      </c>
    </row>
    <row r="1633" spans="1:15" x14ac:dyDescent="0.2">
      <c r="A1633" s="21" t="str">
        <f t="shared" si="175"/>
        <v>y</v>
      </c>
      <c r="B1633" s="24" t="s">
        <v>1839</v>
      </c>
      <c r="C1633" t="s">
        <v>220</v>
      </c>
      <c r="D1633" t="s">
        <v>13</v>
      </c>
      <c r="E1633" t="s">
        <v>34</v>
      </c>
      <c r="F1633" t="s">
        <v>2</v>
      </c>
      <c r="H1633" t="s">
        <v>2070</v>
      </c>
      <c r="I1633" s="22" t="str">
        <f t="shared" si="176"/>
        <v>2019-08-21</v>
      </c>
      <c r="J1633" s="23" t="str">
        <f t="shared" si="177"/>
        <v>21</v>
      </c>
      <c r="K1633" t="str">
        <f t="shared" si="178"/>
        <v>no</v>
      </c>
      <c r="L1633">
        <v>21</v>
      </c>
      <c r="M1633" t="str">
        <f t="shared" si="179"/>
        <v>2019-08-21</v>
      </c>
      <c r="N1633" s="20">
        <f t="shared" si="180"/>
        <v>43699</v>
      </c>
      <c r="O1633" t="str">
        <f t="shared" si="181"/>
        <v>2019-08-22</v>
      </c>
    </row>
    <row r="1634" spans="1:15" x14ac:dyDescent="0.2">
      <c r="A1634" s="21" t="str">
        <f t="shared" si="175"/>
        <v>y</v>
      </c>
      <c r="B1634" s="24" t="s">
        <v>1839</v>
      </c>
      <c r="C1634" t="s">
        <v>32</v>
      </c>
      <c r="D1634" t="s">
        <v>13</v>
      </c>
      <c r="E1634" t="s">
        <v>28</v>
      </c>
      <c r="F1634" t="s">
        <v>2</v>
      </c>
      <c r="G1634" t="s">
        <v>509</v>
      </c>
      <c r="H1634" t="s">
        <v>2061</v>
      </c>
      <c r="I1634" s="22" t="str">
        <f t="shared" si="176"/>
        <v>2019-08-21</v>
      </c>
      <c r="J1634" s="23" t="str">
        <f t="shared" si="177"/>
        <v>21</v>
      </c>
      <c r="K1634" t="str">
        <f t="shared" si="178"/>
        <v>no</v>
      </c>
      <c r="L1634">
        <v>21</v>
      </c>
      <c r="M1634" t="str">
        <f t="shared" si="179"/>
        <v>2019-08-21</v>
      </c>
      <c r="N1634" s="20">
        <f t="shared" si="180"/>
        <v>43699</v>
      </c>
      <c r="O1634" t="str">
        <f t="shared" si="181"/>
        <v>2019-08-22</v>
      </c>
    </row>
    <row r="1635" spans="1:15" x14ac:dyDescent="0.2">
      <c r="A1635" s="21" t="str">
        <f t="shared" si="175"/>
        <v>y</v>
      </c>
      <c r="B1635" s="24" t="s">
        <v>1839</v>
      </c>
      <c r="C1635" t="s">
        <v>477</v>
      </c>
      <c r="D1635" t="s">
        <v>13</v>
      </c>
      <c r="E1635" t="s">
        <v>27</v>
      </c>
      <c r="F1635" t="s">
        <v>2</v>
      </c>
      <c r="H1635" t="s">
        <v>2019</v>
      </c>
      <c r="I1635" s="22" t="str">
        <f t="shared" si="176"/>
        <v>2019-08-21</v>
      </c>
      <c r="J1635" s="23" t="str">
        <f t="shared" si="177"/>
        <v>21</v>
      </c>
      <c r="K1635" t="str">
        <f t="shared" si="178"/>
        <v>no</v>
      </c>
      <c r="L1635">
        <v>21</v>
      </c>
      <c r="M1635" t="str">
        <f t="shared" si="179"/>
        <v>2019-08-21</v>
      </c>
      <c r="N1635" s="20">
        <f t="shared" si="180"/>
        <v>43699</v>
      </c>
      <c r="O1635" t="str">
        <f t="shared" si="181"/>
        <v>2019-08-22</v>
      </c>
    </row>
    <row r="1636" spans="1:15" x14ac:dyDescent="0.2">
      <c r="A1636" s="21" t="str">
        <f t="shared" si="175"/>
        <v>y</v>
      </c>
      <c r="B1636" s="24" t="s">
        <v>1839</v>
      </c>
      <c r="C1636" t="s">
        <v>365</v>
      </c>
      <c r="D1636" t="s">
        <v>13</v>
      </c>
      <c r="E1636" t="s">
        <v>34</v>
      </c>
      <c r="F1636" t="s">
        <v>29</v>
      </c>
      <c r="G1636" t="s">
        <v>507</v>
      </c>
      <c r="H1636" t="s">
        <v>2073</v>
      </c>
      <c r="I1636" s="22" t="str">
        <f t="shared" si="176"/>
        <v>2019-08-21</v>
      </c>
      <c r="J1636" s="23" t="str">
        <f t="shared" si="177"/>
        <v>21</v>
      </c>
      <c r="K1636" t="str">
        <f t="shared" si="178"/>
        <v>no</v>
      </c>
      <c r="L1636">
        <v>21</v>
      </c>
      <c r="M1636" t="str">
        <f t="shared" si="179"/>
        <v>2019-08-21</v>
      </c>
      <c r="N1636" s="20" t="str">
        <f t="shared" si="180"/>
        <v>2019-08-21</v>
      </c>
      <c r="O1636" t="str">
        <f t="shared" si="181"/>
        <v>2019-08-21</v>
      </c>
    </row>
    <row r="1637" spans="1:15" x14ac:dyDescent="0.2">
      <c r="A1637" s="21" t="str">
        <f t="shared" si="175"/>
        <v>y</v>
      </c>
      <c r="B1637" s="24" t="s">
        <v>1839</v>
      </c>
      <c r="C1637" t="s">
        <v>496</v>
      </c>
      <c r="D1637" t="s">
        <v>13</v>
      </c>
      <c r="E1637" t="s">
        <v>27</v>
      </c>
      <c r="F1637" t="s">
        <v>2</v>
      </c>
      <c r="G1637" t="s">
        <v>508</v>
      </c>
      <c r="H1637" t="s">
        <v>1985</v>
      </c>
      <c r="I1637" s="22" t="str">
        <f t="shared" si="176"/>
        <v>2019-08-21</v>
      </c>
      <c r="J1637" s="23" t="str">
        <f t="shared" si="177"/>
        <v>21</v>
      </c>
      <c r="K1637" t="str">
        <f t="shared" si="178"/>
        <v>no</v>
      </c>
      <c r="L1637">
        <v>21</v>
      </c>
      <c r="M1637" t="str">
        <f t="shared" si="179"/>
        <v>2019-08-21</v>
      </c>
      <c r="N1637" s="20">
        <f t="shared" si="180"/>
        <v>43699</v>
      </c>
      <c r="O1637" t="str">
        <f t="shared" si="181"/>
        <v>2019-08-22</v>
      </c>
    </row>
    <row r="1638" spans="1:15" x14ac:dyDescent="0.2">
      <c r="A1638" s="21" t="str">
        <f t="shared" si="175"/>
        <v>y</v>
      </c>
      <c r="B1638" s="24" t="s">
        <v>1839</v>
      </c>
      <c r="C1638" t="s">
        <v>151</v>
      </c>
      <c r="D1638" t="s">
        <v>13</v>
      </c>
      <c r="E1638" t="s">
        <v>34</v>
      </c>
      <c r="F1638" t="s">
        <v>2</v>
      </c>
      <c r="G1638" t="s">
        <v>504</v>
      </c>
      <c r="H1638" t="s">
        <v>2071</v>
      </c>
      <c r="I1638" s="22" t="str">
        <f t="shared" si="176"/>
        <v>2019-08-21</v>
      </c>
      <c r="J1638" s="23" t="str">
        <f t="shared" si="177"/>
        <v>21</v>
      </c>
      <c r="K1638" t="str">
        <f t="shared" si="178"/>
        <v>no</v>
      </c>
      <c r="L1638">
        <v>21</v>
      </c>
      <c r="M1638" t="str">
        <f t="shared" si="179"/>
        <v>2019-08-21</v>
      </c>
      <c r="N1638" s="20">
        <f t="shared" si="180"/>
        <v>43699</v>
      </c>
      <c r="O1638" t="str">
        <f t="shared" si="181"/>
        <v>2019-08-22</v>
      </c>
    </row>
    <row r="1639" spans="1:15" x14ac:dyDescent="0.2">
      <c r="A1639" s="21" t="str">
        <f t="shared" si="175"/>
        <v>y</v>
      </c>
      <c r="B1639" s="24" t="s">
        <v>1839</v>
      </c>
      <c r="C1639" t="s">
        <v>503</v>
      </c>
      <c r="D1639" t="s">
        <v>13</v>
      </c>
      <c r="E1639" t="s">
        <v>27</v>
      </c>
      <c r="F1639" t="s">
        <v>2</v>
      </c>
      <c r="G1639" t="s">
        <v>505</v>
      </c>
      <c r="H1639" t="s">
        <v>2076</v>
      </c>
      <c r="I1639" s="22" t="str">
        <f t="shared" si="176"/>
        <v>2019-08-21</v>
      </c>
      <c r="J1639" s="23" t="str">
        <f t="shared" si="177"/>
        <v>21</v>
      </c>
      <c r="K1639" t="str">
        <f t="shared" si="178"/>
        <v>no</v>
      </c>
      <c r="L1639">
        <v>21</v>
      </c>
      <c r="M1639" t="str">
        <f t="shared" si="179"/>
        <v>2019-08-21</v>
      </c>
      <c r="N1639" s="20">
        <f t="shared" si="180"/>
        <v>43699</v>
      </c>
      <c r="O1639" t="str">
        <f t="shared" si="181"/>
        <v>2019-08-22</v>
      </c>
    </row>
    <row r="1640" spans="1:15" x14ac:dyDescent="0.2">
      <c r="A1640" s="21" t="str">
        <f t="shared" si="175"/>
        <v>y</v>
      </c>
      <c r="B1640" s="24" t="s">
        <v>1839</v>
      </c>
      <c r="C1640" t="s">
        <v>145</v>
      </c>
      <c r="D1640" t="s">
        <v>13</v>
      </c>
      <c r="E1640" t="s">
        <v>27</v>
      </c>
      <c r="F1640" t="s">
        <v>29</v>
      </c>
      <c r="G1640" t="s">
        <v>506</v>
      </c>
      <c r="H1640" t="s">
        <v>2067</v>
      </c>
      <c r="I1640" s="22" t="str">
        <f t="shared" si="176"/>
        <v>2019-08-21</v>
      </c>
      <c r="J1640" s="23" t="str">
        <f t="shared" si="177"/>
        <v>21</v>
      </c>
      <c r="K1640" t="str">
        <f t="shared" si="178"/>
        <v>no</v>
      </c>
      <c r="L1640">
        <v>21</v>
      </c>
      <c r="M1640" t="str">
        <f t="shared" si="179"/>
        <v>2019-08-21</v>
      </c>
      <c r="N1640" s="20" t="str">
        <f t="shared" si="180"/>
        <v>2019-08-21</v>
      </c>
      <c r="O1640" t="str">
        <f t="shared" si="181"/>
        <v>2019-08-21</v>
      </c>
    </row>
    <row r="1641" spans="1:15" x14ac:dyDescent="0.2">
      <c r="A1641" s="21" t="str">
        <f t="shared" si="175"/>
        <v>y</v>
      </c>
      <c r="B1641" s="24" t="s">
        <v>1839</v>
      </c>
      <c r="C1641" t="s">
        <v>429</v>
      </c>
      <c r="D1641" t="s">
        <v>13</v>
      </c>
      <c r="E1641" t="s">
        <v>8</v>
      </c>
      <c r="F1641" t="s">
        <v>29</v>
      </c>
      <c r="H1641" t="s">
        <v>1988</v>
      </c>
      <c r="I1641" s="22" t="str">
        <f t="shared" si="176"/>
        <v>2019-08-21</v>
      </c>
      <c r="J1641" s="23" t="str">
        <f t="shared" si="177"/>
        <v>21</v>
      </c>
      <c r="K1641" t="str">
        <f t="shared" si="178"/>
        <v>no</v>
      </c>
      <c r="L1641">
        <v>21</v>
      </c>
      <c r="M1641" t="str">
        <f t="shared" si="179"/>
        <v>2019-08-21</v>
      </c>
      <c r="N1641" s="20" t="str">
        <f t="shared" si="180"/>
        <v>2019-08-21</v>
      </c>
      <c r="O1641" t="str">
        <f t="shared" si="181"/>
        <v>2019-08-21</v>
      </c>
    </row>
    <row r="1642" spans="1:15" x14ac:dyDescent="0.2">
      <c r="A1642" s="21" t="str">
        <f t="shared" si="175"/>
        <v>y</v>
      </c>
      <c r="B1642" s="24" t="s">
        <v>1840</v>
      </c>
      <c r="C1642" t="s">
        <v>220</v>
      </c>
      <c r="D1642" t="s">
        <v>13</v>
      </c>
      <c r="E1642" t="s">
        <v>34</v>
      </c>
      <c r="F1642" t="s">
        <v>2</v>
      </c>
      <c r="H1642" t="s">
        <v>2077</v>
      </c>
      <c r="I1642" s="22" t="str">
        <f t="shared" si="176"/>
        <v>2019-08-20</v>
      </c>
      <c r="J1642" s="23" t="str">
        <f t="shared" si="177"/>
        <v>20</v>
      </c>
      <c r="K1642" t="str">
        <f t="shared" si="178"/>
        <v>no</v>
      </c>
      <c r="L1642">
        <v>20</v>
      </c>
      <c r="M1642" t="str">
        <f t="shared" si="179"/>
        <v>2019-08-20</v>
      </c>
      <c r="N1642" s="20">
        <f t="shared" si="180"/>
        <v>43698</v>
      </c>
      <c r="O1642" t="str">
        <f t="shared" si="181"/>
        <v>2019-08-21</v>
      </c>
    </row>
    <row r="1643" spans="1:15" x14ac:dyDescent="0.2">
      <c r="A1643" s="21" t="str">
        <f t="shared" si="175"/>
        <v>y</v>
      </c>
      <c r="B1643" s="24" t="s">
        <v>1840</v>
      </c>
      <c r="C1643" t="s">
        <v>32</v>
      </c>
      <c r="D1643" t="s">
        <v>13</v>
      </c>
      <c r="E1643" t="s">
        <v>28</v>
      </c>
      <c r="F1643" t="s">
        <v>2</v>
      </c>
      <c r="G1643" t="s">
        <v>497</v>
      </c>
      <c r="H1643" t="s">
        <v>2072</v>
      </c>
      <c r="I1643" s="22" t="str">
        <f t="shared" si="176"/>
        <v>2019-08-20</v>
      </c>
      <c r="J1643" s="23" t="str">
        <f t="shared" si="177"/>
        <v>20</v>
      </c>
      <c r="K1643" t="str">
        <f t="shared" si="178"/>
        <v>no</v>
      </c>
      <c r="L1643">
        <v>20</v>
      </c>
      <c r="M1643" t="str">
        <f t="shared" si="179"/>
        <v>2019-08-20</v>
      </c>
      <c r="N1643" s="20">
        <f t="shared" si="180"/>
        <v>43698</v>
      </c>
      <c r="O1643" t="str">
        <f t="shared" si="181"/>
        <v>2019-08-21</v>
      </c>
    </row>
    <row r="1644" spans="1:15" x14ac:dyDescent="0.2">
      <c r="A1644" s="21" t="str">
        <f t="shared" si="175"/>
        <v>y</v>
      </c>
      <c r="B1644" s="24" t="s">
        <v>1840</v>
      </c>
      <c r="C1644" t="s">
        <v>477</v>
      </c>
      <c r="D1644" t="s">
        <v>13</v>
      </c>
      <c r="E1644" t="s">
        <v>27</v>
      </c>
      <c r="F1644" t="s">
        <v>2</v>
      </c>
      <c r="H1644" t="s">
        <v>2061</v>
      </c>
      <c r="I1644" s="22" t="str">
        <f t="shared" si="176"/>
        <v>2019-08-20</v>
      </c>
      <c r="J1644" s="23" t="str">
        <f t="shared" si="177"/>
        <v>20</v>
      </c>
      <c r="K1644" t="str">
        <f t="shared" si="178"/>
        <v>no</v>
      </c>
      <c r="L1644">
        <v>20</v>
      </c>
      <c r="M1644" t="str">
        <f t="shared" si="179"/>
        <v>2019-08-20</v>
      </c>
      <c r="N1644" s="20">
        <f t="shared" si="180"/>
        <v>43698</v>
      </c>
      <c r="O1644" t="str">
        <f t="shared" si="181"/>
        <v>2019-08-21</v>
      </c>
    </row>
    <row r="1645" spans="1:15" x14ac:dyDescent="0.2">
      <c r="A1645" s="21" t="str">
        <f t="shared" si="175"/>
        <v>y</v>
      </c>
      <c r="B1645" s="24" t="s">
        <v>1840</v>
      </c>
      <c r="C1645" t="s">
        <v>316</v>
      </c>
      <c r="D1645" t="s">
        <v>13</v>
      </c>
      <c r="E1645" t="s">
        <v>27</v>
      </c>
      <c r="F1645" t="s">
        <v>29</v>
      </c>
      <c r="G1645" t="s">
        <v>498</v>
      </c>
      <c r="H1645" t="s">
        <v>2019</v>
      </c>
      <c r="I1645" s="22" t="str">
        <f t="shared" si="176"/>
        <v>2019-08-20</v>
      </c>
      <c r="J1645" s="23" t="str">
        <f t="shared" si="177"/>
        <v>20</v>
      </c>
      <c r="K1645" t="str">
        <f t="shared" si="178"/>
        <v>no</v>
      </c>
      <c r="L1645">
        <v>20</v>
      </c>
      <c r="M1645" t="str">
        <f t="shared" si="179"/>
        <v>2019-08-20</v>
      </c>
      <c r="N1645" s="20" t="str">
        <f t="shared" si="180"/>
        <v>2019-08-20</v>
      </c>
      <c r="O1645" t="str">
        <f t="shared" si="181"/>
        <v>2019-08-20</v>
      </c>
    </row>
    <row r="1646" spans="1:15" x14ac:dyDescent="0.2">
      <c r="A1646" s="21" t="str">
        <f t="shared" si="175"/>
        <v>y</v>
      </c>
      <c r="B1646" s="24" t="s">
        <v>1840</v>
      </c>
      <c r="C1646" t="s">
        <v>365</v>
      </c>
      <c r="D1646" t="s">
        <v>13</v>
      </c>
      <c r="E1646" t="s">
        <v>34</v>
      </c>
      <c r="F1646" t="s">
        <v>2</v>
      </c>
      <c r="H1646" t="s">
        <v>2067</v>
      </c>
      <c r="I1646" s="22" t="str">
        <f t="shared" si="176"/>
        <v>2019-08-20</v>
      </c>
      <c r="J1646" s="23" t="str">
        <f t="shared" si="177"/>
        <v>20</v>
      </c>
      <c r="K1646" t="str">
        <f t="shared" si="178"/>
        <v>no</v>
      </c>
      <c r="L1646">
        <v>20</v>
      </c>
      <c r="M1646" t="str">
        <f t="shared" si="179"/>
        <v>2019-08-20</v>
      </c>
      <c r="N1646" s="20">
        <f t="shared" si="180"/>
        <v>43698</v>
      </c>
      <c r="O1646" t="str">
        <f t="shared" si="181"/>
        <v>2019-08-21</v>
      </c>
    </row>
    <row r="1647" spans="1:15" x14ac:dyDescent="0.2">
      <c r="A1647" s="21" t="str">
        <f t="shared" si="175"/>
        <v>y</v>
      </c>
      <c r="B1647" s="24" t="s">
        <v>1840</v>
      </c>
      <c r="C1647" t="s">
        <v>495</v>
      </c>
      <c r="D1647" t="s">
        <v>13</v>
      </c>
      <c r="E1647" t="s">
        <v>27</v>
      </c>
      <c r="F1647" t="s">
        <v>29</v>
      </c>
      <c r="G1647" t="s">
        <v>500</v>
      </c>
      <c r="H1647" t="s">
        <v>2073</v>
      </c>
      <c r="I1647" s="22" t="str">
        <f t="shared" si="176"/>
        <v>2019-08-20</v>
      </c>
      <c r="J1647" s="23" t="str">
        <f t="shared" si="177"/>
        <v>20</v>
      </c>
      <c r="K1647" t="str">
        <f t="shared" si="178"/>
        <v>no</v>
      </c>
      <c r="L1647">
        <v>20</v>
      </c>
      <c r="M1647" t="str">
        <f t="shared" si="179"/>
        <v>2019-08-20</v>
      </c>
      <c r="N1647" s="20" t="str">
        <f t="shared" si="180"/>
        <v>2019-08-20</v>
      </c>
      <c r="O1647" t="str">
        <f t="shared" si="181"/>
        <v>2019-08-20</v>
      </c>
    </row>
    <row r="1648" spans="1:15" x14ac:dyDescent="0.2">
      <c r="A1648" s="21" t="str">
        <f t="shared" si="175"/>
        <v>y</v>
      </c>
      <c r="B1648" s="24" t="s">
        <v>1840</v>
      </c>
      <c r="C1648" t="s">
        <v>496</v>
      </c>
      <c r="D1648" t="s">
        <v>13</v>
      </c>
      <c r="E1648" t="s">
        <v>27</v>
      </c>
      <c r="F1648" t="s">
        <v>2</v>
      </c>
      <c r="H1648" t="s">
        <v>1985</v>
      </c>
      <c r="I1648" s="22" t="str">
        <f t="shared" si="176"/>
        <v>2019-08-20</v>
      </c>
      <c r="J1648" s="23" t="str">
        <f t="shared" si="177"/>
        <v>20</v>
      </c>
      <c r="K1648" t="str">
        <f t="shared" si="178"/>
        <v>no</v>
      </c>
      <c r="L1648">
        <v>20</v>
      </c>
      <c r="M1648" t="str">
        <f t="shared" si="179"/>
        <v>2019-08-20</v>
      </c>
      <c r="N1648" s="20">
        <f t="shared" si="180"/>
        <v>43698</v>
      </c>
      <c r="O1648" t="str">
        <f t="shared" si="181"/>
        <v>2019-08-21</v>
      </c>
    </row>
    <row r="1649" spans="1:15" x14ac:dyDescent="0.2">
      <c r="A1649" s="21" t="str">
        <f t="shared" si="175"/>
        <v>y</v>
      </c>
      <c r="B1649" s="24" t="s">
        <v>1840</v>
      </c>
      <c r="C1649" t="s">
        <v>151</v>
      </c>
      <c r="D1649" t="s">
        <v>13</v>
      </c>
      <c r="E1649" t="s">
        <v>27</v>
      </c>
      <c r="F1649" t="s">
        <v>29</v>
      </c>
      <c r="G1649" t="s">
        <v>501</v>
      </c>
      <c r="H1649" t="s">
        <v>2077</v>
      </c>
      <c r="I1649" s="22" t="str">
        <f t="shared" si="176"/>
        <v>2019-08-20</v>
      </c>
      <c r="J1649" s="23" t="str">
        <f t="shared" si="177"/>
        <v>20</v>
      </c>
      <c r="K1649" t="str">
        <f t="shared" si="178"/>
        <v>no</v>
      </c>
      <c r="L1649">
        <v>20</v>
      </c>
      <c r="M1649" t="str">
        <f t="shared" si="179"/>
        <v>2019-08-20</v>
      </c>
      <c r="N1649" s="20" t="str">
        <f t="shared" si="180"/>
        <v>2019-08-20</v>
      </c>
      <c r="O1649" t="str">
        <f t="shared" si="181"/>
        <v>2019-08-20</v>
      </c>
    </row>
    <row r="1650" spans="1:15" x14ac:dyDescent="0.2">
      <c r="A1650" s="21" t="str">
        <f t="shared" si="175"/>
        <v>y</v>
      </c>
      <c r="B1650" s="24" t="s">
        <v>1840</v>
      </c>
      <c r="C1650" t="s">
        <v>499</v>
      </c>
      <c r="D1650" t="s">
        <v>13</v>
      </c>
      <c r="E1650" t="s">
        <v>27</v>
      </c>
      <c r="F1650" t="s">
        <v>29</v>
      </c>
      <c r="G1650" t="s">
        <v>502</v>
      </c>
      <c r="H1650" t="s">
        <v>2061</v>
      </c>
      <c r="I1650" s="22" t="str">
        <f t="shared" si="176"/>
        <v>2019-08-20</v>
      </c>
      <c r="J1650" s="23" t="str">
        <f t="shared" si="177"/>
        <v>20</v>
      </c>
      <c r="K1650" t="str">
        <f t="shared" si="178"/>
        <v>no</v>
      </c>
      <c r="L1650">
        <v>20</v>
      </c>
      <c r="M1650" t="str">
        <f t="shared" si="179"/>
        <v>2019-08-20</v>
      </c>
      <c r="N1650" s="20" t="str">
        <f t="shared" si="180"/>
        <v>2019-08-20</v>
      </c>
      <c r="O1650" t="str">
        <f t="shared" si="181"/>
        <v>2019-08-20</v>
      </c>
    </row>
    <row r="1651" spans="1:15" x14ac:dyDescent="0.2">
      <c r="A1651" s="21" t="str">
        <f t="shared" si="175"/>
        <v>y</v>
      </c>
      <c r="B1651" s="24" t="s">
        <v>1840</v>
      </c>
      <c r="C1651" t="s">
        <v>145</v>
      </c>
      <c r="D1651" t="s">
        <v>13</v>
      </c>
      <c r="E1651" t="s">
        <v>27</v>
      </c>
      <c r="F1651" t="s">
        <v>2</v>
      </c>
      <c r="H1651" t="s">
        <v>2019</v>
      </c>
      <c r="I1651" s="22" t="str">
        <f t="shared" si="176"/>
        <v>2019-08-20</v>
      </c>
      <c r="J1651" s="23" t="str">
        <f t="shared" si="177"/>
        <v>20</v>
      </c>
      <c r="K1651" t="str">
        <f t="shared" si="178"/>
        <v>no</v>
      </c>
      <c r="L1651">
        <v>20</v>
      </c>
      <c r="M1651" t="str">
        <f t="shared" si="179"/>
        <v>2019-08-20</v>
      </c>
      <c r="N1651" s="20">
        <f t="shared" si="180"/>
        <v>43698</v>
      </c>
      <c r="O1651" t="str">
        <f t="shared" si="181"/>
        <v>2019-08-21</v>
      </c>
    </row>
    <row r="1652" spans="1:15" x14ac:dyDescent="0.2">
      <c r="A1652" s="21" t="str">
        <f t="shared" si="175"/>
        <v>y</v>
      </c>
      <c r="B1652" s="24" t="s">
        <v>1841</v>
      </c>
      <c r="C1652" t="s">
        <v>220</v>
      </c>
      <c r="D1652" t="s">
        <v>13</v>
      </c>
      <c r="E1652" t="s">
        <v>34</v>
      </c>
      <c r="F1652" t="s">
        <v>2</v>
      </c>
      <c r="H1652" t="s">
        <v>2067</v>
      </c>
      <c r="I1652" s="22" t="str">
        <f t="shared" si="176"/>
        <v>2019-08-19</v>
      </c>
      <c r="J1652" s="23" t="str">
        <f t="shared" si="177"/>
        <v>19</v>
      </c>
      <c r="K1652" t="str">
        <f t="shared" si="178"/>
        <v>no</v>
      </c>
      <c r="L1652">
        <v>19</v>
      </c>
      <c r="M1652" t="str">
        <f t="shared" si="179"/>
        <v>2019-08-19</v>
      </c>
      <c r="N1652" s="20">
        <f t="shared" si="180"/>
        <v>43697</v>
      </c>
      <c r="O1652" t="str">
        <f t="shared" si="181"/>
        <v>2019-08-20</v>
      </c>
    </row>
    <row r="1653" spans="1:15" x14ac:dyDescent="0.2">
      <c r="A1653" s="21" t="str">
        <f t="shared" si="175"/>
        <v>y</v>
      </c>
      <c r="B1653" s="24" t="s">
        <v>1841</v>
      </c>
      <c r="C1653" t="s">
        <v>32</v>
      </c>
      <c r="D1653" t="s">
        <v>13</v>
      </c>
      <c r="E1653" t="s">
        <v>28</v>
      </c>
      <c r="F1653" t="s">
        <v>2</v>
      </c>
      <c r="G1653" t="s">
        <v>492</v>
      </c>
      <c r="H1653" t="s">
        <v>2073</v>
      </c>
      <c r="I1653" s="22" t="str">
        <f t="shared" si="176"/>
        <v>2019-08-19</v>
      </c>
      <c r="J1653" s="23" t="str">
        <f t="shared" si="177"/>
        <v>19</v>
      </c>
      <c r="K1653" t="str">
        <f t="shared" si="178"/>
        <v>no</v>
      </c>
      <c r="L1653">
        <v>19</v>
      </c>
      <c r="M1653" t="str">
        <f t="shared" si="179"/>
        <v>2019-08-19</v>
      </c>
      <c r="N1653" s="20">
        <f t="shared" si="180"/>
        <v>43697</v>
      </c>
      <c r="O1653" t="str">
        <f t="shared" si="181"/>
        <v>2019-08-20</v>
      </c>
    </row>
    <row r="1654" spans="1:15" x14ac:dyDescent="0.2">
      <c r="A1654" s="21" t="str">
        <f t="shared" si="175"/>
        <v>y</v>
      </c>
      <c r="B1654" s="24" t="s">
        <v>1841</v>
      </c>
      <c r="C1654" t="s">
        <v>316</v>
      </c>
      <c r="D1654" t="s">
        <v>13</v>
      </c>
      <c r="E1654" t="s">
        <v>27</v>
      </c>
      <c r="F1654" t="s">
        <v>29</v>
      </c>
      <c r="G1654" t="s">
        <v>494</v>
      </c>
      <c r="H1654" t="s">
        <v>2045</v>
      </c>
      <c r="I1654" s="22" t="str">
        <f t="shared" si="176"/>
        <v>2019-08-19</v>
      </c>
      <c r="J1654" s="23" t="str">
        <f t="shared" si="177"/>
        <v>19</v>
      </c>
      <c r="K1654" t="str">
        <f t="shared" si="178"/>
        <v>no</v>
      </c>
      <c r="L1654">
        <v>19</v>
      </c>
      <c r="M1654" t="str">
        <f t="shared" si="179"/>
        <v>2019-08-19</v>
      </c>
      <c r="N1654" s="20" t="str">
        <f t="shared" si="180"/>
        <v>2019-08-19</v>
      </c>
      <c r="O1654" t="str">
        <f t="shared" si="181"/>
        <v>2019-08-19</v>
      </c>
    </row>
    <row r="1655" spans="1:15" x14ac:dyDescent="0.2">
      <c r="A1655" s="21" t="str">
        <f t="shared" si="175"/>
        <v>y</v>
      </c>
      <c r="B1655" s="24" t="s">
        <v>1841</v>
      </c>
      <c r="C1655" t="s">
        <v>477</v>
      </c>
      <c r="D1655" t="s">
        <v>13</v>
      </c>
      <c r="E1655" t="s">
        <v>27</v>
      </c>
      <c r="F1655" t="s">
        <v>2</v>
      </c>
      <c r="G1655" t="s">
        <v>493</v>
      </c>
      <c r="H1655" t="s">
        <v>2077</v>
      </c>
      <c r="I1655" s="22" t="str">
        <f t="shared" si="176"/>
        <v>2019-08-19</v>
      </c>
      <c r="J1655" s="23" t="str">
        <f t="shared" si="177"/>
        <v>19</v>
      </c>
      <c r="K1655" t="str">
        <f t="shared" si="178"/>
        <v>no</v>
      </c>
      <c r="L1655">
        <v>19</v>
      </c>
      <c r="M1655" t="str">
        <f t="shared" si="179"/>
        <v>2019-08-19</v>
      </c>
      <c r="N1655" s="20">
        <f t="shared" si="180"/>
        <v>43697</v>
      </c>
      <c r="O1655" t="str">
        <f t="shared" si="181"/>
        <v>2019-08-20</v>
      </c>
    </row>
    <row r="1656" spans="1:15" x14ac:dyDescent="0.2">
      <c r="A1656" s="21" t="str">
        <f t="shared" si="175"/>
        <v>y</v>
      </c>
      <c r="B1656" s="24" t="s">
        <v>1841</v>
      </c>
      <c r="C1656" t="s">
        <v>365</v>
      </c>
      <c r="D1656" t="s">
        <v>13</v>
      </c>
      <c r="E1656" t="s">
        <v>34</v>
      </c>
      <c r="F1656" t="s">
        <v>2</v>
      </c>
      <c r="H1656" t="s">
        <v>2061</v>
      </c>
      <c r="I1656" s="22" t="str">
        <f t="shared" si="176"/>
        <v>2019-08-19</v>
      </c>
      <c r="J1656" s="23" t="str">
        <f t="shared" si="177"/>
        <v>19</v>
      </c>
      <c r="K1656" t="str">
        <f t="shared" si="178"/>
        <v>no</v>
      </c>
      <c r="L1656">
        <v>19</v>
      </c>
      <c r="M1656" t="str">
        <f t="shared" si="179"/>
        <v>2019-08-19</v>
      </c>
      <c r="N1656" s="20">
        <f t="shared" si="180"/>
        <v>43697</v>
      </c>
      <c r="O1656" t="str">
        <f t="shared" si="181"/>
        <v>2019-08-20</v>
      </c>
    </row>
    <row r="1657" spans="1:15" x14ac:dyDescent="0.2">
      <c r="A1657" s="21" t="str">
        <f t="shared" si="175"/>
        <v>y</v>
      </c>
      <c r="B1657" s="24" t="s">
        <v>1841</v>
      </c>
      <c r="C1657" t="s">
        <v>145</v>
      </c>
      <c r="D1657" t="s">
        <v>13</v>
      </c>
      <c r="E1657" t="s">
        <v>27</v>
      </c>
      <c r="F1657" t="s">
        <v>2</v>
      </c>
      <c r="H1657" t="s">
        <v>2019</v>
      </c>
      <c r="I1657" s="22" t="str">
        <f t="shared" si="176"/>
        <v>2019-08-19</v>
      </c>
      <c r="J1657" s="23" t="str">
        <f t="shared" si="177"/>
        <v>19</v>
      </c>
      <c r="K1657" t="str">
        <f t="shared" si="178"/>
        <v>no</v>
      </c>
      <c r="L1657">
        <v>19</v>
      </c>
      <c r="M1657" t="str">
        <f t="shared" si="179"/>
        <v>2019-08-19</v>
      </c>
      <c r="N1657" s="20">
        <f t="shared" si="180"/>
        <v>43697</v>
      </c>
      <c r="O1657" t="str">
        <f t="shared" si="181"/>
        <v>2019-08-20</v>
      </c>
    </row>
    <row r="1658" spans="1:15" x14ac:dyDescent="0.2">
      <c r="A1658" s="21" t="str">
        <f t="shared" si="175"/>
        <v>y</v>
      </c>
      <c r="B1658" s="24" t="s">
        <v>1842</v>
      </c>
      <c r="C1658" t="s">
        <v>220</v>
      </c>
      <c r="D1658" t="s">
        <v>13</v>
      </c>
      <c r="E1658" t="s">
        <v>34</v>
      </c>
      <c r="F1658" t="s">
        <v>2</v>
      </c>
      <c r="H1658" t="s">
        <v>2067</v>
      </c>
      <c r="I1658" s="22" t="str">
        <f t="shared" si="176"/>
        <v>2019-08-18</v>
      </c>
      <c r="J1658" s="23" t="str">
        <f t="shared" si="177"/>
        <v>18</v>
      </c>
      <c r="K1658" t="str">
        <f t="shared" si="178"/>
        <v>no</v>
      </c>
      <c r="L1658">
        <v>18</v>
      </c>
      <c r="M1658" t="str">
        <f t="shared" si="179"/>
        <v>2019-08-18</v>
      </c>
      <c r="N1658" s="20">
        <f t="shared" si="180"/>
        <v>43696</v>
      </c>
      <c r="O1658" t="str">
        <f t="shared" si="181"/>
        <v>2019-08-19</v>
      </c>
    </row>
    <row r="1659" spans="1:15" x14ac:dyDescent="0.2">
      <c r="A1659" s="21" t="str">
        <f t="shared" si="175"/>
        <v>y</v>
      </c>
      <c r="B1659" s="24" t="s">
        <v>1842</v>
      </c>
      <c r="C1659" t="s">
        <v>32</v>
      </c>
      <c r="D1659" t="s">
        <v>13</v>
      </c>
      <c r="E1659" t="s">
        <v>28</v>
      </c>
      <c r="F1659" t="s">
        <v>2</v>
      </c>
      <c r="H1659" t="s">
        <v>2073</v>
      </c>
      <c r="I1659" s="22" t="str">
        <f t="shared" si="176"/>
        <v>2019-08-18</v>
      </c>
      <c r="J1659" s="23" t="str">
        <f t="shared" si="177"/>
        <v>18</v>
      </c>
      <c r="K1659" t="str">
        <f t="shared" si="178"/>
        <v>no</v>
      </c>
      <c r="L1659">
        <v>18</v>
      </c>
      <c r="M1659" t="str">
        <f t="shared" si="179"/>
        <v>2019-08-18</v>
      </c>
      <c r="N1659" s="20">
        <f t="shared" si="180"/>
        <v>43696</v>
      </c>
      <c r="O1659" t="str">
        <f t="shared" si="181"/>
        <v>2019-08-19</v>
      </c>
    </row>
    <row r="1660" spans="1:15" x14ac:dyDescent="0.2">
      <c r="A1660" s="21" t="str">
        <f t="shared" si="175"/>
        <v>y</v>
      </c>
      <c r="B1660" s="24" t="s">
        <v>1842</v>
      </c>
      <c r="C1660" t="s">
        <v>316</v>
      </c>
      <c r="D1660" t="s">
        <v>13</v>
      </c>
      <c r="E1660" t="s">
        <v>27</v>
      </c>
      <c r="F1660" t="s">
        <v>2</v>
      </c>
      <c r="G1660" t="s">
        <v>491</v>
      </c>
      <c r="H1660" t="s">
        <v>2077</v>
      </c>
      <c r="I1660" s="22" t="str">
        <f t="shared" si="176"/>
        <v>2019-08-18</v>
      </c>
      <c r="J1660" s="23" t="str">
        <f t="shared" si="177"/>
        <v>18</v>
      </c>
      <c r="K1660" t="str">
        <f t="shared" si="178"/>
        <v>no</v>
      </c>
      <c r="L1660">
        <v>18</v>
      </c>
      <c r="M1660" t="str">
        <f t="shared" si="179"/>
        <v>2019-08-18</v>
      </c>
      <c r="N1660" s="20">
        <f t="shared" si="180"/>
        <v>43696</v>
      </c>
      <c r="O1660" t="str">
        <f t="shared" si="181"/>
        <v>2019-08-19</v>
      </c>
    </row>
    <row r="1661" spans="1:15" x14ac:dyDescent="0.2">
      <c r="A1661" s="21" t="str">
        <f t="shared" si="175"/>
        <v>y</v>
      </c>
      <c r="B1661" s="24" t="s">
        <v>1842</v>
      </c>
      <c r="C1661" t="s">
        <v>477</v>
      </c>
      <c r="D1661" t="s">
        <v>13</v>
      </c>
      <c r="E1661" t="s">
        <v>27</v>
      </c>
      <c r="F1661" t="s">
        <v>2</v>
      </c>
      <c r="H1661" t="s">
        <v>2061</v>
      </c>
      <c r="I1661" s="22" t="str">
        <f t="shared" si="176"/>
        <v>2019-08-18</v>
      </c>
      <c r="J1661" s="23" t="str">
        <f t="shared" si="177"/>
        <v>18</v>
      </c>
      <c r="K1661" t="str">
        <f t="shared" si="178"/>
        <v>no</v>
      </c>
      <c r="L1661">
        <v>18</v>
      </c>
      <c r="M1661" t="str">
        <f t="shared" si="179"/>
        <v>2019-08-18</v>
      </c>
      <c r="N1661" s="20">
        <f t="shared" si="180"/>
        <v>43696</v>
      </c>
      <c r="O1661" t="str">
        <f t="shared" si="181"/>
        <v>2019-08-19</v>
      </c>
    </row>
    <row r="1662" spans="1:15" x14ac:dyDescent="0.2">
      <c r="A1662" s="21" t="str">
        <f t="shared" si="175"/>
        <v>y</v>
      </c>
      <c r="B1662" s="24" t="s">
        <v>1842</v>
      </c>
      <c r="C1662" t="s">
        <v>489</v>
      </c>
      <c r="D1662" t="s">
        <v>19</v>
      </c>
      <c r="E1662" t="s">
        <v>27</v>
      </c>
      <c r="F1662" t="s">
        <v>29</v>
      </c>
      <c r="G1662" t="s">
        <v>490</v>
      </c>
      <c r="H1662" t="s">
        <v>2019</v>
      </c>
      <c r="I1662" s="22" t="str">
        <f t="shared" si="176"/>
        <v>2019-08-18</v>
      </c>
      <c r="J1662" s="23" t="str">
        <f t="shared" si="177"/>
        <v>18</v>
      </c>
      <c r="K1662" t="str">
        <f t="shared" si="178"/>
        <v>no</v>
      </c>
      <c r="L1662">
        <v>18</v>
      </c>
      <c r="M1662" t="str">
        <f t="shared" si="179"/>
        <v>2019-08-18</v>
      </c>
      <c r="N1662" s="20" t="str">
        <f t="shared" si="180"/>
        <v>2019-08-18</v>
      </c>
      <c r="O1662" t="str">
        <f t="shared" si="181"/>
        <v>2019-08-18</v>
      </c>
    </row>
    <row r="1663" spans="1:15" x14ac:dyDescent="0.2">
      <c r="A1663" s="21" t="str">
        <f t="shared" si="175"/>
        <v>y</v>
      </c>
      <c r="B1663" s="24" t="s">
        <v>1842</v>
      </c>
      <c r="C1663" t="s">
        <v>145</v>
      </c>
      <c r="D1663" t="s">
        <v>13</v>
      </c>
      <c r="E1663" t="s">
        <v>27</v>
      </c>
      <c r="F1663" t="s">
        <v>2</v>
      </c>
      <c r="H1663" t="s">
        <v>2067</v>
      </c>
      <c r="I1663" s="22" t="str">
        <f t="shared" si="176"/>
        <v>2019-08-18</v>
      </c>
      <c r="J1663" s="23" t="str">
        <f t="shared" si="177"/>
        <v>18</v>
      </c>
      <c r="K1663" t="str">
        <f t="shared" si="178"/>
        <v>no</v>
      </c>
      <c r="L1663">
        <v>18</v>
      </c>
      <c r="M1663" t="str">
        <f t="shared" si="179"/>
        <v>2019-08-18</v>
      </c>
      <c r="N1663" s="20">
        <f t="shared" si="180"/>
        <v>43696</v>
      </c>
      <c r="O1663" t="str">
        <f t="shared" si="181"/>
        <v>2019-08-19</v>
      </c>
    </row>
    <row r="1664" spans="1:15" x14ac:dyDescent="0.2">
      <c r="A1664" s="21" t="str">
        <f t="shared" si="175"/>
        <v>y</v>
      </c>
      <c r="B1664" s="24" t="s">
        <v>1843</v>
      </c>
      <c r="C1664" t="s">
        <v>220</v>
      </c>
      <c r="D1664" t="s">
        <v>13</v>
      </c>
      <c r="E1664" t="s">
        <v>34</v>
      </c>
      <c r="F1664" t="s">
        <v>2</v>
      </c>
      <c r="H1664" t="s">
        <v>2073</v>
      </c>
      <c r="I1664" s="22" t="str">
        <f t="shared" si="176"/>
        <v>2019-08-15</v>
      </c>
      <c r="J1664" s="23" t="str">
        <f t="shared" si="177"/>
        <v>15</v>
      </c>
      <c r="K1664" t="str">
        <f t="shared" si="178"/>
        <v>no</v>
      </c>
      <c r="L1664">
        <v>15</v>
      </c>
      <c r="M1664" t="str">
        <f t="shared" si="179"/>
        <v>2019-08-15</v>
      </c>
      <c r="N1664" s="20">
        <f t="shared" si="180"/>
        <v>43693</v>
      </c>
      <c r="O1664" t="str">
        <f t="shared" si="181"/>
        <v>2019-08-16</v>
      </c>
    </row>
    <row r="1665" spans="1:15" x14ac:dyDescent="0.2">
      <c r="A1665" s="21" t="str">
        <f t="shared" si="175"/>
        <v>y</v>
      </c>
      <c r="B1665" s="24" t="s">
        <v>1843</v>
      </c>
      <c r="C1665" t="s">
        <v>32</v>
      </c>
      <c r="D1665" t="s">
        <v>13</v>
      </c>
      <c r="E1665" t="s">
        <v>28</v>
      </c>
      <c r="F1665" t="s">
        <v>2</v>
      </c>
      <c r="H1665" t="s">
        <v>2041</v>
      </c>
      <c r="I1665" s="22" t="str">
        <f t="shared" si="176"/>
        <v>2019-08-15</v>
      </c>
      <c r="J1665" s="23" t="str">
        <f t="shared" si="177"/>
        <v>15</v>
      </c>
      <c r="K1665" t="str">
        <f t="shared" si="178"/>
        <v>no</v>
      </c>
      <c r="L1665">
        <v>15</v>
      </c>
      <c r="M1665" t="str">
        <f t="shared" si="179"/>
        <v>2019-08-15</v>
      </c>
      <c r="N1665" s="20">
        <f t="shared" si="180"/>
        <v>43693</v>
      </c>
      <c r="O1665" t="str">
        <f t="shared" si="181"/>
        <v>2019-08-16</v>
      </c>
    </row>
    <row r="1666" spans="1:15" x14ac:dyDescent="0.2">
      <c r="A1666" s="21" t="str">
        <f t="shared" si="175"/>
        <v>y</v>
      </c>
      <c r="B1666" s="24" t="s">
        <v>1843</v>
      </c>
      <c r="C1666" t="s">
        <v>316</v>
      </c>
      <c r="D1666" t="s">
        <v>13</v>
      </c>
      <c r="E1666" t="s">
        <v>27</v>
      </c>
      <c r="F1666" t="s">
        <v>29</v>
      </c>
      <c r="G1666" t="s">
        <v>488</v>
      </c>
      <c r="H1666" t="s">
        <v>2061</v>
      </c>
      <c r="I1666" s="22" t="str">
        <f t="shared" si="176"/>
        <v>2019-08-15</v>
      </c>
      <c r="J1666" s="23" t="str">
        <f t="shared" si="177"/>
        <v>15</v>
      </c>
      <c r="K1666" t="str">
        <f t="shared" si="178"/>
        <v>no</v>
      </c>
      <c r="L1666">
        <v>15</v>
      </c>
      <c r="M1666" t="str">
        <f t="shared" si="179"/>
        <v>2019-08-15</v>
      </c>
      <c r="N1666" s="20" t="str">
        <f t="shared" si="180"/>
        <v>2019-08-15</v>
      </c>
      <c r="O1666" t="str">
        <f t="shared" si="181"/>
        <v>2019-08-15</v>
      </c>
    </row>
    <row r="1667" spans="1:15" x14ac:dyDescent="0.2">
      <c r="A1667" s="21" t="str">
        <f t="shared" si="175"/>
        <v>y</v>
      </c>
      <c r="B1667" s="24" t="s">
        <v>1843</v>
      </c>
      <c r="C1667" t="s">
        <v>477</v>
      </c>
      <c r="D1667" t="s">
        <v>13</v>
      </c>
      <c r="E1667" t="s">
        <v>27</v>
      </c>
      <c r="F1667" t="s">
        <v>2</v>
      </c>
      <c r="H1667" t="s">
        <v>2019</v>
      </c>
      <c r="I1667" s="22" t="str">
        <f t="shared" si="176"/>
        <v>2019-08-15</v>
      </c>
      <c r="J1667" s="23" t="str">
        <f t="shared" si="177"/>
        <v>15</v>
      </c>
      <c r="K1667" t="str">
        <f t="shared" si="178"/>
        <v>no</v>
      </c>
      <c r="L1667">
        <v>15</v>
      </c>
      <c r="M1667" t="str">
        <f t="shared" si="179"/>
        <v>2019-08-15</v>
      </c>
      <c r="N1667" s="20">
        <f t="shared" si="180"/>
        <v>43693</v>
      </c>
      <c r="O1667" t="str">
        <f t="shared" si="181"/>
        <v>2019-08-16</v>
      </c>
    </row>
    <row r="1668" spans="1:15" x14ac:dyDescent="0.2">
      <c r="A1668" s="21" t="str">
        <f t="shared" ref="A1668:A1731" si="182">IF(LEFT(B1668,2)&gt;12,"y","-")</f>
        <v>y</v>
      </c>
      <c r="B1668" s="24" t="s">
        <v>1843</v>
      </c>
      <c r="C1668" t="s">
        <v>145</v>
      </c>
      <c r="D1668" t="s">
        <v>13</v>
      </c>
      <c r="E1668" t="s">
        <v>27</v>
      </c>
      <c r="F1668" t="s">
        <v>2</v>
      </c>
      <c r="H1668" t="s">
        <v>2067</v>
      </c>
      <c r="I1668" s="22" t="str">
        <f t="shared" ref="I1668:I1731" si="183">IF(K1668="yes",TEXT(B1668,"YYYY-DD-MM"),TEXT(B1668,"YYYY-MM-DD"))</f>
        <v>2019-08-15</v>
      </c>
      <c r="J1668" s="23" t="str">
        <f t="shared" ref="J1668:J1731" si="184">LEFT(B1668,2)</f>
        <v>15</v>
      </c>
      <c r="K1668" t="str">
        <f t="shared" ref="K1668:K1731" si="185">IF(L1668&gt;31,"yes","no")</f>
        <v>no</v>
      </c>
      <c r="L1668">
        <v>15</v>
      </c>
      <c r="M1668" t="str">
        <f t="shared" ref="M1668:M1731" si="186">I1668</f>
        <v>2019-08-15</v>
      </c>
      <c r="N1668" s="20">
        <f t="shared" ref="N1668:N1731" si="187">IF(F1668="DONE",M1668,M1668+1)</f>
        <v>43693</v>
      </c>
      <c r="O1668" t="str">
        <f t="shared" ref="O1668:O1731" si="188">TEXT(N1668,"YYYY-MM-DD")</f>
        <v>2019-08-16</v>
      </c>
    </row>
    <row r="1669" spans="1:15" x14ac:dyDescent="0.2">
      <c r="A1669" s="21" t="str">
        <f t="shared" si="182"/>
        <v>y</v>
      </c>
      <c r="B1669" s="24" t="s">
        <v>1844</v>
      </c>
      <c r="C1669" t="s">
        <v>220</v>
      </c>
      <c r="D1669" t="s">
        <v>13</v>
      </c>
      <c r="E1669" t="s">
        <v>34</v>
      </c>
      <c r="F1669" t="s">
        <v>2</v>
      </c>
      <c r="H1669" t="s">
        <v>2073</v>
      </c>
      <c r="I1669" s="22" t="str">
        <f t="shared" si="183"/>
        <v>2019-08-14</v>
      </c>
      <c r="J1669" s="23" t="str">
        <f t="shared" si="184"/>
        <v>14</v>
      </c>
      <c r="K1669" t="str">
        <f t="shared" si="185"/>
        <v>no</v>
      </c>
      <c r="L1669">
        <v>14</v>
      </c>
      <c r="M1669" t="str">
        <f t="shared" si="186"/>
        <v>2019-08-14</v>
      </c>
      <c r="N1669" s="20">
        <f t="shared" si="187"/>
        <v>43692</v>
      </c>
      <c r="O1669" t="str">
        <f t="shared" si="188"/>
        <v>2019-08-15</v>
      </c>
    </row>
    <row r="1670" spans="1:15" x14ac:dyDescent="0.2">
      <c r="A1670" s="21" t="str">
        <f t="shared" si="182"/>
        <v>y</v>
      </c>
      <c r="B1670" s="24" t="s">
        <v>1844</v>
      </c>
      <c r="C1670" t="s">
        <v>32</v>
      </c>
      <c r="D1670" t="s">
        <v>13</v>
      </c>
      <c r="E1670" t="s">
        <v>28</v>
      </c>
      <c r="F1670" t="s">
        <v>2</v>
      </c>
      <c r="G1670" t="s">
        <v>484</v>
      </c>
      <c r="H1670" t="s">
        <v>2061</v>
      </c>
      <c r="I1670" s="22" t="str">
        <f t="shared" si="183"/>
        <v>2019-08-14</v>
      </c>
      <c r="J1670" s="23" t="str">
        <f t="shared" si="184"/>
        <v>14</v>
      </c>
      <c r="K1670" t="str">
        <f t="shared" si="185"/>
        <v>no</v>
      </c>
      <c r="L1670">
        <v>14</v>
      </c>
      <c r="M1670" t="str">
        <f t="shared" si="186"/>
        <v>2019-08-14</v>
      </c>
      <c r="N1670" s="20">
        <f t="shared" si="187"/>
        <v>43692</v>
      </c>
      <c r="O1670" t="str">
        <f t="shared" si="188"/>
        <v>2019-08-15</v>
      </c>
    </row>
    <row r="1671" spans="1:15" x14ac:dyDescent="0.2">
      <c r="A1671" s="21" t="str">
        <f t="shared" si="182"/>
        <v>y</v>
      </c>
      <c r="B1671" s="24" t="s">
        <v>1844</v>
      </c>
      <c r="C1671" t="s">
        <v>316</v>
      </c>
      <c r="D1671" t="s">
        <v>13</v>
      </c>
      <c r="E1671" t="s">
        <v>27</v>
      </c>
      <c r="F1671" t="s">
        <v>2</v>
      </c>
      <c r="G1671" t="s">
        <v>485</v>
      </c>
      <c r="H1671" t="s">
        <v>2057</v>
      </c>
      <c r="I1671" s="22" t="str">
        <f t="shared" si="183"/>
        <v>2019-08-14</v>
      </c>
      <c r="J1671" s="23" t="str">
        <f t="shared" si="184"/>
        <v>14</v>
      </c>
      <c r="K1671" t="str">
        <f t="shared" si="185"/>
        <v>no</v>
      </c>
      <c r="L1671">
        <v>14</v>
      </c>
      <c r="M1671" t="str">
        <f t="shared" si="186"/>
        <v>2019-08-14</v>
      </c>
      <c r="N1671" s="20">
        <f t="shared" si="187"/>
        <v>43692</v>
      </c>
      <c r="O1671" t="str">
        <f t="shared" si="188"/>
        <v>2019-08-15</v>
      </c>
    </row>
    <row r="1672" spans="1:15" x14ac:dyDescent="0.2">
      <c r="A1672" s="21" t="str">
        <f t="shared" si="182"/>
        <v>y</v>
      </c>
      <c r="B1672" s="24" t="s">
        <v>1844</v>
      </c>
      <c r="C1672" t="s">
        <v>477</v>
      </c>
      <c r="D1672" t="s">
        <v>13</v>
      </c>
      <c r="E1672" t="s">
        <v>27</v>
      </c>
      <c r="F1672" t="s">
        <v>2</v>
      </c>
      <c r="G1672" t="s">
        <v>486</v>
      </c>
      <c r="H1672" t="s">
        <v>2019</v>
      </c>
      <c r="I1672" s="22" t="str">
        <f t="shared" si="183"/>
        <v>2019-08-14</v>
      </c>
      <c r="J1672" s="23" t="str">
        <f t="shared" si="184"/>
        <v>14</v>
      </c>
      <c r="K1672" t="str">
        <f t="shared" si="185"/>
        <v>no</v>
      </c>
      <c r="L1672">
        <v>14</v>
      </c>
      <c r="M1672" t="str">
        <f t="shared" si="186"/>
        <v>2019-08-14</v>
      </c>
      <c r="N1672" s="20">
        <f t="shared" si="187"/>
        <v>43692</v>
      </c>
      <c r="O1672" t="str">
        <f t="shared" si="188"/>
        <v>2019-08-15</v>
      </c>
    </row>
    <row r="1673" spans="1:15" x14ac:dyDescent="0.2">
      <c r="A1673" s="21" t="str">
        <f t="shared" si="182"/>
        <v>y</v>
      </c>
      <c r="B1673" s="24" t="s">
        <v>1844</v>
      </c>
      <c r="C1673" t="s">
        <v>457</v>
      </c>
      <c r="D1673" t="s">
        <v>13</v>
      </c>
      <c r="E1673" t="s">
        <v>8</v>
      </c>
      <c r="F1673" t="s">
        <v>29</v>
      </c>
      <c r="G1673" t="s">
        <v>487</v>
      </c>
      <c r="H1673" t="s">
        <v>2067</v>
      </c>
      <c r="I1673" s="22" t="str">
        <f t="shared" si="183"/>
        <v>2019-08-14</v>
      </c>
      <c r="J1673" s="23" t="str">
        <f t="shared" si="184"/>
        <v>14</v>
      </c>
      <c r="K1673" t="str">
        <f t="shared" si="185"/>
        <v>no</v>
      </c>
      <c r="L1673">
        <v>14</v>
      </c>
      <c r="M1673" t="str">
        <f t="shared" si="186"/>
        <v>2019-08-14</v>
      </c>
      <c r="N1673" s="20" t="str">
        <f t="shared" si="187"/>
        <v>2019-08-14</v>
      </c>
      <c r="O1673" t="str">
        <f t="shared" si="188"/>
        <v>2019-08-14</v>
      </c>
    </row>
    <row r="1674" spans="1:15" x14ac:dyDescent="0.2">
      <c r="A1674" s="21" t="str">
        <f t="shared" si="182"/>
        <v>y</v>
      </c>
      <c r="B1674" s="24">
        <v>43685</v>
      </c>
      <c r="C1674" t="s">
        <v>220</v>
      </c>
      <c r="D1674" t="s">
        <v>13</v>
      </c>
      <c r="E1674" t="s">
        <v>34</v>
      </c>
      <c r="F1674" t="s">
        <v>2</v>
      </c>
      <c r="H1674" t="s">
        <v>2073</v>
      </c>
      <c r="I1674" s="22" t="str">
        <f t="shared" si="183"/>
        <v>2019-08-08</v>
      </c>
      <c r="J1674" s="23" t="str">
        <f t="shared" si="184"/>
        <v>43</v>
      </c>
      <c r="K1674" t="str">
        <f t="shared" si="185"/>
        <v>yes</v>
      </c>
      <c r="L1674">
        <v>43</v>
      </c>
      <c r="M1674" t="str">
        <f t="shared" si="186"/>
        <v>2019-08-08</v>
      </c>
      <c r="N1674" s="20">
        <f t="shared" si="187"/>
        <v>43686</v>
      </c>
      <c r="O1674" t="str">
        <f t="shared" si="188"/>
        <v>2019-08-09</v>
      </c>
    </row>
    <row r="1675" spans="1:15" x14ac:dyDescent="0.2">
      <c r="A1675" s="21" t="str">
        <f t="shared" si="182"/>
        <v>y</v>
      </c>
      <c r="B1675" s="24">
        <v>43685</v>
      </c>
      <c r="C1675" t="s">
        <v>32</v>
      </c>
      <c r="D1675" t="s">
        <v>13</v>
      </c>
      <c r="E1675" t="s">
        <v>28</v>
      </c>
      <c r="F1675" t="s">
        <v>2</v>
      </c>
      <c r="H1675" t="s">
        <v>2078</v>
      </c>
      <c r="I1675" s="22" t="str">
        <f t="shared" si="183"/>
        <v>2019-08-08</v>
      </c>
      <c r="J1675" s="23" t="str">
        <f t="shared" si="184"/>
        <v>43</v>
      </c>
      <c r="K1675" t="str">
        <f t="shared" si="185"/>
        <v>yes</v>
      </c>
      <c r="L1675">
        <v>43</v>
      </c>
      <c r="M1675" t="str">
        <f t="shared" si="186"/>
        <v>2019-08-08</v>
      </c>
      <c r="N1675" s="20">
        <f t="shared" si="187"/>
        <v>43686</v>
      </c>
      <c r="O1675" t="str">
        <f t="shared" si="188"/>
        <v>2019-08-09</v>
      </c>
    </row>
    <row r="1676" spans="1:15" x14ac:dyDescent="0.2">
      <c r="A1676" s="21" t="str">
        <f t="shared" si="182"/>
        <v>y</v>
      </c>
      <c r="B1676" s="24">
        <v>43685</v>
      </c>
      <c r="C1676" t="s">
        <v>316</v>
      </c>
      <c r="D1676" t="s">
        <v>13</v>
      </c>
      <c r="E1676" t="s">
        <v>27</v>
      </c>
      <c r="F1676" t="s">
        <v>2</v>
      </c>
      <c r="G1676" t="s">
        <v>483</v>
      </c>
      <c r="H1676" t="s">
        <v>2061</v>
      </c>
      <c r="I1676" s="22" t="str">
        <f t="shared" si="183"/>
        <v>2019-08-08</v>
      </c>
      <c r="J1676" s="23" t="str">
        <f t="shared" si="184"/>
        <v>43</v>
      </c>
      <c r="K1676" t="str">
        <f t="shared" si="185"/>
        <v>yes</v>
      </c>
      <c r="L1676">
        <v>43</v>
      </c>
      <c r="M1676" t="str">
        <f t="shared" si="186"/>
        <v>2019-08-08</v>
      </c>
      <c r="N1676" s="20">
        <f t="shared" si="187"/>
        <v>43686</v>
      </c>
      <c r="O1676" t="str">
        <f t="shared" si="188"/>
        <v>2019-08-09</v>
      </c>
    </row>
    <row r="1677" spans="1:15" x14ac:dyDescent="0.2">
      <c r="A1677" s="21" t="str">
        <f t="shared" si="182"/>
        <v>y</v>
      </c>
      <c r="B1677" s="24">
        <v>43685</v>
      </c>
      <c r="C1677" t="s">
        <v>477</v>
      </c>
      <c r="D1677" t="s">
        <v>13</v>
      </c>
      <c r="E1677" t="s">
        <v>27</v>
      </c>
      <c r="F1677" t="s">
        <v>2</v>
      </c>
      <c r="G1677" t="s">
        <v>482</v>
      </c>
      <c r="H1677" t="s">
        <v>2057</v>
      </c>
      <c r="I1677" s="22" t="str">
        <f t="shared" si="183"/>
        <v>2019-08-08</v>
      </c>
      <c r="J1677" s="23" t="str">
        <f t="shared" si="184"/>
        <v>43</v>
      </c>
      <c r="K1677" t="str">
        <f t="shared" si="185"/>
        <v>yes</v>
      </c>
      <c r="L1677">
        <v>43</v>
      </c>
      <c r="M1677" t="str">
        <f t="shared" si="186"/>
        <v>2019-08-08</v>
      </c>
      <c r="N1677" s="20">
        <f t="shared" si="187"/>
        <v>43686</v>
      </c>
      <c r="O1677" t="str">
        <f t="shared" si="188"/>
        <v>2019-08-09</v>
      </c>
    </row>
    <row r="1678" spans="1:15" x14ac:dyDescent="0.2">
      <c r="A1678" s="21" t="str">
        <f t="shared" si="182"/>
        <v>y</v>
      </c>
      <c r="B1678" s="24">
        <v>43654</v>
      </c>
      <c r="C1678" t="s">
        <v>220</v>
      </c>
      <c r="D1678" t="s">
        <v>13</v>
      </c>
      <c r="E1678" t="s">
        <v>34</v>
      </c>
      <c r="F1678" t="s">
        <v>2</v>
      </c>
      <c r="H1678" t="s">
        <v>2019</v>
      </c>
      <c r="I1678" s="22" t="str">
        <f t="shared" si="183"/>
        <v>2019-08-07</v>
      </c>
      <c r="J1678" s="23" t="str">
        <f t="shared" si="184"/>
        <v>43</v>
      </c>
      <c r="K1678" t="str">
        <f t="shared" si="185"/>
        <v>yes</v>
      </c>
      <c r="L1678">
        <v>43</v>
      </c>
      <c r="M1678" t="str">
        <f t="shared" si="186"/>
        <v>2019-08-07</v>
      </c>
      <c r="N1678" s="20">
        <f t="shared" si="187"/>
        <v>43685</v>
      </c>
      <c r="O1678" t="str">
        <f t="shared" si="188"/>
        <v>2019-08-08</v>
      </c>
    </row>
    <row r="1679" spans="1:15" x14ac:dyDescent="0.2">
      <c r="A1679" s="21" t="str">
        <f t="shared" si="182"/>
        <v>y</v>
      </c>
      <c r="B1679" s="24">
        <v>43654</v>
      </c>
      <c r="C1679" t="s">
        <v>365</v>
      </c>
      <c r="D1679" t="s">
        <v>13</v>
      </c>
      <c r="E1679" t="s">
        <v>28</v>
      </c>
      <c r="F1679" t="s">
        <v>29</v>
      </c>
      <c r="G1679" t="s">
        <v>476</v>
      </c>
      <c r="H1679" t="s">
        <v>2067</v>
      </c>
      <c r="I1679" s="22" t="str">
        <f t="shared" si="183"/>
        <v>2019-08-07</v>
      </c>
      <c r="J1679" s="23" t="str">
        <f t="shared" si="184"/>
        <v>43</v>
      </c>
      <c r="K1679" t="str">
        <f t="shared" si="185"/>
        <v>yes</v>
      </c>
      <c r="L1679">
        <v>43</v>
      </c>
      <c r="M1679" t="str">
        <f t="shared" si="186"/>
        <v>2019-08-07</v>
      </c>
      <c r="N1679" s="20" t="str">
        <f t="shared" si="187"/>
        <v>2019-08-07</v>
      </c>
      <c r="O1679" t="str">
        <f t="shared" si="188"/>
        <v>2019-08-07</v>
      </c>
    </row>
    <row r="1680" spans="1:15" x14ac:dyDescent="0.2">
      <c r="A1680" s="21" t="str">
        <f t="shared" si="182"/>
        <v>y</v>
      </c>
      <c r="B1680" s="24">
        <v>43654</v>
      </c>
      <c r="C1680" t="s">
        <v>32</v>
      </c>
      <c r="D1680" t="s">
        <v>13</v>
      </c>
      <c r="E1680" t="s">
        <v>28</v>
      </c>
      <c r="F1680" t="s">
        <v>2</v>
      </c>
      <c r="H1680" t="s">
        <v>2079</v>
      </c>
      <c r="I1680" s="22" t="str">
        <f t="shared" si="183"/>
        <v>2019-08-07</v>
      </c>
      <c r="J1680" s="23" t="str">
        <f t="shared" si="184"/>
        <v>43</v>
      </c>
      <c r="K1680" t="str">
        <f t="shared" si="185"/>
        <v>yes</v>
      </c>
      <c r="L1680">
        <v>43</v>
      </c>
      <c r="M1680" t="str">
        <f t="shared" si="186"/>
        <v>2019-08-07</v>
      </c>
      <c r="N1680" s="20">
        <f t="shared" si="187"/>
        <v>43685</v>
      </c>
      <c r="O1680" t="str">
        <f t="shared" si="188"/>
        <v>2019-08-08</v>
      </c>
    </row>
    <row r="1681" spans="1:15" x14ac:dyDescent="0.2">
      <c r="A1681" s="21" t="str">
        <f t="shared" si="182"/>
        <v>y</v>
      </c>
      <c r="B1681" s="24">
        <v>43654</v>
      </c>
      <c r="C1681" t="s">
        <v>316</v>
      </c>
      <c r="D1681" t="s">
        <v>13</v>
      </c>
      <c r="E1681" t="s">
        <v>27</v>
      </c>
      <c r="F1681" t="s">
        <v>29</v>
      </c>
      <c r="G1681" t="s">
        <v>481</v>
      </c>
      <c r="H1681" t="s">
        <v>2077</v>
      </c>
      <c r="I1681" s="22" t="str">
        <f t="shared" si="183"/>
        <v>2019-08-07</v>
      </c>
      <c r="J1681" s="23" t="str">
        <f t="shared" si="184"/>
        <v>43</v>
      </c>
      <c r="K1681" t="str">
        <f t="shared" si="185"/>
        <v>yes</v>
      </c>
      <c r="L1681">
        <v>43</v>
      </c>
      <c r="M1681" t="str">
        <f t="shared" si="186"/>
        <v>2019-08-07</v>
      </c>
      <c r="N1681" s="20" t="str">
        <f t="shared" si="187"/>
        <v>2019-08-07</v>
      </c>
      <c r="O1681" t="str">
        <f t="shared" si="188"/>
        <v>2019-08-07</v>
      </c>
    </row>
    <row r="1682" spans="1:15" x14ac:dyDescent="0.2">
      <c r="A1682" s="21" t="str">
        <f t="shared" si="182"/>
        <v>y</v>
      </c>
      <c r="B1682" s="24">
        <v>43654</v>
      </c>
      <c r="C1682" t="s">
        <v>477</v>
      </c>
      <c r="D1682" t="s">
        <v>13</v>
      </c>
      <c r="E1682" t="s">
        <v>27</v>
      </c>
      <c r="F1682" t="s">
        <v>2</v>
      </c>
      <c r="G1682" t="s">
        <v>480</v>
      </c>
      <c r="H1682" t="s">
        <v>2041</v>
      </c>
      <c r="I1682" s="22" t="str">
        <f t="shared" si="183"/>
        <v>2019-08-07</v>
      </c>
      <c r="J1682" s="23" t="str">
        <f t="shared" si="184"/>
        <v>43</v>
      </c>
      <c r="K1682" t="str">
        <f t="shared" si="185"/>
        <v>yes</v>
      </c>
      <c r="L1682">
        <v>43</v>
      </c>
      <c r="M1682" t="str">
        <f t="shared" si="186"/>
        <v>2019-08-07</v>
      </c>
      <c r="N1682" s="20">
        <f t="shared" si="187"/>
        <v>43685</v>
      </c>
      <c r="O1682" t="str">
        <f t="shared" si="188"/>
        <v>2019-08-08</v>
      </c>
    </row>
    <row r="1683" spans="1:15" x14ac:dyDescent="0.2">
      <c r="A1683" s="21" t="str">
        <f t="shared" si="182"/>
        <v>y</v>
      </c>
      <c r="B1683" s="24">
        <v>43654</v>
      </c>
      <c r="C1683" t="s">
        <v>478</v>
      </c>
      <c r="D1683" t="s">
        <v>13</v>
      </c>
      <c r="E1683" t="s">
        <v>27</v>
      </c>
      <c r="F1683" t="s">
        <v>29</v>
      </c>
      <c r="G1683" t="s">
        <v>479</v>
      </c>
      <c r="H1683" t="s">
        <v>2061</v>
      </c>
      <c r="I1683" s="22" t="str">
        <f t="shared" si="183"/>
        <v>2019-08-07</v>
      </c>
      <c r="J1683" s="23" t="str">
        <f t="shared" si="184"/>
        <v>43</v>
      </c>
      <c r="K1683" t="str">
        <f t="shared" si="185"/>
        <v>yes</v>
      </c>
      <c r="L1683">
        <v>43</v>
      </c>
      <c r="M1683" t="str">
        <f t="shared" si="186"/>
        <v>2019-08-07</v>
      </c>
      <c r="N1683" s="20" t="str">
        <f t="shared" si="187"/>
        <v>2019-08-07</v>
      </c>
      <c r="O1683" t="str">
        <f t="shared" si="188"/>
        <v>2019-08-07</v>
      </c>
    </row>
    <row r="1684" spans="1:15" x14ac:dyDescent="0.2">
      <c r="A1684" s="21" t="str">
        <f t="shared" si="182"/>
        <v>y</v>
      </c>
      <c r="B1684" s="24">
        <v>43624</v>
      </c>
      <c r="C1684" t="s">
        <v>220</v>
      </c>
      <c r="D1684" t="s">
        <v>13</v>
      </c>
      <c r="E1684" t="s">
        <v>34</v>
      </c>
      <c r="F1684" t="s">
        <v>2</v>
      </c>
      <c r="H1684" t="s">
        <v>2057</v>
      </c>
      <c r="I1684" s="22" t="str">
        <f t="shared" si="183"/>
        <v>2019-08-06</v>
      </c>
      <c r="J1684" s="23" t="str">
        <f t="shared" si="184"/>
        <v>43</v>
      </c>
      <c r="K1684" t="str">
        <f t="shared" si="185"/>
        <v>yes</v>
      </c>
      <c r="L1684">
        <v>43</v>
      </c>
      <c r="M1684" t="str">
        <f t="shared" si="186"/>
        <v>2019-08-06</v>
      </c>
      <c r="N1684" s="20">
        <f t="shared" si="187"/>
        <v>43684</v>
      </c>
      <c r="O1684" t="str">
        <f t="shared" si="188"/>
        <v>2019-08-07</v>
      </c>
    </row>
    <row r="1685" spans="1:15" x14ac:dyDescent="0.2">
      <c r="A1685" s="21" t="str">
        <f t="shared" si="182"/>
        <v>y</v>
      </c>
      <c r="B1685" s="24">
        <v>43624</v>
      </c>
      <c r="C1685" t="s">
        <v>365</v>
      </c>
      <c r="D1685" t="s">
        <v>13</v>
      </c>
      <c r="E1685" t="s">
        <v>8</v>
      </c>
      <c r="F1685" t="s">
        <v>2</v>
      </c>
      <c r="H1685" t="s">
        <v>2070</v>
      </c>
      <c r="I1685" s="22" t="str">
        <f t="shared" si="183"/>
        <v>2019-08-06</v>
      </c>
      <c r="J1685" s="23" t="str">
        <f t="shared" si="184"/>
        <v>43</v>
      </c>
      <c r="K1685" t="str">
        <f t="shared" si="185"/>
        <v>yes</v>
      </c>
      <c r="L1685">
        <v>43</v>
      </c>
      <c r="M1685" t="str">
        <f t="shared" si="186"/>
        <v>2019-08-06</v>
      </c>
      <c r="N1685" s="20">
        <f t="shared" si="187"/>
        <v>43684</v>
      </c>
      <c r="O1685" t="str">
        <f t="shared" si="188"/>
        <v>2019-08-07</v>
      </c>
    </row>
    <row r="1686" spans="1:15" x14ac:dyDescent="0.2">
      <c r="A1686" s="21" t="str">
        <f t="shared" si="182"/>
        <v>y</v>
      </c>
      <c r="B1686" s="24">
        <v>43624</v>
      </c>
      <c r="C1686" t="s">
        <v>32</v>
      </c>
      <c r="D1686" t="s">
        <v>13</v>
      </c>
      <c r="E1686" t="s">
        <v>28</v>
      </c>
      <c r="F1686" t="s">
        <v>2</v>
      </c>
      <c r="H1686" t="s">
        <v>2019</v>
      </c>
      <c r="I1686" s="22" t="str">
        <f t="shared" si="183"/>
        <v>2019-08-06</v>
      </c>
      <c r="J1686" s="23" t="str">
        <f t="shared" si="184"/>
        <v>43</v>
      </c>
      <c r="K1686" t="str">
        <f t="shared" si="185"/>
        <v>yes</v>
      </c>
      <c r="L1686">
        <v>43</v>
      </c>
      <c r="M1686" t="str">
        <f t="shared" si="186"/>
        <v>2019-08-06</v>
      </c>
      <c r="N1686" s="20">
        <f t="shared" si="187"/>
        <v>43684</v>
      </c>
      <c r="O1686" t="str">
        <f t="shared" si="188"/>
        <v>2019-08-07</v>
      </c>
    </row>
    <row r="1687" spans="1:15" x14ac:dyDescent="0.2">
      <c r="A1687" s="21" t="str">
        <f t="shared" si="182"/>
        <v>y</v>
      </c>
      <c r="B1687" s="24">
        <v>43624</v>
      </c>
      <c r="C1687" t="s">
        <v>316</v>
      </c>
      <c r="D1687" t="s">
        <v>13</v>
      </c>
      <c r="E1687" t="s">
        <v>27</v>
      </c>
      <c r="F1687" t="s">
        <v>2</v>
      </c>
      <c r="H1687" t="s">
        <v>2067</v>
      </c>
      <c r="I1687" s="22" t="str">
        <f t="shared" si="183"/>
        <v>2019-08-06</v>
      </c>
      <c r="J1687" s="23" t="str">
        <f t="shared" si="184"/>
        <v>43</v>
      </c>
      <c r="K1687" t="str">
        <f t="shared" si="185"/>
        <v>yes</v>
      </c>
      <c r="L1687">
        <v>43</v>
      </c>
      <c r="M1687" t="str">
        <f t="shared" si="186"/>
        <v>2019-08-06</v>
      </c>
      <c r="N1687" s="20">
        <f t="shared" si="187"/>
        <v>43684</v>
      </c>
      <c r="O1687" t="str">
        <f t="shared" si="188"/>
        <v>2019-08-07</v>
      </c>
    </row>
    <row r="1688" spans="1:15" x14ac:dyDescent="0.2">
      <c r="A1688" s="21" t="str">
        <f t="shared" si="182"/>
        <v>y</v>
      </c>
      <c r="B1688" s="24">
        <v>43624</v>
      </c>
      <c r="C1688" t="s">
        <v>349</v>
      </c>
      <c r="D1688" t="s">
        <v>13</v>
      </c>
      <c r="E1688" t="s">
        <v>42</v>
      </c>
      <c r="F1688" t="s">
        <v>29</v>
      </c>
      <c r="G1688" t="s">
        <v>473</v>
      </c>
      <c r="H1688" t="s">
        <v>2080</v>
      </c>
      <c r="I1688" s="22" t="str">
        <f t="shared" si="183"/>
        <v>2019-08-06</v>
      </c>
      <c r="J1688" s="23" t="str">
        <f t="shared" si="184"/>
        <v>43</v>
      </c>
      <c r="K1688" t="str">
        <f t="shared" si="185"/>
        <v>yes</v>
      </c>
      <c r="L1688">
        <v>43</v>
      </c>
      <c r="M1688" t="str">
        <f t="shared" si="186"/>
        <v>2019-08-06</v>
      </c>
      <c r="N1688" s="20" t="str">
        <f t="shared" si="187"/>
        <v>2019-08-06</v>
      </c>
      <c r="O1688" t="str">
        <f t="shared" si="188"/>
        <v>2019-08-06</v>
      </c>
    </row>
    <row r="1689" spans="1:15" x14ac:dyDescent="0.2">
      <c r="A1689" s="21" t="str">
        <f t="shared" si="182"/>
        <v>y</v>
      </c>
      <c r="B1689" s="24">
        <v>43624</v>
      </c>
      <c r="C1689" t="s">
        <v>145</v>
      </c>
      <c r="D1689" t="s">
        <v>13</v>
      </c>
      <c r="E1689" t="s">
        <v>27</v>
      </c>
      <c r="F1689" t="s">
        <v>29</v>
      </c>
      <c r="G1689" t="s">
        <v>475</v>
      </c>
      <c r="H1689" t="s">
        <v>2079</v>
      </c>
      <c r="I1689" s="22" t="str">
        <f t="shared" si="183"/>
        <v>2019-08-06</v>
      </c>
      <c r="J1689" s="23" t="str">
        <f t="shared" si="184"/>
        <v>43</v>
      </c>
      <c r="K1689" t="str">
        <f t="shared" si="185"/>
        <v>yes</v>
      </c>
      <c r="L1689">
        <v>43</v>
      </c>
      <c r="M1689" t="str">
        <f t="shared" si="186"/>
        <v>2019-08-06</v>
      </c>
      <c r="N1689" s="20" t="str">
        <f t="shared" si="187"/>
        <v>2019-08-06</v>
      </c>
      <c r="O1689" t="str">
        <f t="shared" si="188"/>
        <v>2019-08-06</v>
      </c>
    </row>
    <row r="1690" spans="1:15" x14ac:dyDescent="0.2">
      <c r="A1690" s="21" t="str">
        <f t="shared" si="182"/>
        <v>y</v>
      </c>
      <c r="B1690" s="24">
        <v>43624</v>
      </c>
      <c r="C1690" t="s">
        <v>457</v>
      </c>
      <c r="D1690" t="s">
        <v>13</v>
      </c>
      <c r="E1690" t="s">
        <v>8</v>
      </c>
      <c r="F1690" t="s">
        <v>29</v>
      </c>
      <c r="G1690" t="s">
        <v>474</v>
      </c>
      <c r="H1690" t="s">
        <v>2061</v>
      </c>
      <c r="I1690" s="22" t="str">
        <f t="shared" si="183"/>
        <v>2019-08-06</v>
      </c>
      <c r="J1690" s="23" t="str">
        <f t="shared" si="184"/>
        <v>43</v>
      </c>
      <c r="K1690" t="str">
        <f t="shared" si="185"/>
        <v>yes</v>
      </c>
      <c r="L1690">
        <v>43</v>
      </c>
      <c r="M1690" t="str">
        <f t="shared" si="186"/>
        <v>2019-08-06</v>
      </c>
      <c r="N1690" s="20" t="str">
        <f t="shared" si="187"/>
        <v>2019-08-06</v>
      </c>
      <c r="O1690" t="str">
        <f t="shared" si="188"/>
        <v>2019-08-06</v>
      </c>
    </row>
    <row r="1691" spans="1:15" x14ac:dyDescent="0.2">
      <c r="A1691" s="21" t="str">
        <f t="shared" si="182"/>
        <v>y</v>
      </c>
      <c r="B1691" s="24">
        <v>43593</v>
      </c>
      <c r="C1691" t="s">
        <v>220</v>
      </c>
      <c r="D1691" t="s">
        <v>13</v>
      </c>
      <c r="E1691" t="s">
        <v>34</v>
      </c>
      <c r="F1691" t="s">
        <v>2</v>
      </c>
      <c r="H1691" t="s">
        <v>2057</v>
      </c>
      <c r="I1691" s="22" t="str">
        <f t="shared" si="183"/>
        <v>2019-08-05</v>
      </c>
      <c r="J1691" s="23" t="str">
        <f t="shared" si="184"/>
        <v>43</v>
      </c>
      <c r="K1691" t="str">
        <f t="shared" si="185"/>
        <v>yes</v>
      </c>
      <c r="L1691">
        <v>43</v>
      </c>
      <c r="M1691" t="str">
        <f t="shared" si="186"/>
        <v>2019-08-05</v>
      </c>
      <c r="N1691" s="20">
        <f t="shared" si="187"/>
        <v>43683</v>
      </c>
      <c r="O1691" t="str">
        <f t="shared" si="188"/>
        <v>2019-08-06</v>
      </c>
    </row>
    <row r="1692" spans="1:15" x14ac:dyDescent="0.2">
      <c r="A1692" s="21" t="str">
        <f t="shared" si="182"/>
        <v>y</v>
      </c>
      <c r="B1692" s="24">
        <v>43593</v>
      </c>
      <c r="C1692" t="s">
        <v>429</v>
      </c>
      <c r="D1692" t="s">
        <v>13</v>
      </c>
      <c r="E1692" t="s">
        <v>27</v>
      </c>
      <c r="F1692" t="s">
        <v>2</v>
      </c>
      <c r="G1692" t="s">
        <v>466</v>
      </c>
      <c r="H1692" t="s">
        <v>2041</v>
      </c>
      <c r="I1692" s="22" t="str">
        <f t="shared" si="183"/>
        <v>2019-08-05</v>
      </c>
      <c r="J1692" s="23" t="str">
        <f t="shared" si="184"/>
        <v>43</v>
      </c>
      <c r="K1692" t="str">
        <f t="shared" si="185"/>
        <v>yes</v>
      </c>
      <c r="L1692">
        <v>43</v>
      </c>
      <c r="M1692" t="str">
        <f t="shared" si="186"/>
        <v>2019-08-05</v>
      </c>
      <c r="N1692" s="20">
        <f t="shared" si="187"/>
        <v>43683</v>
      </c>
      <c r="O1692" t="str">
        <f t="shared" si="188"/>
        <v>2019-08-06</v>
      </c>
    </row>
    <row r="1693" spans="1:15" x14ac:dyDescent="0.2">
      <c r="A1693" s="21" t="str">
        <f t="shared" si="182"/>
        <v>y</v>
      </c>
      <c r="B1693" s="24">
        <v>43593</v>
      </c>
      <c r="C1693" t="s">
        <v>365</v>
      </c>
      <c r="D1693" t="s">
        <v>13</v>
      </c>
      <c r="E1693" t="s">
        <v>8</v>
      </c>
      <c r="F1693" t="s">
        <v>2</v>
      </c>
      <c r="H1693" t="s">
        <v>2070</v>
      </c>
      <c r="I1693" s="22" t="str">
        <f t="shared" si="183"/>
        <v>2019-08-05</v>
      </c>
      <c r="J1693" s="23" t="str">
        <f t="shared" si="184"/>
        <v>43</v>
      </c>
      <c r="K1693" t="str">
        <f t="shared" si="185"/>
        <v>yes</v>
      </c>
      <c r="L1693">
        <v>43</v>
      </c>
      <c r="M1693" t="str">
        <f t="shared" si="186"/>
        <v>2019-08-05</v>
      </c>
      <c r="N1693" s="20">
        <f t="shared" si="187"/>
        <v>43683</v>
      </c>
      <c r="O1693" t="str">
        <f t="shared" si="188"/>
        <v>2019-08-06</v>
      </c>
    </row>
    <row r="1694" spans="1:15" x14ac:dyDescent="0.2">
      <c r="A1694" s="21" t="str">
        <f t="shared" si="182"/>
        <v>y</v>
      </c>
      <c r="B1694" s="24">
        <v>43593</v>
      </c>
      <c r="C1694" t="s">
        <v>32</v>
      </c>
      <c r="D1694" t="s">
        <v>13</v>
      </c>
      <c r="E1694" t="s">
        <v>28</v>
      </c>
      <c r="F1694" t="s">
        <v>2</v>
      </c>
      <c r="H1694" t="s">
        <v>2019</v>
      </c>
      <c r="I1694" s="22" t="str">
        <f t="shared" si="183"/>
        <v>2019-08-05</v>
      </c>
      <c r="J1694" s="23" t="str">
        <f t="shared" si="184"/>
        <v>43</v>
      </c>
      <c r="K1694" t="str">
        <f t="shared" si="185"/>
        <v>yes</v>
      </c>
      <c r="L1694">
        <v>43</v>
      </c>
      <c r="M1694" t="str">
        <f t="shared" si="186"/>
        <v>2019-08-05</v>
      </c>
      <c r="N1694" s="20">
        <f t="shared" si="187"/>
        <v>43683</v>
      </c>
      <c r="O1694" t="str">
        <f t="shared" si="188"/>
        <v>2019-08-06</v>
      </c>
    </row>
    <row r="1695" spans="1:15" x14ac:dyDescent="0.2">
      <c r="A1695" s="21" t="str">
        <f t="shared" si="182"/>
        <v>y</v>
      </c>
      <c r="B1695" s="24">
        <v>43593</v>
      </c>
      <c r="C1695" t="s">
        <v>316</v>
      </c>
      <c r="D1695" t="s">
        <v>13</v>
      </c>
      <c r="E1695" t="s">
        <v>27</v>
      </c>
      <c r="F1695" t="s">
        <v>2</v>
      </c>
      <c r="G1695" t="s">
        <v>471</v>
      </c>
      <c r="H1695" t="s">
        <v>2061</v>
      </c>
      <c r="I1695" s="22" t="str">
        <f t="shared" si="183"/>
        <v>2019-08-05</v>
      </c>
      <c r="J1695" s="23" t="str">
        <f t="shared" si="184"/>
        <v>43</v>
      </c>
      <c r="K1695" t="str">
        <f t="shared" si="185"/>
        <v>yes</v>
      </c>
      <c r="L1695">
        <v>43</v>
      </c>
      <c r="M1695" t="str">
        <f t="shared" si="186"/>
        <v>2019-08-05</v>
      </c>
      <c r="N1695" s="20">
        <f t="shared" si="187"/>
        <v>43683</v>
      </c>
      <c r="O1695" t="str">
        <f t="shared" si="188"/>
        <v>2019-08-06</v>
      </c>
    </row>
    <row r="1696" spans="1:15" x14ac:dyDescent="0.2">
      <c r="A1696" s="21" t="str">
        <f t="shared" si="182"/>
        <v>y</v>
      </c>
      <c r="B1696" s="24">
        <v>43593</v>
      </c>
      <c r="C1696" t="s">
        <v>426</v>
      </c>
      <c r="D1696" t="s">
        <v>13</v>
      </c>
      <c r="E1696" t="s">
        <v>21</v>
      </c>
      <c r="F1696" t="s">
        <v>29</v>
      </c>
      <c r="G1696" t="s">
        <v>470</v>
      </c>
      <c r="H1696" t="s">
        <v>2057</v>
      </c>
      <c r="I1696" s="22" t="str">
        <f t="shared" si="183"/>
        <v>2019-08-05</v>
      </c>
      <c r="J1696" s="23" t="str">
        <f t="shared" si="184"/>
        <v>43</v>
      </c>
      <c r="K1696" t="str">
        <f t="shared" si="185"/>
        <v>yes</v>
      </c>
      <c r="L1696">
        <v>43</v>
      </c>
      <c r="M1696" t="str">
        <f t="shared" si="186"/>
        <v>2019-08-05</v>
      </c>
      <c r="N1696" s="20" t="str">
        <f t="shared" si="187"/>
        <v>2019-08-05</v>
      </c>
      <c r="O1696" t="str">
        <f t="shared" si="188"/>
        <v>2019-08-05</v>
      </c>
    </row>
    <row r="1697" spans="1:15" x14ac:dyDescent="0.2">
      <c r="A1697" s="21" t="str">
        <f t="shared" si="182"/>
        <v>y</v>
      </c>
      <c r="B1697" s="24">
        <v>43593</v>
      </c>
      <c r="C1697" t="s">
        <v>349</v>
      </c>
      <c r="D1697" t="s">
        <v>13</v>
      </c>
      <c r="E1697" t="s">
        <v>49</v>
      </c>
      <c r="F1697" t="s">
        <v>29</v>
      </c>
      <c r="G1697" t="s">
        <v>472</v>
      </c>
      <c r="H1697" t="s">
        <v>2070</v>
      </c>
      <c r="I1697" s="22" t="str">
        <f t="shared" si="183"/>
        <v>2019-08-05</v>
      </c>
      <c r="J1697" s="23" t="str">
        <f t="shared" si="184"/>
        <v>43</v>
      </c>
      <c r="K1697" t="str">
        <f t="shared" si="185"/>
        <v>yes</v>
      </c>
      <c r="L1697">
        <v>43</v>
      </c>
      <c r="M1697" t="str">
        <f t="shared" si="186"/>
        <v>2019-08-05</v>
      </c>
      <c r="N1697" s="20" t="str">
        <f t="shared" si="187"/>
        <v>2019-08-05</v>
      </c>
      <c r="O1697" t="str">
        <f t="shared" si="188"/>
        <v>2019-08-05</v>
      </c>
    </row>
    <row r="1698" spans="1:15" x14ac:dyDescent="0.2">
      <c r="A1698" s="21" t="str">
        <f t="shared" si="182"/>
        <v>y</v>
      </c>
      <c r="B1698" s="24">
        <v>43563</v>
      </c>
      <c r="C1698" t="s">
        <v>220</v>
      </c>
      <c r="D1698" t="s">
        <v>13</v>
      </c>
      <c r="E1698" t="s">
        <v>34</v>
      </c>
      <c r="F1698" t="s">
        <v>2</v>
      </c>
      <c r="H1698" t="s">
        <v>2019</v>
      </c>
      <c r="I1698" s="22" t="str">
        <f t="shared" si="183"/>
        <v>2019-08-04</v>
      </c>
      <c r="J1698" s="23" t="str">
        <f t="shared" si="184"/>
        <v>43</v>
      </c>
      <c r="K1698" t="str">
        <f t="shared" si="185"/>
        <v>yes</v>
      </c>
      <c r="L1698">
        <v>43</v>
      </c>
      <c r="M1698" t="str">
        <f t="shared" si="186"/>
        <v>2019-08-04</v>
      </c>
      <c r="N1698" s="20">
        <f t="shared" si="187"/>
        <v>43682</v>
      </c>
      <c r="O1698" t="str">
        <f t="shared" si="188"/>
        <v>2019-08-05</v>
      </c>
    </row>
    <row r="1699" spans="1:15" x14ac:dyDescent="0.2">
      <c r="A1699" s="21" t="str">
        <f t="shared" si="182"/>
        <v>y</v>
      </c>
      <c r="B1699" s="24">
        <v>43563</v>
      </c>
      <c r="C1699" t="s">
        <v>429</v>
      </c>
      <c r="D1699" t="s">
        <v>13</v>
      </c>
      <c r="E1699" t="s">
        <v>27</v>
      </c>
      <c r="F1699" t="s">
        <v>2</v>
      </c>
      <c r="G1699" t="s">
        <v>466</v>
      </c>
      <c r="H1699" t="s">
        <v>2041</v>
      </c>
      <c r="I1699" s="22" t="str">
        <f t="shared" si="183"/>
        <v>2019-08-04</v>
      </c>
      <c r="J1699" s="23" t="str">
        <f t="shared" si="184"/>
        <v>43</v>
      </c>
      <c r="K1699" t="str">
        <f t="shared" si="185"/>
        <v>yes</v>
      </c>
      <c r="L1699">
        <v>43</v>
      </c>
      <c r="M1699" t="str">
        <f t="shared" si="186"/>
        <v>2019-08-04</v>
      </c>
      <c r="N1699" s="20">
        <f t="shared" si="187"/>
        <v>43682</v>
      </c>
      <c r="O1699" t="str">
        <f t="shared" si="188"/>
        <v>2019-08-05</v>
      </c>
    </row>
    <row r="1700" spans="1:15" x14ac:dyDescent="0.2">
      <c r="A1700" s="21" t="str">
        <f t="shared" si="182"/>
        <v>y</v>
      </c>
      <c r="B1700" s="24">
        <v>43563</v>
      </c>
      <c r="C1700" t="s">
        <v>365</v>
      </c>
      <c r="D1700" t="s">
        <v>13</v>
      </c>
      <c r="E1700" t="s">
        <v>8</v>
      </c>
      <c r="F1700" t="s">
        <v>2</v>
      </c>
      <c r="H1700" t="s">
        <v>2061</v>
      </c>
      <c r="I1700" s="22" t="str">
        <f t="shared" si="183"/>
        <v>2019-08-04</v>
      </c>
      <c r="J1700" s="23" t="str">
        <f t="shared" si="184"/>
        <v>43</v>
      </c>
      <c r="K1700" t="str">
        <f t="shared" si="185"/>
        <v>yes</v>
      </c>
      <c r="L1700">
        <v>43</v>
      </c>
      <c r="M1700" t="str">
        <f t="shared" si="186"/>
        <v>2019-08-04</v>
      </c>
      <c r="N1700" s="20">
        <f t="shared" si="187"/>
        <v>43682</v>
      </c>
      <c r="O1700" t="str">
        <f t="shared" si="188"/>
        <v>2019-08-05</v>
      </c>
    </row>
    <row r="1701" spans="1:15" x14ac:dyDescent="0.2">
      <c r="A1701" s="21" t="str">
        <f t="shared" si="182"/>
        <v>y</v>
      </c>
      <c r="B1701" s="24">
        <v>43563</v>
      </c>
      <c r="C1701" t="s">
        <v>457</v>
      </c>
      <c r="D1701" t="s">
        <v>13</v>
      </c>
      <c r="E1701" t="s">
        <v>34</v>
      </c>
      <c r="F1701" t="s">
        <v>29</v>
      </c>
      <c r="G1701" t="s">
        <v>469</v>
      </c>
      <c r="H1701" t="s">
        <v>2081</v>
      </c>
      <c r="I1701" s="22" t="str">
        <f t="shared" si="183"/>
        <v>2019-08-04</v>
      </c>
      <c r="J1701" s="23" t="str">
        <f t="shared" si="184"/>
        <v>43</v>
      </c>
      <c r="K1701" t="str">
        <f t="shared" si="185"/>
        <v>yes</v>
      </c>
      <c r="L1701">
        <v>43</v>
      </c>
      <c r="M1701" t="str">
        <f t="shared" si="186"/>
        <v>2019-08-04</v>
      </c>
      <c r="N1701" s="20" t="str">
        <f t="shared" si="187"/>
        <v>2019-08-04</v>
      </c>
      <c r="O1701" t="str">
        <f t="shared" si="188"/>
        <v>2019-08-04</v>
      </c>
    </row>
    <row r="1702" spans="1:15" x14ac:dyDescent="0.2">
      <c r="A1702" s="21" t="str">
        <f t="shared" si="182"/>
        <v>y</v>
      </c>
      <c r="B1702" s="24">
        <v>43563</v>
      </c>
      <c r="C1702" t="s">
        <v>32</v>
      </c>
      <c r="D1702" t="s">
        <v>13</v>
      </c>
      <c r="E1702" t="s">
        <v>28</v>
      </c>
      <c r="F1702" t="s">
        <v>2</v>
      </c>
      <c r="H1702" t="s">
        <v>2057</v>
      </c>
      <c r="I1702" s="22" t="str">
        <f t="shared" si="183"/>
        <v>2019-08-04</v>
      </c>
      <c r="J1702" s="23" t="str">
        <f t="shared" si="184"/>
        <v>43</v>
      </c>
      <c r="K1702" t="str">
        <f t="shared" si="185"/>
        <v>yes</v>
      </c>
      <c r="L1702">
        <v>43</v>
      </c>
      <c r="M1702" t="str">
        <f t="shared" si="186"/>
        <v>2019-08-04</v>
      </c>
      <c r="N1702" s="20">
        <f t="shared" si="187"/>
        <v>43682</v>
      </c>
      <c r="O1702" t="str">
        <f t="shared" si="188"/>
        <v>2019-08-05</v>
      </c>
    </row>
    <row r="1703" spans="1:15" x14ac:dyDescent="0.2">
      <c r="A1703" s="21" t="str">
        <f t="shared" si="182"/>
        <v>y</v>
      </c>
      <c r="B1703" s="24">
        <v>43532</v>
      </c>
      <c r="C1703" t="s">
        <v>220</v>
      </c>
      <c r="D1703" t="s">
        <v>13</v>
      </c>
      <c r="E1703" t="s">
        <v>34</v>
      </c>
      <c r="F1703" t="s">
        <v>2</v>
      </c>
      <c r="H1703" t="s">
        <v>2070</v>
      </c>
      <c r="I1703" s="22" t="str">
        <f t="shared" si="183"/>
        <v>2019-08-03</v>
      </c>
      <c r="J1703" s="23" t="str">
        <f t="shared" si="184"/>
        <v>43</v>
      </c>
      <c r="K1703" t="str">
        <f t="shared" si="185"/>
        <v>yes</v>
      </c>
      <c r="L1703">
        <v>43</v>
      </c>
      <c r="M1703" t="str">
        <f t="shared" si="186"/>
        <v>2019-08-03</v>
      </c>
      <c r="N1703" s="20">
        <f t="shared" si="187"/>
        <v>43681</v>
      </c>
      <c r="O1703" t="str">
        <f t="shared" si="188"/>
        <v>2019-08-04</v>
      </c>
    </row>
    <row r="1704" spans="1:15" x14ac:dyDescent="0.2">
      <c r="A1704" s="21" t="str">
        <f t="shared" si="182"/>
        <v>y</v>
      </c>
      <c r="B1704" s="24">
        <v>43532</v>
      </c>
      <c r="C1704" t="s">
        <v>429</v>
      </c>
      <c r="D1704" t="s">
        <v>13</v>
      </c>
      <c r="E1704" t="s">
        <v>27</v>
      </c>
      <c r="F1704" t="s">
        <v>2</v>
      </c>
      <c r="H1704" t="s">
        <v>2070</v>
      </c>
      <c r="I1704" s="22" t="str">
        <f t="shared" si="183"/>
        <v>2019-08-03</v>
      </c>
      <c r="J1704" s="23" t="str">
        <f t="shared" si="184"/>
        <v>43</v>
      </c>
      <c r="K1704" t="str">
        <f t="shared" si="185"/>
        <v>yes</v>
      </c>
      <c r="L1704">
        <v>43</v>
      </c>
      <c r="M1704" t="str">
        <f t="shared" si="186"/>
        <v>2019-08-03</v>
      </c>
      <c r="N1704" s="20">
        <f t="shared" si="187"/>
        <v>43681</v>
      </c>
      <c r="O1704" t="str">
        <f t="shared" si="188"/>
        <v>2019-08-04</v>
      </c>
    </row>
    <row r="1705" spans="1:15" x14ac:dyDescent="0.2">
      <c r="A1705" s="21" t="str">
        <f t="shared" si="182"/>
        <v>y</v>
      </c>
      <c r="B1705" s="24">
        <v>43532</v>
      </c>
      <c r="C1705" t="s">
        <v>365</v>
      </c>
      <c r="D1705" t="s">
        <v>13</v>
      </c>
      <c r="E1705" t="s">
        <v>8</v>
      </c>
      <c r="F1705" t="s">
        <v>2</v>
      </c>
      <c r="G1705" t="s">
        <v>468</v>
      </c>
      <c r="H1705" t="s">
        <v>2041</v>
      </c>
      <c r="I1705" s="22" t="str">
        <f t="shared" si="183"/>
        <v>2019-08-03</v>
      </c>
      <c r="J1705" s="23" t="str">
        <f t="shared" si="184"/>
        <v>43</v>
      </c>
      <c r="K1705" t="str">
        <f t="shared" si="185"/>
        <v>yes</v>
      </c>
      <c r="L1705">
        <v>43</v>
      </c>
      <c r="M1705" t="str">
        <f t="shared" si="186"/>
        <v>2019-08-03</v>
      </c>
      <c r="N1705" s="20">
        <f t="shared" si="187"/>
        <v>43681</v>
      </c>
      <c r="O1705" t="str">
        <f t="shared" si="188"/>
        <v>2019-08-04</v>
      </c>
    </row>
    <row r="1706" spans="1:15" x14ac:dyDescent="0.2">
      <c r="A1706" s="21" t="str">
        <f t="shared" si="182"/>
        <v>y</v>
      </c>
      <c r="B1706" s="24">
        <v>43532</v>
      </c>
      <c r="C1706" t="s">
        <v>457</v>
      </c>
      <c r="D1706" t="s">
        <v>13</v>
      </c>
      <c r="E1706" t="s">
        <v>34</v>
      </c>
      <c r="F1706" t="s">
        <v>2</v>
      </c>
      <c r="G1706" t="s">
        <v>467</v>
      </c>
      <c r="H1706" t="s">
        <v>2061</v>
      </c>
      <c r="I1706" s="22" t="str">
        <f t="shared" si="183"/>
        <v>2019-08-03</v>
      </c>
      <c r="J1706" s="23" t="str">
        <f t="shared" si="184"/>
        <v>43</v>
      </c>
      <c r="K1706" t="str">
        <f t="shared" si="185"/>
        <v>yes</v>
      </c>
      <c r="L1706">
        <v>43</v>
      </c>
      <c r="M1706" t="str">
        <f t="shared" si="186"/>
        <v>2019-08-03</v>
      </c>
      <c r="N1706" s="20">
        <f t="shared" si="187"/>
        <v>43681</v>
      </c>
      <c r="O1706" t="str">
        <f t="shared" si="188"/>
        <v>2019-08-04</v>
      </c>
    </row>
    <row r="1707" spans="1:15" x14ac:dyDescent="0.2">
      <c r="A1707" s="21" t="str">
        <f t="shared" si="182"/>
        <v>y</v>
      </c>
      <c r="B1707" s="24">
        <v>43532</v>
      </c>
      <c r="C1707" t="s">
        <v>32</v>
      </c>
      <c r="D1707" t="s">
        <v>13</v>
      </c>
      <c r="E1707" t="s">
        <v>28</v>
      </c>
      <c r="F1707" t="s">
        <v>2</v>
      </c>
      <c r="H1707" t="s">
        <v>2081</v>
      </c>
      <c r="I1707" s="22" t="str">
        <f t="shared" si="183"/>
        <v>2019-08-03</v>
      </c>
      <c r="J1707" s="23" t="str">
        <f t="shared" si="184"/>
        <v>43</v>
      </c>
      <c r="K1707" t="str">
        <f t="shared" si="185"/>
        <v>yes</v>
      </c>
      <c r="L1707">
        <v>43</v>
      </c>
      <c r="M1707" t="str">
        <f t="shared" si="186"/>
        <v>2019-08-03</v>
      </c>
      <c r="N1707" s="20">
        <f t="shared" si="187"/>
        <v>43681</v>
      </c>
      <c r="O1707" t="str">
        <f t="shared" si="188"/>
        <v>2019-08-04</v>
      </c>
    </row>
    <row r="1708" spans="1:15" x14ac:dyDescent="0.2">
      <c r="A1708" s="21" t="str">
        <f t="shared" si="182"/>
        <v>y</v>
      </c>
      <c r="B1708" s="24">
        <v>43473</v>
      </c>
      <c r="C1708" t="s">
        <v>220</v>
      </c>
      <c r="D1708" t="s">
        <v>13</v>
      </c>
      <c r="E1708" t="s">
        <v>34</v>
      </c>
      <c r="F1708" t="s">
        <v>2</v>
      </c>
      <c r="H1708" t="s">
        <v>2057</v>
      </c>
      <c r="I1708" s="22" t="str">
        <f t="shared" si="183"/>
        <v>2019-08-01</v>
      </c>
      <c r="J1708" s="23" t="str">
        <f t="shared" si="184"/>
        <v>43</v>
      </c>
      <c r="K1708" t="str">
        <f t="shared" si="185"/>
        <v>yes</v>
      </c>
      <c r="L1708">
        <v>43</v>
      </c>
      <c r="M1708" t="str">
        <f t="shared" si="186"/>
        <v>2019-08-01</v>
      </c>
      <c r="N1708" s="20">
        <f t="shared" si="187"/>
        <v>43679</v>
      </c>
      <c r="O1708" t="str">
        <f t="shared" si="188"/>
        <v>2019-08-02</v>
      </c>
    </row>
    <row r="1709" spans="1:15" x14ac:dyDescent="0.2">
      <c r="A1709" s="21" t="str">
        <f t="shared" si="182"/>
        <v>y</v>
      </c>
      <c r="B1709" s="24">
        <v>43473</v>
      </c>
      <c r="C1709" t="s">
        <v>429</v>
      </c>
      <c r="D1709" t="s">
        <v>13</v>
      </c>
      <c r="E1709" t="s">
        <v>64</v>
      </c>
      <c r="F1709" t="s">
        <v>29</v>
      </c>
      <c r="G1709" t="s">
        <v>464</v>
      </c>
      <c r="H1709" t="s">
        <v>2082</v>
      </c>
      <c r="I1709" s="22" t="str">
        <f t="shared" si="183"/>
        <v>2019-08-01</v>
      </c>
      <c r="J1709" s="23" t="str">
        <f t="shared" si="184"/>
        <v>43</v>
      </c>
      <c r="K1709" t="str">
        <f t="shared" si="185"/>
        <v>yes</v>
      </c>
      <c r="L1709">
        <v>43</v>
      </c>
      <c r="M1709" t="str">
        <f t="shared" si="186"/>
        <v>2019-08-01</v>
      </c>
      <c r="N1709" s="20" t="str">
        <f t="shared" si="187"/>
        <v>2019-08-01</v>
      </c>
      <c r="O1709" t="str">
        <f t="shared" si="188"/>
        <v>2019-08-01</v>
      </c>
    </row>
    <row r="1710" spans="1:15" x14ac:dyDescent="0.2">
      <c r="A1710" s="21" t="str">
        <f t="shared" si="182"/>
        <v>y</v>
      </c>
      <c r="B1710" s="24">
        <v>43473</v>
      </c>
      <c r="C1710" t="s">
        <v>429</v>
      </c>
      <c r="D1710" t="s">
        <v>13</v>
      </c>
      <c r="E1710" t="s">
        <v>27</v>
      </c>
      <c r="F1710" t="s">
        <v>2</v>
      </c>
      <c r="H1710" t="s">
        <v>2070</v>
      </c>
      <c r="I1710" s="22" t="str">
        <f t="shared" si="183"/>
        <v>2019-08-01</v>
      </c>
      <c r="J1710" s="23" t="str">
        <f t="shared" si="184"/>
        <v>43</v>
      </c>
      <c r="K1710" t="str">
        <f t="shared" si="185"/>
        <v>yes</v>
      </c>
      <c r="L1710">
        <v>43</v>
      </c>
      <c r="M1710" t="str">
        <f t="shared" si="186"/>
        <v>2019-08-01</v>
      </c>
      <c r="N1710" s="20">
        <f t="shared" si="187"/>
        <v>43679</v>
      </c>
      <c r="O1710" t="str">
        <f t="shared" si="188"/>
        <v>2019-08-02</v>
      </c>
    </row>
    <row r="1711" spans="1:15" x14ac:dyDescent="0.2">
      <c r="A1711" s="21" t="str">
        <f t="shared" si="182"/>
        <v>y</v>
      </c>
      <c r="B1711" s="24">
        <v>43473</v>
      </c>
      <c r="C1711" t="s">
        <v>446</v>
      </c>
      <c r="D1711" t="s">
        <v>13</v>
      </c>
      <c r="E1711" t="s">
        <v>27</v>
      </c>
      <c r="F1711" t="s">
        <v>29</v>
      </c>
      <c r="G1711" t="s">
        <v>463</v>
      </c>
      <c r="H1711" t="s">
        <v>2041</v>
      </c>
      <c r="I1711" s="22" t="str">
        <f t="shared" si="183"/>
        <v>2019-08-01</v>
      </c>
      <c r="J1711" s="23" t="str">
        <f t="shared" si="184"/>
        <v>43</v>
      </c>
      <c r="K1711" t="str">
        <f t="shared" si="185"/>
        <v>yes</v>
      </c>
      <c r="L1711">
        <v>43</v>
      </c>
      <c r="M1711" t="str">
        <f t="shared" si="186"/>
        <v>2019-08-01</v>
      </c>
      <c r="N1711" s="20" t="str">
        <f t="shared" si="187"/>
        <v>2019-08-01</v>
      </c>
      <c r="O1711" t="str">
        <f t="shared" si="188"/>
        <v>2019-08-01</v>
      </c>
    </row>
    <row r="1712" spans="1:15" x14ac:dyDescent="0.2">
      <c r="A1712" s="21" t="str">
        <f t="shared" si="182"/>
        <v>y</v>
      </c>
      <c r="B1712" s="24">
        <v>43473</v>
      </c>
      <c r="C1712" t="s">
        <v>365</v>
      </c>
      <c r="D1712" t="s">
        <v>13</v>
      </c>
      <c r="E1712" t="s">
        <v>8</v>
      </c>
      <c r="F1712" t="s">
        <v>29</v>
      </c>
      <c r="G1712" t="s">
        <v>465</v>
      </c>
      <c r="H1712" t="s">
        <v>2061</v>
      </c>
      <c r="I1712" s="22" t="str">
        <f t="shared" si="183"/>
        <v>2019-08-01</v>
      </c>
      <c r="J1712" s="23" t="str">
        <f t="shared" si="184"/>
        <v>43</v>
      </c>
      <c r="K1712" t="str">
        <f t="shared" si="185"/>
        <v>yes</v>
      </c>
      <c r="L1712">
        <v>43</v>
      </c>
      <c r="M1712" t="str">
        <f t="shared" si="186"/>
        <v>2019-08-01</v>
      </c>
      <c r="N1712" s="20" t="str">
        <f t="shared" si="187"/>
        <v>2019-08-01</v>
      </c>
      <c r="O1712" t="str">
        <f t="shared" si="188"/>
        <v>2019-08-01</v>
      </c>
    </row>
    <row r="1713" spans="1:15" x14ac:dyDescent="0.2">
      <c r="A1713" s="21" t="str">
        <f t="shared" si="182"/>
        <v>y</v>
      </c>
      <c r="B1713" s="24">
        <v>43473</v>
      </c>
      <c r="C1713" t="s">
        <v>457</v>
      </c>
      <c r="D1713" t="s">
        <v>13</v>
      </c>
      <c r="E1713" t="s">
        <v>27</v>
      </c>
      <c r="F1713" t="s">
        <v>29</v>
      </c>
      <c r="G1713" t="s">
        <v>462</v>
      </c>
      <c r="H1713" t="s">
        <v>2019</v>
      </c>
      <c r="I1713" s="22" t="str">
        <f t="shared" si="183"/>
        <v>2019-08-01</v>
      </c>
      <c r="J1713" s="23" t="str">
        <f t="shared" si="184"/>
        <v>43</v>
      </c>
      <c r="K1713" t="str">
        <f t="shared" si="185"/>
        <v>yes</v>
      </c>
      <c r="L1713">
        <v>43</v>
      </c>
      <c r="M1713" t="str">
        <f t="shared" si="186"/>
        <v>2019-08-01</v>
      </c>
      <c r="N1713" s="20" t="str">
        <f t="shared" si="187"/>
        <v>2019-08-01</v>
      </c>
      <c r="O1713" t="str">
        <f t="shared" si="188"/>
        <v>2019-08-01</v>
      </c>
    </row>
    <row r="1714" spans="1:15" x14ac:dyDescent="0.2">
      <c r="A1714" s="21" t="str">
        <f t="shared" si="182"/>
        <v>y</v>
      </c>
      <c r="B1714" s="24" t="s">
        <v>1845</v>
      </c>
      <c r="C1714" t="s">
        <v>220</v>
      </c>
      <c r="D1714" t="s">
        <v>13</v>
      </c>
      <c r="E1714" t="s">
        <v>34</v>
      </c>
      <c r="F1714" t="s">
        <v>2</v>
      </c>
      <c r="G1714" t="s">
        <v>460</v>
      </c>
      <c r="H1714" t="s">
        <v>1988</v>
      </c>
      <c r="I1714" s="22" t="str">
        <f t="shared" si="183"/>
        <v>2019-07-31</v>
      </c>
      <c r="J1714" s="23" t="str">
        <f t="shared" si="184"/>
        <v>31</v>
      </c>
      <c r="K1714" t="str">
        <f t="shared" si="185"/>
        <v>no</v>
      </c>
      <c r="L1714">
        <v>31</v>
      </c>
      <c r="M1714" t="str">
        <f t="shared" si="186"/>
        <v>2019-07-31</v>
      </c>
      <c r="N1714" s="20">
        <f t="shared" si="187"/>
        <v>43678</v>
      </c>
      <c r="O1714" t="str">
        <f t="shared" si="188"/>
        <v>2019-08-01</v>
      </c>
    </row>
    <row r="1715" spans="1:15" x14ac:dyDescent="0.2">
      <c r="A1715" s="21" t="str">
        <f t="shared" si="182"/>
        <v>y</v>
      </c>
      <c r="B1715" s="24" t="s">
        <v>1845</v>
      </c>
      <c r="C1715" t="s">
        <v>429</v>
      </c>
      <c r="D1715" t="s">
        <v>13</v>
      </c>
      <c r="E1715" t="s">
        <v>64</v>
      </c>
      <c r="F1715" t="s">
        <v>29</v>
      </c>
      <c r="G1715" t="s">
        <v>461</v>
      </c>
      <c r="H1715" t="s">
        <v>2057</v>
      </c>
      <c r="I1715" s="22" t="str">
        <f t="shared" si="183"/>
        <v>2019-07-31</v>
      </c>
      <c r="J1715" s="23" t="str">
        <f t="shared" si="184"/>
        <v>31</v>
      </c>
      <c r="K1715" t="str">
        <f t="shared" si="185"/>
        <v>no</v>
      </c>
      <c r="L1715">
        <v>31</v>
      </c>
      <c r="M1715" t="str">
        <f t="shared" si="186"/>
        <v>2019-07-31</v>
      </c>
      <c r="N1715" s="20" t="str">
        <f t="shared" si="187"/>
        <v>2019-07-31</v>
      </c>
      <c r="O1715" t="str">
        <f t="shared" si="188"/>
        <v>2019-07-31</v>
      </c>
    </row>
    <row r="1716" spans="1:15" x14ac:dyDescent="0.2">
      <c r="A1716" s="21" t="str">
        <f t="shared" si="182"/>
        <v>y</v>
      </c>
      <c r="B1716" s="24" t="s">
        <v>1845</v>
      </c>
      <c r="C1716" t="s">
        <v>429</v>
      </c>
      <c r="D1716" t="s">
        <v>13</v>
      </c>
      <c r="E1716" t="s">
        <v>27</v>
      </c>
      <c r="F1716" t="s">
        <v>2</v>
      </c>
      <c r="H1716" t="s">
        <v>2081</v>
      </c>
      <c r="I1716" s="22" t="str">
        <f t="shared" si="183"/>
        <v>2019-07-31</v>
      </c>
      <c r="J1716" s="23" t="str">
        <f t="shared" si="184"/>
        <v>31</v>
      </c>
      <c r="K1716" t="str">
        <f t="shared" si="185"/>
        <v>no</v>
      </c>
      <c r="L1716">
        <v>31</v>
      </c>
      <c r="M1716" t="str">
        <f t="shared" si="186"/>
        <v>2019-07-31</v>
      </c>
      <c r="N1716" s="20">
        <f t="shared" si="187"/>
        <v>43678</v>
      </c>
      <c r="O1716" t="str">
        <f t="shared" si="188"/>
        <v>2019-08-01</v>
      </c>
    </row>
    <row r="1717" spans="1:15" x14ac:dyDescent="0.2">
      <c r="A1717" s="21" t="str">
        <f t="shared" si="182"/>
        <v>y</v>
      </c>
      <c r="B1717" s="24" t="s">
        <v>1845</v>
      </c>
      <c r="C1717" t="s">
        <v>446</v>
      </c>
      <c r="D1717" t="s">
        <v>13</v>
      </c>
      <c r="E1717" t="s">
        <v>27</v>
      </c>
      <c r="F1717" t="s">
        <v>29</v>
      </c>
      <c r="G1717" t="s">
        <v>456</v>
      </c>
      <c r="H1717" t="s">
        <v>2070</v>
      </c>
      <c r="I1717" s="22" t="str">
        <f t="shared" si="183"/>
        <v>2019-07-31</v>
      </c>
      <c r="J1717" s="23" t="str">
        <f t="shared" si="184"/>
        <v>31</v>
      </c>
      <c r="K1717" t="str">
        <f t="shared" si="185"/>
        <v>no</v>
      </c>
      <c r="L1717">
        <v>31</v>
      </c>
      <c r="M1717" t="str">
        <f t="shared" si="186"/>
        <v>2019-07-31</v>
      </c>
      <c r="N1717" s="20" t="str">
        <f t="shared" si="187"/>
        <v>2019-07-31</v>
      </c>
      <c r="O1717" t="str">
        <f t="shared" si="188"/>
        <v>2019-07-31</v>
      </c>
    </row>
    <row r="1718" spans="1:15" x14ac:dyDescent="0.2">
      <c r="A1718" s="21" t="str">
        <f t="shared" si="182"/>
        <v>y</v>
      </c>
      <c r="B1718" s="24" t="s">
        <v>1845</v>
      </c>
      <c r="C1718" t="s">
        <v>365</v>
      </c>
      <c r="D1718" t="s">
        <v>13</v>
      </c>
      <c r="E1718" t="s">
        <v>8</v>
      </c>
      <c r="F1718" t="s">
        <v>2</v>
      </c>
      <c r="H1718" t="s">
        <v>2061</v>
      </c>
      <c r="I1718" s="22" t="str">
        <f t="shared" si="183"/>
        <v>2019-07-31</v>
      </c>
      <c r="J1718" s="23" t="str">
        <f t="shared" si="184"/>
        <v>31</v>
      </c>
      <c r="K1718" t="str">
        <f t="shared" si="185"/>
        <v>no</v>
      </c>
      <c r="L1718">
        <v>31</v>
      </c>
      <c r="M1718" t="str">
        <f t="shared" si="186"/>
        <v>2019-07-31</v>
      </c>
      <c r="N1718" s="20">
        <f t="shared" si="187"/>
        <v>43678</v>
      </c>
      <c r="O1718" t="str">
        <f t="shared" si="188"/>
        <v>2019-08-01</v>
      </c>
    </row>
    <row r="1719" spans="1:15" x14ac:dyDescent="0.2">
      <c r="A1719" s="21" t="str">
        <f t="shared" si="182"/>
        <v>y</v>
      </c>
      <c r="B1719" s="24" t="s">
        <v>1845</v>
      </c>
      <c r="C1719" t="s">
        <v>58</v>
      </c>
      <c r="D1719" t="s">
        <v>14</v>
      </c>
      <c r="E1719" t="s">
        <v>27</v>
      </c>
      <c r="F1719" t="s">
        <v>29</v>
      </c>
      <c r="G1719" t="s">
        <v>458</v>
      </c>
      <c r="H1719" t="s">
        <v>2019</v>
      </c>
      <c r="I1719" s="22" t="str">
        <f t="shared" si="183"/>
        <v>2019-07-31</v>
      </c>
      <c r="J1719" s="23" t="str">
        <f t="shared" si="184"/>
        <v>31</v>
      </c>
      <c r="K1719" t="str">
        <f t="shared" si="185"/>
        <v>no</v>
      </c>
      <c r="L1719">
        <v>31</v>
      </c>
      <c r="M1719" t="str">
        <f t="shared" si="186"/>
        <v>2019-07-31</v>
      </c>
      <c r="N1719" s="20" t="str">
        <f t="shared" si="187"/>
        <v>2019-07-31</v>
      </c>
      <c r="O1719" t="str">
        <f t="shared" si="188"/>
        <v>2019-07-31</v>
      </c>
    </row>
    <row r="1720" spans="1:15" x14ac:dyDescent="0.2">
      <c r="A1720" s="21" t="str">
        <f t="shared" si="182"/>
        <v>y</v>
      </c>
      <c r="B1720" s="24" t="s">
        <v>1845</v>
      </c>
      <c r="C1720" t="s">
        <v>457</v>
      </c>
      <c r="D1720" t="s">
        <v>13</v>
      </c>
      <c r="E1720" t="s">
        <v>27</v>
      </c>
      <c r="F1720" t="s">
        <v>29</v>
      </c>
      <c r="G1720" t="s">
        <v>459</v>
      </c>
      <c r="H1720" t="s">
        <v>1988</v>
      </c>
      <c r="I1720" s="22" t="str">
        <f t="shared" si="183"/>
        <v>2019-07-31</v>
      </c>
      <c r="J1720" s="23" t="str">
        <f t="shared" si="184"/>
        <v>31</v>
      </c>
      <c r="K1720" t="str">
        <f t="shared" si="185"/>
        <v>no</v>
      </c>
      <c r="L1720">
        <v>31</v>
      </c>
      <c r="M1720" t="str">
        <f t="shared" si="186"/>
        <v>2019-07-31</v>
      </c>
      <c r="N1720" s="20" t="str">
        <f t="shared" si="187"/>
        <v>2019-07-31</v>
      </c>
      <c r="O1720" t="str">
        <f t="shared" si="188"/>
        <v>2019-07-31</v>
      </c>
    </row>
    <row r="1721" spans="1:15" x14ac:dyDescent="0.2">
      <c r="A1721" s="21" t="str">
        <f t="shared" si="182"/>
        <v>y</v>
      </c>
      <c r="B1721" s="24" t="s">
        <v>1846</v>
      </c>
      <c r="C1721" t="s">
        <v>220</v>
      </c>
      <c r="D1721" t="s">
        <v>13</v>
      </c>
      <c r="E1721" t="s">
        <v>34</v>
      </c>
      <c r="F1721" t="s">
        <v>2</v>
      </c>
      <c r="G1721" t="s">
        <v>455</v>
      </c>
      <c r="H1721" t="s">
        <v>2057</v>
      </c>
      <c r="I1721" s="22" t="str">
        <f t="shared" si="183"/>
        <v>2019-07-30</v>
      </c>
      <c r="J1721" s="23" t="str">
        <f t="shared" si="184"/>
        <v>30</v>
      </c>
      <c r="K1721" t="str">
        <f t="shared" si="185"/>
        <v>no</v>
      </c>
      <c r="L1721">
        <v>30</v>
      </c>
      <c r="M1721" t="str">
        <f t="shared" si="186"/>
        <v>2019-07-30</v>
      </c>
      <c r="N1721" s="20">
        <f t="shared" si="187"/>
        <v>43677</v>
      </c>
      <c r="O1721" t="str">
        <f t="shared" si="188"/>
        <v>2019-07-31</v>
      </c>
    </row>
    <row r="1722" spans="1:15" x14ac:dyDescent="0.2">
      <c r="A1722" s="21" t="str">
        <f t="shared" si="182"/>
        <v>y</v>
      </c>
      <c r="B1722" s="24" t="s">
        <v>1846</v>
      </c>
      <c r="C1722" t="s">
        <v>429</v>
      </c>
      <c r="D1722" t="s">
        <v>13</v>
      </c>
      <c r="E1722" t="s">
        <v>27</v>
      </c>
      <c r="F1722" t="s">
        <v>2</v>
      </c>
      <c r="H1722" t="s">
        <v>2081</v>
      </c>
      <c r="I1722" s="22" t="str">
        <f t="shared" si="183"/>
        <v>2019-07-30</v>
      </c>
      <c r="J1722" s="23" t="str">
        <f t="shared" si="184"/>
        <v>30</v>
      </c>
      <c r="K1722" t="str">
        <f t="shared" si="185"/>
        <v>no</v>
      </c>
      <c r="L1722">
        <v>30</v>
      </c>
      <c r="M1722" t="str">
        <f t="shared" si="186"/>
        <v>2019-07-30</v>
      </c>
      <c r="N1722" s="20">
        <f t="shared" si="187"/>
        <v>43677</v>
      </c>
      <c r="O1722" t="str">
        <f t="shared" si="188"/>
        <v>2019-07-31</v>
      </c>
    </row>
    <row r="1723" spans="1:15" x14ac:dyDescent="0.2">
      <c r="A1723" s="21" t="str">
        <f t="shared" si="182"/>
        <v>y</v>
      </c>
      <c r="B1723" s="24" t="s">
        <v>1846</v>
      </c>
      <c r="C1723" t="s">
        <v>32</v>
      </c>
      <c r="D1723" t="s">
        <v>13</v>
      </c>
      <c r="E1723" t="s">
        <v>28</v>
      </c>
      <c r="F1723" t="s">
        <v>29</v>
      </c>
      <c r="G1723" t="s">
        <v>454</v>
      </c>
      <c r="H1723" t="s">
        <v>2070</v>
      </c>
      <c r="I1723" s="22" t="str">
        <f t="shared" si="183"/>
        <v>2019-07-30</v>
      </c>
      <c r="J1723" s="23" t="str">
        <f t="shared" si="184"/>
        <v>30</v>
      </c>
      <c r="K1723" t="str">
        <f t="shared" si="185"/>
        <v>no</v>
      </c>
      <c r="L1723">
        <v>30</v>
      </c>
      <c r="M1723" t="str">
        <f t="shared" si="186"/>
        <v>2019-07-30</v>
      </c>
      <c r="N1723" s="20" t="str">
        <f t="shared" si="187"/>
        <v>2019-07-30</v>
      </c>
      <c r="O1723" t="str">
        <f t="shared" si="188"/>
        <v>2019-07-30</v>
      </c>
    </row>
    <row r="1724" spans="1:15" x14ac:dyDescent="0.2">
      <c r="A1724" s="21" t="str">
        <f t="shared" si="182"/>
        <v>y</v>
      </c>
      <c r="B1724" s="24" t="s">
        <v>1846</v>
      </c>
      <c r="C1724" t="s">
        <v>151</v>
      </c>
      <c r="D1724" t="s">
        <v>13</v>
      </c>
      <c r="E1724" t="s">
        <v>42</v>
      </c>
      <c r="F1724" t="s">
        <v>29</v>
      </c>
      <c r="G1724" t="s">
        <v>453</v>
      </c>
      <c r="H1724" t="s">
        <v>2061</v>
      </c>
      <c r="I1724" s="22" t="str">
        <f t="shared" si="183"/>
        <v>2019-07-30</v>
      </c>
      <c r="J1724" s="23" t="str">
        <f t="shared" si="184"/>
        <v>30</v>
      </c>
      <c r="K1724" t="str">
        <f t="shared" si="185"/>
        <v>no</v>
      </c>
      <c r="L1724">
        <v>30</v>
      </c>
      <c r="M1724" t="str">
        <f t="shared" si="186"/>
        <v>2019-07-30</v>
      </c>
      <c r="N1724" s="20" t="str">
        <f t="shared" si="187"/>
        <v>2019-07-30</v>
      </c>
      <c r="O1724" t="str">
        <f t="shared" si="188"/>
        <v>2019-07-30</v>
      </c>
    </row>
    <row r="1725" spans="1:15" x14ac:dyDescent="0.2">
      <c r="A1725" s="21" t="str">
        <f t="shared" si="182"/>
        <v>y</v>
      </c>
      <c r="B1725" s="24" t="s">
        <v>1846</v>
      </c>
      <c r="C1725" t="s">
        <v>446</v>
      </c>
      <c r="D1725" t="s">
        <v>13</v>
      </c>
      <c r="E1725" t="s">
        <v>43</v>
      </c>
      <c r="F1725" t="s">
        <v>2</v>
      </c>
      <c r="H1725" t="s">
        <v>2019</v>
      </c>
      <c r="I1725" s="22" t="str">
        <f t="shared" si="183"/>
        <v>2019-07-30</v>
      </c>
      <c r="J1725" s="23" t="str">
        <f t="shared" si="184"/>
        <v>30</v>
      </c>
      <c r="K1725" t="str">
        <f t="shared" si="185"/>
        <v>no</v>
      </c>
      <c r="L1725">
        <v>30</v>
      </c>
      <c r="M1725" t="str">
        <f t="shared" si="186"/>
        <v>2019-07-30</v>
      </c>
      <c r="N1725" s="20">
        <f t="shared" si="187"/>
        <v>43677</v>
      </c>
      <c r="O1725" t="str">
        <f t="shared" si="188"/>
        <v>2019-07-31</v>
      </c>
    </row>
    <row r="1726" spans="1:15" x14ac:dyDescent="0.2">
      <c r="A1726" s="21" t="str">
        <f t="shared" si="182"/>
        <v>y</v>
      </c>
      <c r="B1726" s="24" t="s">
        <v>1846</v>
      </c>
      <c r="C1726" t="s">
        <v>365</v>
      </c>
      <c r="D1726" t="s">
        <v>13</v>
      </c>
      <c r="E1726" t="s">
        <v>8</v>
      </c>
      <c r="F1726" t="s">
        <v>29</v>
      </c>
      <c r="G1726" t="s">
        <v>452</v>
      </c>
      <c r="H1726" t="s">
        <v>1988</v>
      </c>
      <c r="I1726" s="22" t="str">
        <f t="shared" si="183"/>
        <v>2019-07-30</v>
      </c>
      <c r="J1726" s="23" t="str">
        <f t="shared" si="184"/>
        <v>30</v>
      </c>
      <c r="K1726" t="str">
        <f t="shared" si="185"/>
        <v>no</v>
      </c>
      <c r="L1726">
        <v>30</v>
      </c>
      <c r="M1726" t="str">
        <f t="shared" si="186"/>
        <v>2019-07-30</v>
      </c>
      <c r="N1726" s="20" t="str">
        <f t="shared" si="187"/>
        <v>2019-07-30</v>
      </c>
      <c r="O1726" t="str">
        <f t="shared" si="188"/>
        <v>2019-07-30</v>
      </c>
    </row>
    <row r="1727" spans="1:15" x14ac:dyDescent="0.2">
      <c r="A1727" s="21" t="str">
        <f t="shared" si="182"/>
        <v>y</v>
      </c>
      <c r="B1727" s="24" t="s">
        <v>1847</v>
      </c>
      <c r="C1727" t="s">
        <v>220</v>
      </c>
      <c r="D1727" t="s">
        <v>13</v>
      </c>
      <c r="E1727" t="s">
        <v>34</v>
      </c>
      <c r="F1727" t="s">
        <v>2</v>
      </c>
      <c r="H1727" t="s">
        <v>2070</v>
      </c>
      <c r="I1727" s="22" t="str">
        <f t="shared" si="183"/>
        <v>2019-07-29</v>
      </c>
      <c r="J1727" s="23" t="str">
        <f t="shared" si="184"/>
        <v>29</v>
      </c>
      <c r="K1727" t="str">
        <f t="shared" si="185"/>
        <v>no</v>
      </c>
      <c r="L1727">
        <v>29</v>
      </c>
      <c r="M1727" t="str">
        <f t="shared" si="186"/>
        <v>2019-07-29</v>
      </c>
      <c r="N1727" s="20">
        <f t="shared" si="187"/>
        <v>43676</v>
      </c>
      <c r="O1727" t="str">
        <f t="shared" si="188"/>
        <v>2019-07-30</v>
      </c>
    </row>
    <row r="1728" spans="1:15" x14ac:dyDescent="0.2">
      <c r="A1728" s="21" t="str">
        <f t="shared" si="182"/>
        <v>y</v>
      </c>
      <c r="B1728" s="24" t="s">
        <v>1847</v>
      </c>
      <c r="C1728" t="s">
        <v>429</v>
      </c>
      <c r="D1728" t="s">
        <v>13</v>
      </c>
      <c r="E1728" t="s">
        <v>27</v>
      </c>
      <c r="F1728" t="s">
        <v>2</v>
      </c>
      <c r="H1728" t="s">
        <v>2057</v>
      </c>
      <c r="I1728" s="22" t="str">
        <f t="shared" si="183"/>
        <v>2019-07-29</v>
      </c>
      <c r="J1728" s="23" t="str">
        <f t="shared" si="184"/>
        <v>29</v>
      </c>
      <c r="K1728" t="str">
        <f t="shared" si="185"/>
        <v>no</v>
      </c>
      <c r="L1728">
        <v>29</v>
      </c>
      <c r="M1728" t="str">
        <f t="shared" si="186"/>
        <v>2019-07-29</v>
      </c>
      <c r="N1728" s="20">
        <f t="shared" si="187"/>
        <v>43676</v>
      </c>
      <c r="O1728" t="str">
        <f t="shared" si="188"/>
        <v>2019-07-30</v>
      </c>
    </row>
    <row r="1729" spans="1:15" x14ac:dyDescent="0.2">
      <c r="A1729" s="21" t="str">
        <f t="shared" si="182"/>
        <v>y</v>
      </c>
      <c r="B1729" s="24" t="s">
        <v>1847</v>
      </c>
      <c r="C1729" t="s">
        <v>429</v>
      </c>
      <c r="D1729" t="s">
        <v>13</v>
      </c>
      <c r="E1729" t="s">
        <v>4</v>
      </c>
      <c r="F1729" t="s">
        <v>29</v>
      </c>
      <c r="G1729" t="s">
        <v>451</v>
      </c>
      <c r="H1729" t="s">
        <v>2061</v>
      </c>
      <c r="I1729" s="22" t="str">
        <f t="shared" si="183"/>
        <v>2019-07-29</v>
      </c>
      <c r="J1729" s="23" t="str">
        <f t="shared" si="184"/>
        <v>29</v>
      </c>
      <c r="K1729" t="str">
        <f t="shared" si="185"/>
        <v>no</v>
      </c>
      <c r="L1729">
        <v>29</v>
      </c>
      <c r="M1729" t="str">
        <f t="shared" si="186"/>
        <v>2019-07-29</v>
      </c>
      <c r="N1729" s="20" t="str">
        <f t="shared" si="187"/>
        <v>2019-07-29</v>
      </c>
      <c r="O1729" t="str">
        <f t="shared" si="188"/>
        <v>2019-07-29</v>
      </c>
    </row>
    <row r="1730" spans="1:15" x14ac:dyDescent="0.2">
      <c r="A1730" s="21" t="str">
        <f t="shared" si="182"/>
        <v>y</v>
      </c>
      <c r="B1730" s="24" t="s">
        <v>1847</v>
      </c>
      <c r="C1730" t="s">
        <v>32</v>
      </c>
      <c r="D1730" t="s">
        <v>13</v>
      </c>
      <c r="E1730" t="s">
        <v>28</v>
      </c>
      <c r="F1730" t="s">
        <v>2</v>
      </c>
      <c r="G1730" t="s">
        <v>448</v>
      </c>
      <c r="H1730" t="s">
        <v>2061</v>
      </c>
      <c r="I1730" s="22" t="str">
        <f t="shared" si="183"/>
        <v>2019-07-29</v>
      </c>
      <c r="J1730" s="23" t="str">
        <f t="shared" si="184"/>
        <v>29</v>
      </c>
      <c r="K1730" t="str">
        <f t="shared" si="185"/>
        <v>no</v>
      </c>
      <c r="L1730">
        <v>29</v>
      </c>
      <c r="M1730" t="str">
        <f t="shared" si="186"/>
        <v>2019-07-29</v>
      </c>
      <c r="N1730" s="20">
        <f t="shared" si="187"/>
        <v>43676</v>
      </c>
      <c r="O1730" t="str">
        <f t="shared" si="188"/>
        <v>2019-07-30</v>
      </c>
    </row>
    <row r="1731" spans="1:15" x14ac:dyDescent="0.2">
      <c r="A1731" s="21" t="str">
        <f t="shared" si="182"/>
        <v>y</v>
      </c>
      <c r="B1731" s="24" t="s">
        <v>1847</v>
      </c>
      <c r="C1731" t="s">
        <v>151</v>
      </c>
      <c r="D1731" t="s">
        <v>13</v>
      </c>
      <c r="E1731" t="s">
        <v>42</v>
      </c>
      <c r="F1731" t="s">
        <v>29</v>
      </c>
      <c r="G1731" t="s">
        <v>449</v>
      </c>
      <c r="H1731" t="s">
        <v>2057</v>
      </c>
      <c r="I1731" s="22" t="str">
        <f t="shared" si="183"/>
        <v>2019-07-29</v>
      </c>
      <c r="J1731" s="23" t="str">
        <f t="shared" si="184"/>
        <v>29</v>
      </c>
      <c r="K1731" t="str">
        <f t="shared" si="185"/>
        <v>no</v>
      </c>
      <c r="L1731">
        <v>29</v>
      </c>
      <c r="M1731" t="str">
        <f t="shared" si="186"/>
        <v>2019-07-29</v>
      </c>
      <c r="N1731" s="20" t="str">
        <f t="shared" si="187"/>
        <v>2019-07-29</v>
      </c>
      <c r="O1731" t="str">
        <f t="shared" si="188"/>
        <v>2019-07-29</v>
      </c>
    </row>
    <row r="1732" spans="1:15" x14ac:dyDescent="0.2">
      <c r="A1732" s="21" t="str">
        <f t="shared" ref="A1732:A1795" si="189">IF(LEFT(B1732,2)&gt;12,"y","-")</f>
        <v>y</v>
      </c>
      <c r="B1732" s="24" t="s">
        <v>1847</v>
      </c>
      <c r="C1732" t="s">
        <v>446</v>
      </c>
      <c r="D1732" t="s">
        <v>13</v>
      </c>
      <c r="E1732" t="s">
        <v>4</v>
      </c>
      <c r="F1732" t="s">
        <v>29</v>
      </c>
      <c r="G1732" t="s">
        <v>450</v>
      </c>
      <c r="H1732" t="s">
        <v>2077</v>
      </c>
      <c r="I1732" s="22" t="str">
        <f t="shared" ref="I1732:I1795" si="190">IF(K1732="yes",TEXT(B1732,"YYYY-DD-MM"),TEXT(B1732,"YYYY-MM-DD"))</f>
        <v>2019-07-29</v>
      </c>
      <c r="J1732" s="23" t="str">
        <f t="shared" ref="J1732:J1795" si="191">LEFT(B1732,2)</f>
        <v>29</v>
      </c>
      <c r="K1732" t="str">
        <f t="shared" ref="K1732:K1795" si="192">IF(L1732&gt;31,"yes","no")</f>
        <v>no</v>
      </c>
      <c r="L1732">
        <v>29</v>
      </c>
      <c r="M1732" t="str">
        <f t="shared" ref="M1732:M1795" si="193">I1732</f>
        <v>2019-07-29</v>
      </c>
      <c r="N1732" s="20" t="str">
        <f t="shared" ref="N1732:N1795" si="194">IF(F1732="DONE",M1732,M1732+1)</f>
        <v>2019-07-29</v>
      </c>
      <c r="O1732" t="str">
        <f t="shared" ref="O1732:O1795" si="195">TEXT(N1732,"YYYY-MM-DD")</f>
        <v>2019-07-29</v>
      </c>
    </row>
    <row r="1733" spans="1:15" x14ac:dyDescent="0.2">
      <c r="A1733" s="21" t="str">
        <f t="shared" si="189"/>
        <v>y</v>
      </c>
      <c r="B1733" s="24" t="s">
        <v>1847</v>
      </c>
      <c r="C1733" t="s">
        <v>365</v>
      </c>
      <c r="D1733" t="s">
        <v>13</v>
      </c>
      <c r="E1733" t="s">
        <v>8</v>
      </c>
      <c r="F1733" t="s">
        <v>29</v>
      </c>
      <c r="G1733" t="s">
        <v>447</v>
      </c>
      <c r="H1733" t="s">
        <v>2070</v>
      </c>
      <c r="I1733" s="22" t="str">
        <f t="shared" si="190"/>
        <v>2019-07-29</v>
      </c>
      <c r="J1733" s="23" t="str">
        <f t="shared" si="191"/>
        <v>29</v>
      </c>
      <c r="K1733" t="str">
        <f t="shared" si="192"/>
        <v>no</v>
      </c>
      <c r="L1733">
        <v>29</v>
      </c>
      <c r="M1733" t="str">
        <f t="shared" si="193"/>
        <v>2019-07-29</v>
      </c>
      <c r="N1733" s="20" t="str">
        <f t="shared" si="194"/>
        <v>2019-07-29</v>
      </c>
      <c r="O1733" t="str">
        <f t="shared" si="195"/>
        <v>2019-07-29</v>
      </c>
    </row>
    <row r="1734" spans="1:15" x14ac:dyDescent="0.2">
      <c r="A1734" s="21" t="str">
        <f t="shared" si="189"/>
        <v>y</v>
      </c>
      <c r="B1734" s="24" t="s">
        <v>1848</v>
      </c>
      <c r="C1734" t="s">
        <v>220</v>
      </c>
      <c r="D1734" t="s">
        <v>13</v>
      </c>
      <c r="E1734" t="s">
        <v>34</v>
      </c>
      <c r="F1734" t="s">
        <v>2</v>
      </c>
      <c r="H1734" t="s">
        <v>2057</v>
      </c>
      <c r="I1734" s="22" t="str">
        <f t="shared" si="190"/>
        <v>2019-07-28</v>
      </c>
      <c r="J1734" s="23" t="str">
        <f t="shared" si="191"/>
        <v>28</v>
      </c>
      <c r="K1734" t="str">
        <f t="shared" si="192"/>
        <v>no</v>
      </c>
      <c r="L1734">
        <v>28</v>
      </c>
      <c r="M1734" t="str">
        <f t="shared" si="193"/>
        <v>2019-07-28</v>
      </c>
      <c r="N1734" s="20">
        <f t="shared" si="194"/>
        <v>43675</v>
      </c>
      <c r="O1734" t="str">
        <f t="shared" si="195"/>
        <v>2019-07-29</v>
      </c>
    </row>
    <row r="1735" spans="1:15" x14ac:dyDescent="0.2">
      <c r="A1735" s="21" t="str">
        <f t="shared" si="189"/>
        <v>y</v>
      </c>
      <c r="B1735" s="24" t="s">
        <v>1848</v>
      </c>
      <c r="C1735" t="s">
        <v>429</v>
      </c>
      <c r="D1735" t="s">
        <v>13</v>
      </c>
      <c r="E1735" t="s">
        <v>27</v>
      </c>
      <c r="F1735" t="s">
        <v>2</v>
      </c>
      <c r="H1735" t="s">
        <v>2019</v>
      </c>
      <c r="I1735" s="22" t="str">
        <f t="shared" si="190"/>
        <v>2019-07-28</v>
      </c>
      <c r="J1735" s="23" t="str">
        <f t="shared" si="191"/>
        <v>28</v>
      </c>
      <c r="K1735" t="str">
        <f t="shared" si="192"/>
        <v>no</v>
      </c>
      <c r="L1735">
        <v>28</v>
      </c>
      <c r="M1735" t="str">
        <f t="shared" si="193"/>
        <v>2019-07-28</v>
      </c>
      <c r="N1735" s="20">
        <f t="shared" si="194"/>
        <v>43675</v>
      </c>
      <c r="O1735" t="str">
        <f t="shared" si="195"/>
        <v>2019-07-29</v>
      </c>
    </row>
    <row r="1736" spans="1:15" x14ac:dyDescent="0.2">
      <c r="A1736" s="21" t="str">
        <f t="shared" si="189"/>
        <v>y</v>
      </c>
      <c r="B1736" s="24" t="s">
        <v>1848</v>
      </c>
      <c r="C1736" t="s">
        <v>32</v>
      </c>
      <c r="D1736" t="s">
        <v>13</v>
      </c>
      <c r="E1736" t="s">
        <v>28</v>
      </c>
      <c r="F1736" t="s">
        <v>2</v>
      </c>
      <c r="G1736" t="s">
        <v>444</v>
      </c>
      <c r="H1736" t="s">
        <v>2061</v>
      </c>
      <c r="I1736" s="22" t="str">
        <f t="shared" si="190"/>
        <v>2019-07-28</v>
      </c>
      <c r="J1736" s="23" t="str">
        <f t="shared" si="191"/>
        <v>28</v>
      </c>
      <c r="K1736" t="str">
        <f t="shared" si="192"/>
        <v>no</v>
      </c>
      <c r="L1736">
        <v>28</v>
      </c>
      <c r="M1736" t="str">
        <f t="shared" si="193"/>
        <v>2019-07-28</v>
      </c>
      <c r="N1736" s="20">
        <f t="shared" si="194"/>
        <v>43675</v>
      </c>
      <c r="O1736" t="str">
        <f t="shared" si="195"/>
        <v>2019-07-29</v>
      </c>
    </row>
    <row r="1737" spans="1:15" x14ac:dyDescent="0.2">
      <c r="A1737" s="21" t="str">
        <f t="shared" si="189"/>
        <v>y</v>
      </c>
      <c r="B1737" s="24" t="s">
        <v>1848</v>
      </c>
      <c r="C1737" t="s">
        <v>151</v>
      </c>
      <c r="D1737" t="s">
        <v>13</v>
      </c>
      <c r="E1737" t="s">
        <v>42</v>
      </c>
      <c r="F1737" t="s">
        <v>2</v>
      </c>
      <c r="G1737" t="s">
        <v>445</v>
      </c>
      <c r="H1737" t="s">
        <v>2034</v>
      </c>
      <c r="I1737" s="22" t="str">
        <f t="shared" si="190"/>
        <v>2019-07-28</v>
      </c>
      <c r="J1737" s="23" t="str">
        <f t="shared" si="191"/>
        <v>28</v>
      </c>
      <c r="K1737" t="str">
        <f t="shared" si="192"/>
        <v>no</v>
      </c>
      <c r="L1737">
        <v>28</v>
      </c>
      <c r="M1737" t="str">
        <f t="shared" si="193"/>
        <v>2019-07-28</v>
      </c>
      <c r="N1737" s="20">
        <f t="shared" si="194"/>
        <v>43675</v>
      </c>
      <c r="O1737" t="str">
        <f t="shared" si="195"/>
        <v>2019-07-29</v>
      </c>
    </row>
    <row r="1738" spans="1:15" x14ac:dyDescent="0.2">
      <c r="A1738" s="21" t="str">
        <f t="shared" si="189"/>
        <v>y</v>
      </c>
      <c r="B1738" s="24" t="s">
        <v>1849</v>
      </c>
      <c r="C1738" t="s">
        <v>220</v>
      </c>
      <c r="D1738" t="s">
        <v>13</v>
      </c>
      <c r="E1738" t="s">
        <v>34</v>
      </c>
      <c r="F1738" t="s">
        <v>2</v>
      </c>
      <c r="H1738" t="s">
        <v>2070</v>
      </c>
      <c r="I1738" s="22" t="str">
        <f t="shared" si="190"/>
        <v>2019-07-25</v>
      </c>
      <c r="J1738" s="23" t="str">
        <f t="shared" si="191"/>
        <v>25</v>
      </c>
      <c r="K1738" t="str">
        <f t="shared" si="192"/>
        <v>no</v>
      </c>
      <c r="L1738">
        <v>25</v>
      </c>
      <c r="M1738" t="str">
        <f t="shared" si="193"/>
        <v>2019-07-25</v>
      </c>
      <c r="N1738" s="20">
        <f t="shared" si="194"/>
        <v>43672</v>
      </c>
      <c r="O1738" t="str">
        <f t="shared" si="195"/>
        <v>2019-07-26</v>
      </c>
    </row>
    <row r="1739" spans="1:15" x14ac:dyDescent="0.2">
      <c r="A1739" s="21" t="str">
        <f t="shared" si="189"/>
        <v>y</v>
      </c>
      <c r="B1739" s="24" t="s">
        <v>1849</v>
      </c>
      <c r="C1739" t="s">
        <v>220</v>
      </c>
      <c r="D1739" t="s">
        <v>13</v>
      </c>
      <c r="E1739" t="s">
        <v>43</v>
      </c>
      <c r="F1739" t="s">
        <v>29</v>
      </c>
      <c r="G1739" t="s">
        <v>440</v>
      </c>
      <c r="H1739" t="s">
        <v>2057</v>
      </c>
      <c r="I1739" s="22" t="str">
        <f t="shared" si="190"/>
        <v>2019-07-25</v>
      </c>
      <c r="J1739" s="23" t="str">
        <f t="shared" si="191"/>
        <v>25</v>
      </c>
      <c r="K1739" t="str">
        <f t="shared" si="192"/>
        <v>no</v>
      </c>
      <c r="L1739">
        <v>25</v>
      </c>
      <c r="M1739" t="str">
        <f t="shared" si="193"/>
        <v>2019-07-25</v>
      </c>
      <c r="N1739" s="20" t="str">
        <f t="shared" si="194"/>
        <v>2019-07-25</v>
      </c>
      <c r="O1739" t="str">
        <f t="shared" si="195"/>
        <v>2019-07-25</v>
      </c>
    </row>
    <row r="1740" spans="1:15" x14ac:dyDescent="0.2">
      <c r="A1740" s="21" t="str">
        <f t="shared" si="189"/>
        <v>y</v>
      </c>
      <c r="B1740" s="24" t="s">
        <v>1849</v>
      </c>
      <c r="C1740" t="s">
        <v>365</v>
      </c>
      <c r="D1740" t="s">
        <v>13</v>
      </c>
      <c r="E1740" t="s">
        <v>8</v>
      </c>
      <c r="F1740" t="s">
        <v>29</v>
      </c>
      <c r="G1740" t="s">
        <v>442</v>
      </c>
      <c r="H1740" t="s">
        <v>2019</v>
      </c>
      <c r="I1740" s="22" t="str">
        <f t="shared" si="190"/>
        <v>2019-07-25</v>
      </c>
      <c r="J1740" s="23" t="str">
        <f t="shared" si="191"/>
        <v>25</v>
      </c>
      <c r="K1740" t="str">
        <f t="shared" si="192"/>
        <v>no</v>
      </c>
      <c r="L1740">
        <v>25</v>
      </c>
      <c r="M1740" t="str">
        <f t="shared" si="193"/>
        <v>2019-07-25</v>
      </c>
      <c r="N1740" s="20" t="str">
        <f t="shared" si="194"/>
        <v>2019-07-25</v>
      </c>
      <c r="O1740" t="str">
        <f t="shared" si="195"/>
        <v>2019-07-25</v>
      </c>
    </row>
    <row r="1741" spans="1:15" x14ac:dyDescent="0.2">
      <c r="A1741" s="21" t="str">
        <f t="shared" si="189"/>
        <v>y</v>
      </c>
      <c r="B1741" s="24" t="s">
        <v>1849</v>
      </c>
      <c r="C1741" t="s">
        <v>365</v>
      </c>
      <c r="D1741" t="s">
        <v>13</v>
      </c>
      <c r="E1741" t="s">
        <v>43</v>
      </c>
      <c r="F1741" t="s">
        <v>29</v>
      </c>
      <c r="G1741" t="s">
        <v>440</v>
      </c>
      <c r="H1741" t="s">
        <v>2061</v>
      </c>
      <c r="I1741" s="22" t="str">
        <f t="shared" si="190"/>
        <v>2019-07-25</v>
      </c>
      <c r="J1741" s="23" t="str">
        <f t="shared" si="191"/>
        <v>25</v>
      </c>
      <c r="K1741" t="str">
        <f t="shared" si="192"/>
        <v>no</v>
      </c>
      <c r="L1741">
        <v>25</v>
      </c>
      <c r="M1741" t="str">
        <f t="shared" si="193"/>
        <v>2019-07-25</v>
      </c>
      <c r="N1741" s="20" t="str">
        <f t="shared" si="194"/>
        <v>2019-07-25</v>
      </c>
      <c r="O1741" t="str">
        <f t="shared" si="195"/>
        <v>2019-07-25</v>
      </c>
    </row>
    <row r="1742" spans="1:15" x14ac:dyDescent="0.2">
      <c r="A1742" s="21" t="str">
        <f t="shared" si="189"/>
        <v>y</v>
      </c>
      <c r="B1742" s="24" t="s">
        <v>1849</v>
      </c>
      <c r="C1742" t="s">
        <v>429</v>
      </c>
      <c r="D1742" t="s">
        <v>13</v>
      </c>
      <c r="E1742" t="s">
        <v>27</v>
      </c>
      <c r="F1742" t="s">
        <v>2</v>
      </c>
      <c r="G1742" t="s">
        <v>441</v>
      </c>
      <c r="H1742" t="s">
        <v>2080</v>
      </c>
      <c r="I1742" s="22" t="str">
        <f t="shared" si="190"/>
        <v>2019-07-25</v>
      </c>
      <c r="J1742" s="23" t="str">
        <f t="shared" si="191"/>
        <v>25</v>
      </c>
      <c r="K1742" t="str">
        <f t="shared" si="192"/>
        <v>no</v>
      </c>
      <c r="L1742">
        <v>25</v>
      </c>
      <c r="M1742" t="str">
        <f t="shared" si="193"/>
        <v>2019-07-25</v>
      </c>
      <c r="N1742" s="20">
        <f t="shared" si="194"/>
        <v>43672</v>
      </c>
      <c r="O1742" t="str">
        <f t="shared" si="195"/>
        <v>2019-07-26</v>
      </c>
    </row>
    <row r="1743" spans="1:15" x14ac:dyDescent="0.2">
      <c r="A1743" s="21" t="str">
        <f t="shared" si="189"/>
        <v>y</v>
      </c>
      <c r="B1743" s="24" t="s">
        <v>1849</v>
      </c>
      <c r="C1743" t="s">
        <v>145</v>
      </c>
      <c r="D1743" t="s">
        <v>13</v>
      </c>
      <c r="E1743" t="s">
        <v>27</v>
      </c>
      <c r="F1743" t="s">
        <v>29</v>
      </c>
      <c r="G1743" t="s">
        <v>443</v>
      </c>
      <c r="H1743" t="s">
        <v>2070</v>
      </c>
      <c r="I1743" s="22" t="str">
        <f t="shared" si="190"/>
        <v>2019-07-25</v>
      </c>
      <c r="J1743" s="23" t="str">
        <f t="shared" si="191"/>
        <v>25</v>
      </c>
      <c r="K1743" t="str">
        <f t="shared" si="192"/>
        <v>no</v>
      </c>
      <c r="L1743">
        <v>25</v>
      </c>
      <c r="M1743" t="str">
        <f t="shared" si="193"/>
        <v>2019-07-25</v>
      </c>
      <c r="N1743" s="20" t="str">
        <f t="shared" si="194"/>
        <v>2019-07-25</v>
      </c>
      <c r="O1743" t="str">
        <f t="shared" si="195"/>
        <v>2019-07-25</v>
      </c>
    </row>
    <row r="1744" spans="1:15" x14ac:dyDescent="0.2">
      <c r="A1744" s="21" t="str">
        <f t="shared" si="189"/>
        <v>y</v>
      </c>
      <c r="B1744" s="24" t="s">
        <v>1850</v>
      </c>
      <c r="C1744" t="s">
        <v>220</v>
      </c>
      <c r="D1744" t="s">
        <v>13</v>
      </c>
      <c r="E1744" t="s">
        <v>34</v>
      </c>
      <c r="F1744" t="s">
        <v>2</v>
      </c>
      <c r="H1744" t="s">
        <v>2057</v>
      </c>
      <c r="I1744" s="22" t="str">
        <f t="shared" si="190"/>
        <v>2019-07-24</v>
      </c>
      <c r="J1744" s="23" t="str">
        <f t="shared" si="191"/>
        <v>24</v>
      </c>
      <c r="K1744" t="str">
        <f t="shared" si="192"/>
        <v>no</v>
      </c>
      <c r="L1744">
        <v>24</v>
      </c>
      <c r="M1744" t="str">
        <f t="shared" si="193"/>
        <v>2019-07-24</v>
      </c>
      <c r="N1744" s="20">
        <f t="shared" si="194"/>
        <v>43671</v>
      </c>
      <c r="O1744" t="str">
        <f t="shared" si="195"/>
        <v>2019-07-25</v>
      </c>
    </row>
    <row r="1745" spans="1:15" x14ac:dyDescent="0.2">
      <c r="A1745" s="21" t="str">
        <f t="shared" si="189"/>
        <v>y</v>
      </c>
      <c r="B1745" s="24" t="s">
        <v>1850</v>
      </c>
      <c r="C1745" t="s">
        <v>365</v>
      </c>
      <c r="D1745" t="s">
        <v>13</v>
      </c>
      <c r="E1745" t="s">
        <v>8</v>
      </c>
      <c r="F1745" t="s">
        <v>2</v>
      </c>
      <c r="G1745" t="s">
        <v>437</v>
      </c>
      <c r="H1745" t="s">
        <v>2019</v>
      </c>
      <c r="I1745" s="22" t="str">
        <f t="shared" si="190"/>
        <v>2019-07-24</v>
      </c>
      <c r="J1745" s="23" t="str">
        <f t="shared" si="191"/>
        <v>24</v>
      </c>
      <c r="K1745" t="str">
        <f t="shared" si="192"/>
        <v>no</v>
      </c>
      <c r="L1745">
        <v>24</v>
      </c>
      <c r="M1745" t="str">
        <f t="shared" si="193"/>
        <v>2019-07-24</v>
      </c>
      <c r="N1745" s="20">
        <f t="shared" si="194"/>
        <v>43671</v>
      </c>
      <c r="O1745" t="str">
        <f t="shared" si="195"/>
        <v>2019-07-25</v>
      </c>
    </row>
    <row r="1746" spans="1:15" x14ac:dyDescent="0.2">
      <c r="A1746" s="21" t="str">
        <f t="shared" si="189"/>
        <v>y</v>
      </c>
      <c r="B1746" s="24" t="s">
        <v>1850</v>
      </c>
      <c r="C1746" t="s">
        <v>32</v>
      </c>
      <c r="D1746" t="s">
        <v>13</v>
      </c>
      <c r="E1746" t="s">
        <v>21</v>
      </c>
      <c r="F1746" t="s">
        <v>29</v>
      </c>
      <c r="G1746" t="s">
        <v>436</v>
      </c>
      <c r="H1746" t="s">
        <v>2061</v>
      </c>
      <c r="I1746" s="22" t="str">
        <f t="shared" si="190"/>
        <v>2019-07-24</v>
      </c>
      <c r="J1746" s="23" t="str">
        <f t="shared" si="191"/>
        <v>24</v>
      </c>
      <c r="K1746" t="str">
        <f t="shared" si="192"/>
        <v>no</v>
      </c>
      <c r="L1746">
        <v>24</v>
      </c>
      <c r="M1746" t="str">
        <f t="shared" si="193"/>
        <v>2019-07-24</v>
      </c>
      <c r="N1746" s="20" t="str">
        <f t="shared" si="194"/>
        <v>2019-07-24</v>
      </c>
      <c r="O1746" t="str">
        <f t="shared" si="195"/>
        <v>2019-07-24</v>
      </c>
    </row>
    <row r="1747" spans="1:15" x14ac:dyDescent="0.2">
      <c r="A1747" s="21" t="str">
        <f t="shared" si="189"/>
        <v>y</v>
      </c>
      <c r="B1747" s="24" t="s">
        <v>1850</v>
      </c>
      <c r="C1747" t="s">
        <v>429</v>
      </c>
      <c r="D1747" t="s">
        <v>13</v>
      </c>
      <c r="E1747" t="s">
        <v>27</v>
      </c>
      <c r="F1747" t="s">
        <v>2</v>
      </c>
      <c r="G1747" t="s">
        <v>438</v>
      </c>
      <c r="H1747" t="s">
        <v>2080</v>
      </c>
      <c r="I1747" s="22" t="str">
        <f t="shared" si="190"/>
        <v>2019-07-24</v>
      </c>
      <c r="J1747" s="23" t="str">
        <f t="shared" si="191"/>
        <v>24</v>
      </c>
      <c r="K1747" t="str">
        <f t="shared" si="192"/>
        <v>no</v>
      </c>
      <c r="L1747">
        <v>24</v>
      </c>
      <c r="M1747" t="str">
        <f t="shared" si="193"/>
        <v>2019-07-24</v>
      </c>
      <c r="N1747" s="20">
        <f t="shared" si="194"/>
        <v>43671</v>
      </c>
      <c r="O1747" t="str">
        <f t="shared" si="195"/>
        <v>2019-07-25</v>
      </c>
    </row>
    <row r="1748" spans="1:15" x14ac:dyDescent="0.2">
      <c r="A1748" s="21" t="str">
        <f t="shared" si="189"/>
        <v>y</v>
      </c>
      <c r="B1748" s="24" t="s">
        <v>1850</v>
      </c>
      <c r="C1748" t="s">
        <v>352</v>
      </c>
      <c r="D1748" t="s">
        <v>13</v>
      </c>
      <c r="E1748" t="s">
        <v>27</v>
      </c>
      <c r="F1748" t="s">
        <v>29</v>
      </c>
      <c r="G1748" t="s">
        <v>439</v>
      </c>
      <c r="H1748" t="s">
        <v>2061</v>
      </c>
      <c r="I1748" s="22" t="str">
        <f t="shared" si="190"/>
        <v>2019-07-24</v>
      </c>
      <c r="J1748" s="23" t="str">
        <f t="shared" si="191"/>
        <v>24</v>
      </c>
      <c r="K1748" t="str">
        <f t="shared" si="192"/>
        <v>no</v>
      </c>
      <c r="L1748">
        <v>24</v>
      </c>
      <c r="M1748" t="str">
        <f t="shared" si="193"/>
        <v>2019-07-24</v>
      </c>
      <c r="N1748" s="20" t="str">
        <f t="shared" si="194"/>
        <v>2019-07-24</v>
      </c>
      <c r="O1748" t="str">
        <f t="shared" si="195"/>
        <v>2019-07-24</v>
      </c>
    </row>
    <row r="1749" spans="1:15" x14ac:dyDescent="0.2">
      <c r="A1749" s="21" t="str">
        <f t="shared" si="189"/>
        <v>y</v>
      </c>
      <c r="B1749" s="24" t="s">
        <v>1851</v>
      </c>
      <c r="C1749" t="s">
        <v>220</v>
      </c>
      <c r="D1749" t="s">
        <v>13</v>
      </c>
      <c r="E1749" t="s">
        <v>34</v>
      </c>
      <c r="F1749" t="s">
        <v>2</v>
      </c>
      <c r="G1749" t="s">
        <v>435</v>
      </c>
      <c r="H1749" t="s">
        <v>2057</v>
      </c>
      <c r="I1749" s="22" t="str">
        <f t="shared" si="190"/>
        <v>2019-07-23</v>
      </c>
      <c r="J1749" s="23" t="str">
        <f t="shared" si="191"/>
        <v>23</v>
      </c>
      <c r="K1749" t="str">
        <f t="shared" si="192"/>
        <v>no</v>
      </c>
      <c r="L1749">
        <v>23</v>
      </c>
      <c r="M1749" t="str">
        <f t="shared" si="193"/>
        <v>2019-07-23</v>
      </c>
      <c r="N1749" s="20">
        <f t="shared" si="194"/>
        <v>43670</v>
      </c>
      <c r="O1749" t="str">
        <f t="shared" si="195"/>
        <v>2019-07-24</v>
      </c>
    </row>
    <row r="1750" spans="1:15" x14ac:dyDescent="0.2">
      <c r="A1750" s="21" t="str">
        <f t="shared" si="189"/>
        <v>y</v>
      </c>
      <c r="B1750" s="24" t="s">
        <v>1851</v>
      </c>
      <c r="C1750" t="s">
        <v>365</v>
      </c>
      <c r="D1750" t="s">
        <v>13</v>
      </c>
      <c r="E1750" t="s">
        <v>8</v>
      </c>
      <c r="F1750" t="s">
        <v>29</v>
      </c>
      <c r="G1750" t="s">
        <v>434</v>
      </c>
      <c r="H1750" t="s">
        <v>2019</v>
      </c>
      <c r="I1750" s="22" t="str">
        <f t="shared" si="190"/>
        <v>2019-07-23</v>
      </c>
      <c r="J1750" s="23" t="str">
        <f t="shared" si="191"/>
        <v>23</v>
      </c>
      <c r="K1750" t="str">
        <f t="shared" si="192"/>
        <v>no</v>
      </c>
      <c r="L1750">
        <v>23</v>
      </c>
      <c r="M1750" t="str">
        <f t="shared" si="193"/>
        <v>2019-07-23</v>
      </c>
      <c r="N1750" s="20" t="str">
        <f t="shared" si="194"/>
        <v>2019-07-23</v>
      </c>
      <c r="O1750" t="str">
        <f t="shared" si="195"/>
        <v>2019-07-23</v>
      </c>
    </row>
    <row r="1751" spans="1:15" x14ac:dyDescent="0.2">
      <c r="A1751" s="21" t="str">
        <f t="shared" si="189"/>
        <v>y</v>
      </c>
      <c r="B1751" s="24" t="s">
        <v>1851</v>
      </c>
      <c r="C1751" t="s">
        <v>32</v>
      </c>
      <c r="D1751" t="s">
        <v>13</v>
      </c>
      <c r="E1751" t="s">
        <v>28</v>
      </c>
      <c r="F1751" t="s">
        <v>2</v>
      </c>
      <c r="G1751" t="s">
        <v>433</v>
      </c>
      <c r="H1751" t="s">
        <v>2083</v>
      </c>
      <c r="I1751" s="22" t="str">
        <f t="shared" si="190"/>
        <v>2019-07-23</v>
      </c>
      <c r="J1751" s="23" t="str">
        <f t="shared" si="191"/>
        <v>23</v>
      </c>
      <c r="K1751" t="str">
        <f t="shared" si="192"/>
        <v>no</v>
      </c>
      <c r="L1751">
        <v>23</v>
      </c>
      <c r="M1751" t="str">
        <f t="shared" si="193"/>
        <v>2019-07-23</v>
      </c>
      <c r="N1751" s="20">
        <f t="shared" si="194"/>
        <v>43670</v>
      </c>
      <c r="O1751" t="str">
        <f t="shared" si="195"/>
        <v>2019-07-24</v>
      </c>
    </row>
    <row r="1752" spans="1:15" x14ac:dyDescent="0.2">
      <c r="A1752" s="21" t="str">
        <f t="shared" si="189"/>
        <v>y</v>
      </c>
      <c r="B1752" s="24" t="s">
        <v>1851</v>
      </c>
      <c r="C1752" t="s">
        <v>426</v>
      </c>
      <c r="D1752" t="s">
        <v>13</v>
      </c>
      <c r="E1752" t="s">
        <v>27</v>
      </c>
      <c r="F1752" t="s">
        <v>29</v>
      </c>
      <c r="G1752" t="s">
        <v>432</v>
      </c>
      <c r="H1752" t="s">
        <v>2061</v>
      </c>
      <c r="I1752" s="22" t="str">
        <f t="shared" si="190"/>
        <v>2019-07-23</v>
      </c>
      <c r="J1752" s="23" t="str">
        <f t="shared" si="191"/>
        <v>23</v>
      </c>
      <c r="K1752" t="str">
        <f t="shared" si="192"/>
        <v>no</v>
      </c>
      <c r="L1752">
        <v>23</v>
      </c>
      <c r="M1752" t="str">
        <f t="shared" si="193"/>
        <v>2019-07-23</v>
      </c>
      <c r="N1752" s="20" t="str">
        <f t="shared" si="194"/>
        <v>2019-07-23</v>
      </c>
      <c r="O1752" t="str">
        <f t="shared" si="195"/>
        <v>2019-07-23</v>
      </c>
    </row>
    <row r="1753" spans="1:15" x14ac:dyDescent="0.2">
      <c r="A1753" s="21" t="str">
        <f t="shared" si="189"/>
        <v>y</v>
      </c>
      <c r="B1753" s="24" t="s">
        <v>1851</v>
      </c>
      <c r="C1753" t="s">
        <v>429</v>
      </c>
      <c r="D1753" t="s">
        <v>13</v>
      </c>
      <c r="E1753" t="s">
        <v>4</v>
      </c>
      <c r="F1753" t="s">
        <v>29</v>
      </c>
      <c r="G1753" t="s">
        <v>431</v>
      </c>
      <c r="H1753" t="s">
        <v>2061</v>
      </c>
      <c r="I1753" s="22" t="str">
        <f t="shared" si="190"/>
        <v>2019-07-23</v>
      </c>
      <c r="J1753" s="23" t="str">
        <f t="shared" si="191"/>
        <v>23</v>
      </c>
      <c r="K1753" t="str">
        <f t="shared" si="192"/>
        <v>no</v>
      </c>
      <c r="L1753">
        <v>23</v>
      </c>
      <c r="M1753" t="str">
        <f t="shared" si="193"/>
        <v>2019-07-23</v>
      </c>
      <c r="N1753" s="20" t="str">
        <f t="shared" si="194"/>
        <v>2019-07-23</v>
      </c>
      <c r="O1753" t="str">
        <f t="shared" si="195"/>
        <v>2019-07-23</v>
      </c>
    </row>
    <row r="1754" spans="1:15" x14ac:dyDescent="0.2">
      <c r="A1754" s="21" t="str">
        <f t="shared" si="189"/>
        <v>y</v>
      </c>
      <c r="B1754" s="24" t="s">
        <v>1851</v>
      </c>
      <c r="C1754" t="s">
        <v>429</v>
      </c>
      <c r="D1754" t="s">
        <v>13</v>
      </c>
      <c r="E1754" t="s">
        <v>8</v>
      </c>
      <c r="F1754" t="s">
        <v>2</v>
      </c>
      <c r="G1754" t="s">
        <v>430</v>
      </c>
      <c r="H1754" t="s">
        <v>2057</v>
      </c>
      <c r="I1754" s="22" t="str">
        <f t="shared" si="190"/>
        <v>2019-07-23</v>
      </c>
      <c r="J1754" s="23" t="str">
        <f t="shared" si="191"/>
        <v>23</v>
      </c>
      <c r="K1754" t="str">
        <f t="shared" si="192"/>
        <v>no</v>
      </c>
      <c r="L1754">
        <v>23</v>
      </c>
      <c r="M1754" t="str">
        <f t="shared" si="193"/>
        <v>2019-07-23</v>
      </c>
      <c r="N1754" s="20">
        <f t="shared" si="194"/>
        <v>43670</v>
      </c>
      <c r="O1754" t="str">
        <f t="shared" si="195"/>
        <v>2019-07-24</v>
      </c>
    </row>
    <row r="1755" spans="1:15" x14ac:dyDescent="0.2">
      <c r="A1755" s="21" t="str">
        <f t="shared" si="189"/>
        <v>y</v>
      </c>
      <c r="B1755" s="24" t="s">
        <v>1852</v>
      </c>
      <c r="C1755" t="s">
        <v>220</v>
      </c>
      <c r="D1755" t="s">
        <v>13</v>
      </c>
      <c r="E1755" t="s">
        <v>34</v>
      </c>
      <c r="F1755" t="s">
        <v>2</v>
      </c>
      <c r="H1755" t="s">
        <v>2019</v>
      </c>
      <c r="I1755" s="22" t="str">
        <f t="shared" si="190"/>
        <v>2019-07-22</v>
      </c>
      <c r="J1755" s="23" t="str">
        <f t="shared" si="191"/>
        <v>22</v>
      </c>
      <c r="K1755" t="str">
        <f t="shared" si="192"/>
        <v>no</v>
      </c>
      <c r="L1755">
        <v>22</v>
      </c>
      <c r="M1755" t="str">
        <f t="shared" si="193"/>
        <v>2019-07-22</v>
      </c>
      <c r="N1755" s="20">
        <f t="shared" si="194"/>
        <v>43669</v>
      </c>
      <c r="O1755" t="str">
        <f t="shared" si="195"/>
        <v>2019-07-23</v>
      </c>
    </row>
    <row r="1756" spans="1:15" x14ac:dyDescent="0.2">
      <c r="A1756" s="21" t="str">
        <f t="shared" si="189"/>
        <v>y</v>
      </c>
      <c r="B1756" s="24" t="s">
        <v>1852</v>
      </c>
      <c r="C1756" t="s">
        <v>365</v>
      </c>
      <c r="D1756" t="s">
        <v>13</v>
      </c>
      <c r="E1756" t="s">
        <v>27</v>
      </c>
      <c r="F1756" t="s">
        <v>29</v>
      </c>
      <c r="G1756" t="s">
        <v>427</v>
      </c>
      <c r="H1756" t="s">
        <v>2083</v>
      </c>
      <c r="I1756" s="22" t="str">
        <f t="shared" si="190"/>
        <v>2019-07-22</v>
      </c>
      <c r="J1756" s="23" t="str">
        <f t="shared" si="191"/>
        <v>22</v>
      </c>
      <c r="K1756" t="str">
        <f t="shared" si="192"/>
        <v>no</v>
      </c>
      <c r="L1756">
        <v>22</v>
      </c>
      <c r="M1756" t="str">
        <f t="shared" si="193"/>
        <v>2019-07-22</v>
      </c>
      <c r="N1756" s="20" t="str">
        <f t="shared" si="194"/>
        <v>2019-07-22</v>
      </c>
      <c r="O1756" t="str">
        <f t="shared" si="195"/>
        <v>2019-07-22</v>
      </c>
    </row>
    <row r="1757" spans="1:15" x14ac:dyDescent="0.2">
      <c r="A1757" s="21" t="str">
        <f t="shared" si="189"/>
        <v>y</v>
      </c>
      <c r="B1757" s="24" t="s">
        <v>1852</v>
      </c>
      <c r="C1757" t="s">
        <v>32</v>
      </c>
      <c r="D1757" t="s">
        <v>13</v>
      </c>
      <c r="E1757" t="s">
        <v>28</v>
      </c>
      <c r="F1757" t="s">
        <v>2</v>
      </c>
      <c r="G1757" t="s">
        <v>428</v>
      </c>
      <c r="H1757" t="s">
        <v>2061</v>
      </c>
      <c r="I1757" s="22" t="str">
        <f t="shared" si="190"/>
        <v>2019-07-22</v>
      </c>
      <c r="J1757" s="23" t="str">
        <f t="shared" si="191"/>
        <v>22</v>
      </c>
      <c r="K1757" t="str">
        <f t="shared" si="192"/>
        <v>no</v>
      </c>
      <c r="L1757">
        <v>22</v>
      </c>
      <c r="M1757" t="str">
        <f t="shared" si="193"/>
        <v>2019-07-22</v>
      </c>
      <c r="N1757" s="20">
        <f t="shared" si="194"/>
        <v>43669</v>
      </c>
      <c r="O1757" t="str">
        <f t="shared" si="195"/>
        <v>2019-07-23</v>
      </c>
    </row>
    <row r="1758" spans="1:15" x14ac:dyDescent="0.2">
      <c r="A1758" s="21" t="str">
        <f t="shared" si="189"/>
        <v>y</v>
      </c>
      <c r="B1758" s="24" t="s">
        <v>1852</v>
      </c>
      <c r="C1758" t="s">
        <v>426</v>
      </c>
      <c r="D1758" t="s">
        <v>13</v>
      </c>
      <c r="E1758" t="s">
        <v>28</v>
      </c>
      <c r="F1758" t="s">
        <v>2</v>
      </c>
      <c r="H1758" t="s">
        <v>2057</v>
      </c>
      <c r="I1758" s="22" t="str">
        <f t="shared" si="190"/>
        <v>2019-07-22</v>
      </c>
      <c r="J1758" s="23" t="str">
        <f t="shared" si="191"/>
        <v>22</v>
      </c>
      <c r="K1758" t="str">
        <f t="shared" si="192"/>
        <v>no</v>
      </c>
      <c r="L1758">
        <v>22</v>
      </c>
      <c r="M1758" t="str">
        <f t="shared" si="193"/>
        <v>2019-07-22</v>
      </c>
      <c r="N1758" s="20">
        <f t="shared" si="194"/>
        <v>43669</v>
      </c>
      <c r="O1758" t="str">
        <f t="shared" si="195"/>
        <v>2019-07-23</v>
      </c>
    </row>
    <row r="1759" spans="1:15" x14ac:dyDescent="0.2">
      <c r="A1759" s="21" t="str">
        <f t="shared" si="189"/>
        <v>y</v>
      </c>
      <c r="B1759" s="24" t="s">
        <v>1853</v>
      </c>
      <c r="C1759" t="s">
        <v>220</v>
      </c>
      <c r="D1759" t="s">
        <v>13</v>
      </c>
      <c r="E1759" t="s">
        <v>21</v>
      </c>
      <c r="F1759" t="s">
        <v>29</v>
      </c>
      <c r="G1759" t="s">
        <v>423</v>
      </c>
      <c r="H1759" t="s">
        <v>2019</v>
      </c>
      <c r="I1759" s="22" t="str">
        <f t="shared" si="190"/>
        <v>2019-07-21</v>
      </c>
      <c r="J1759" s="23" t="str">
        <f t="shared" si="191"/>
        <v>21</v>
      </c>
      <c r="K1759" t="str">
        <f t="shared" si="192"/>
        <v>no</v>
      </c>
      <c r="L1759">
        <v>21</v>
      </c>
      <c r="M1759" t="str">
        <f t="shared" si="193"/>
        <v>2019-07-21</v>
      </c>
      <c r="N1759" s="20" t="str">
        <f t="shared" si="194"/>
        <v>2019-07-21</v>
      </c>
      <c r="O1759" t="str">
        <f t="shared" si="195"/>
        <v>2019-07-21</v>
      </c>
    </row>
    <row r="1760" spans="1:15" x14ac:dyDescent="0.2">
      <c r="A1760" s="21" t="str">
        <f t="shared" si="189"/>
        <v>y</v>
      </c>
      <c r="B1760" s="24" t="s">
        <v>1853</v>
      </c>
      <c r="C1760" t="s">
        <v>220</v>
      </c>
      <c r="D1760" t="s">
        <v>13</v>
      </c>
      <c r="E1760" t="s">
        <v>34</v>
      </c>
      <c r="F1760" t="s">
        <v>2</v>
      </c>
      <c r="H1760" t="s">
        <v>2061</v>
      </c>
      <c r="I1760" s="22" t="str">
        <f t="shared" si="190"/>
        <v>2019-07-21</v>
      </c>
      <c r="J1760" s="23" t="str">
        <f t="shared" si="191"/>
        <v>21</v>
      </c>
      <c r="K1760" t="str">
        <f t="shared" si="192"/>
        <v>no</v>
      </c>
      <c r="L1760">
        <v>21</v>
      </c>
      <c r="M1760" t="str">
        <f t="shared" si="193"/>
        <v>2019-07-21</v>
      </c>
      <c r="N1760" s="20">
        <f t="shared" si="194"/>
        <v>43668</v>
      </c>
      <c r="O1760" t="str">
        <f t="shared" si="195"/>
        <v>2019-07-22</v>
      </c>
    </row>
    <row r="1761" spans="1:15" x14ac:dyDescent="0.2">
      <c r="A1761" s="21" t="str">
        <f t="shared" si="189"/>
        <v>y</v>
      </c>
      <c r="B1761" s="24" t="s">
        <v>1853</v>
      </c>
      <c r="C1761" t="s">
        <v>365</v>
      </c>
      <c r="D1761" t="s">
        <v>13</v>
      </c>
      <c r="E1761" t="s">
        <v>27</v>
      </c>
      <c r="F1761" t="s">
        <v>2</v>
      </c>
      <c r="G1761" t="s">
        <v>424</v>
      </c>
      <c r="H1761" t="s">
        <v>2057</v>
      </c>
      <c r="I1761" s="22" t="str">
        <f t="shared" si="190"/>
        <v>2019-07-21</v>
      </c>
      <c r="J1761" s="23" t="str">
        <f t="shared" si="191"/>
        <v>21</v>
      </c>
      <c r="K1761" t="str">
        <f t="shared" si="192"/>
        <v>no</v>
      </c>
      <c r="L1761">
        <v>21</v>
      </c>
      <c r="M1761" t="str">
        <f t="shared" si="193"/>
        <v>2019-07-21</v>
      </c>
      <c r="N1761" s="20">
        <f t="shared" si="194"/>
        <v>43668</v>
      </c>
      <c r="O1761" t="str">
        <f t="shared" si="195"/>
        <v>2019-07-22</v>
      </c>
    </row>
    <row r="1762" spans="1:15" x14ac:dyDescent="0.2">
      <c r="A1762" s="21" t="str">
        <f t="shared" si="189"/>
        <v>y</v>
      </c>
      <c r="B1762" s="24" t="s">
        <v>1853</v>
      </c>
      <c r="C1762" t="s">
        <v>32</v>
      </c>
      <c r="D1762" t="s">
        <v>13</v>
      </c>
      <c r="E1762" t="s">
        <v>28</v>
      </c>
      <c r="F1762" t="s">
        <v>2</v>
      </c>
      <c r="H1762" t="s">
        <v>2084</v>
      </c>
      <c r="I1762" s="22" t="str">
        <f t="shared" si="190"/>
        <v>2019-07-21</v>
      </c>
      <c r="J1762" s="23" t="str">
        <f t="shared" si="191"/>
        <v>21</v>
      </c>
      <c r="K1762" t="str">
        <f t="shared" si="192"/>
        <v>no</v>
      </c>
      <c r="L1762">
        <v>21</v>
      </c>
      <c r="M1762" t="str">
        <f t="shared" si="193"/>
        <v>2019-07-21</v>
      </c>
      <c r="N1762" s="20">
        <f t="shared" si="194"/>
        <v>43668</v>
      </c>
      <c r="O1762" t="str">
        <f t="shared" si="195"/>
        <v>2019-07-22</v>
      </c>
    </row>
    <row r="1763" spans="1:15" x14ac:dyDescent="0.2">
      <c r="A1763" s="21" t="str">
        <f t="shared" si="189"/>
        <v>y</v>
      </c>
      <c r="B1763" s="24" t="s">
        <v>1853</v>
      </c>
      <c r="C1763" t="s">
        <v>241</v>
      </c>
      <c r="D1763" t="s">
        <v>13</v>
      </c>
      <c r="E1763" t="s">
        <v>49</v>
      </c>
      <c r="F1763" t="s">
        <v>29</v>
      </c>
      <c r="G1763" t="s">
        <v>425</v>
      </c>
      <c r="H1763" t="s">
        <v>2019</v>
      </c>
      <c r="I1763" s="22" t="str">
        <f t="shared" si="190"/>
        <v>2019-07-21</v>
      </c>
      <c r="J1763" s="23" t="str">
        <f t="shared" si="191"/>
        <v>21</v>
      </c>
      <c r="K1763" t="str">
        <f t="shared" si="192"/>
        <v>no</v>
      </c>
      <c r="L1763">
        <v>21</v>
      </c>
      <c r="M1763" t="str">
        <f t="shared" si="193"/>
        <v>2019-07-21</v>
      </c>
      <c r="N1763" s="20" t="str">
        <f t="shared" si="194"/>
        <v>2019-07-21</v>
      </c>
      <c r="O1763" t="str">
        <f t="shared" si="195"/>
        <v>2019-07-21</v>
      </c>
    </row>
    <row r="1764" spans="1:15" x14ac:dyDescent="0.2">
      <c r="A1764" s="21" t="str">
        <f t="shared" si="189"/>
        <v>y</v>
      </c>
      <c r="B1764" s="24" t="s">
        <v>1854</v>
      </c>
      <c r="C1764" t="s">
        <v>220</v>
      </c>
      <c r="D1764" t="s">
        <v>13</v>
      </c>
      <c r="E1764" t="s">
        <v>34</v>
      </c>
      <c r="F1764" t="s">
        <v>2</v>
      </c>
      <c r="G1764" t="s">
        <v>420</v>
      </c>
      <c r="H1764" t="s">
        <v>2061</v>
      </c>
      <c r="I1764" s="22" t="str">
        <f t="shared" si="190"/>
        <v>2019-07-18</v>
      </c>
      <c r="J1764" s="23" t="str">
        <f t="shared" si="191"/>
        <v>18</v>
      </c>
      <c r="K1764" t="str">
        <f t="shared" si="192"/>
        <v>no</v>
      </c>
      <c r="L1764">
        <v>18</v>
      </c>
      <c r="M1764" t="str">
        <f t="shared" si="193"/>
        <v>2019-07-18</v>
      </c>
      <c r="N1764" s="20">
        <f t="shared" si="194"/>
        <v>43665</v>
      </c>
      <c r="O1764" t="str">
        <f t="shared" si="195"/>
        <v>2019-07-19</v>
      </c>
    </row>
    <row r="1765" spans="1:15" x14ac:dyDescent="0.2">
      <c r="A1765" s="21" t="str">
        <f t="shared" si="189"/>
        <v>y</v>
      </c>
      <c r="B1765" s="24" t="s">
        <v>1854</v>
      </c>
      <c r="C1765" t="s">
        <v>365</v>
      </c>
      <c r="D1765" t="s">
        <v>13</v>
      </c>
      <c r="E1765" t="s">
        <v>27</v>
      </c>
      <c r="F1765" t="s">
        <v>2</v>
      </c>
      <c r="H1765" t="s">
        <v>2085</v>
      </c>
      <c r="I1765" s="22" t="str">
        <f t="shared" si="190"/>
        <v>2019-07-18</v>
      </c>
      <c r="J1765" s="23" t="str">
        <f t="shared" si="191"/>
        <v>18</v>
      </c>
      <c r="K1765" t="str">
        <f t="shared" si="192"/>
        <v>no</v>
      </c>
      <c r="L1765">
        <v>18</v>
      </c>
      <c r="M1765" t="str">
        <f t="shared" si="193"/>
        <v>2019-07-18</v>
      </c>
      <c r="N1765" s="20">
        <f t="shared" si="194"/>
        <v>43665</v>
      </c>
      <c r="O1765" t="str">
        <f t="shared" si="195"/>
        <v>2019-07-19</v>
      </c>
    </row>
    <row r="1766" spans="1:15" x14ac:dyDescent="0.2">
      <c r="A1766" s="21" t="str">
        <f t="shared" si="189"/>
        <v>y</v>
      </c>
      <c r="B1766" s="24" t="s">
        <v>1854</v>
      </c>
      <c r="C1766" t="s">
        <v>32</v>
      </c>
      <c r="D1766" t="s">
        <v>13</v>
      </c>
      <c r="E1766" t="s">
        <v>28</v>
      </c>
      <c r="F1766" t="s">
        <v>2</v>
      </c>
      <c r="G1766" t="s">
        <v>422</v>
      </c>
      <c r="H1766" t="s">
        <v>2057</v>
      </c>
      <c r="I1766" s="22" t="str">
        <f t="shared" si="190"/>
        <v>2019-07-18</v>
      </c>
      <c r="J1766" s="23" t="str">
        <f t="shared" si="191"/>
        <v>18</v>
      </c>
      <c r="K1766" t="str">
        <f t="shared" si="192"/>
        <v>no</v>
      </c>
      <c r="L1766">
        <v>18</v>
      </c>
      <c r="M1766" t="str">
        <f t="shared" si="193"/>
        <v>2019-07-18</v>
      </c>
      <c r="N1766" s="20">
        <f t="shared" si="194"/>
        <v>43665</v>
      </c>
      <c r="O1766" t="str">
        <f t="shared" si="195"/>
        <v>2019-07-19</v>
      </c>
    </row>
    <row r="1767" spans="1:15" x14ac:dyDescent="0.2">
      <c r="A1767" s="21" t="str">
        <f t="shared" si="189"/>
        <v>y</v>
      </c>
      <c r="B1767" s="24" t="s">
        <v>1854</v>
      </c>
      <c r="C1767" t="s">
        <v>241</v>
      </c>
      <c r="D1767" t="s">
        <v>13</v>
      </c>
      <c r="E1767" t="s">
        <v>49</v>
      </c>
      <c r="F1767" t="s">
        <v>29</v>
      </c>
      <c r="G1767" t="s">
        <v>421</v>
      </c>
      <c r="H1767" t="s">
        <v>2061</v>
      </c>
      <c r="I1767" s="22" t="str">
        <f t="shared" si="190"/>
        <v>2019-07-18</v>
      </c>
      <c r="J1767" s="23" t="str">
        <f t="shared" si="191"/>
        <v>18</v>
      </c>
      <c r="K1767" t="str">
        <f t="shared" si="192"/>
        <v>no</v>
      </c>
      <c r="L1767">
        <v>18</v>
      </c>
      <c r="M1767" t="str">
        <f t="shared" si="193"/>
        <v>2019-07-18</v>
      </c>
      <c r="N1767" s="20" t="str">
        <f t="shared" si="194"/>
        <v>2019-07-18</v>
      </c>
      <c r="O1767" t="str">
        <f t="shared" si="195"/>
        <v>2019-07-18</v>
      </c>
    </row>
    <row r="1768" spans="1:15" x14ac:dyDescent="0.2">
      <c r="A1768" s="21" t="str">
        <f t="shared" si="189"/>
        <v>y</v>
      </c>
      <c r="B1768" s="24" t="s">
        <v>1855</v>
      </c>
      <c r="C1768" t="s">
        <v>220</v>
      </c>
      <c r="D1768" t="s">
        <v>13</v>
      </c>
      <c r="E1768" t="s">
        <v>34</v>
      </c>
      <c r="F1768" t="s">
        <v>2</v>
      </c>
      <c r="G1768" t="s">
        <v>419</v>
      </c>
      <c r="H1768" t="s">
        <v>2085</v>
      </c>
      <c r="I1768" s="22" t="str">
        <f t="shared" si="190"/>
        <v>2019-07-17</v>
      </c>
      <c r="J1768" s="23" t="str">
        <f t="shared" si="191"/>
        <v>17</v>
      </c>
      <c r="K1768" t="str">
        <f t="shared" si="192"/>
        <v>no</v>
      </c>
      <c r="L1768">
        <v>17</v>
      </c>
      <c r="M1768" t="str">
        <f t="shared" si="193"/>
        <v>2019-07-17</v>
      </c>
      <c r="N1768" s="20">
        <f t="shared" si="194"/>
        <v>43664</v>
      </c>
      <c r="O1768" t="str">
        <f t="shared" si="195"/>
        <v>2019-07-18</v>
      </c>
    </row>
    <row r="1769" spans="1:15" x14ac:dyDescent="0.2">
      <c r="A1769" s="21" t="str">
        <f t="shared" si="189"/>
        <v>y</v>
      </c>
      <c r="B1769" s="24" t="s">
        <v>1855</v>
      </c>
      <c r="C1769" t="s">
        <v>365</v>
      </c>
      <c r="D1769" t="s">
        <v>13</v>
      </c>
      <c r="E1769" t="s">
        <v>27</v>
      </c>
      <c r="F1769" t="s">
        <v>2</v>
      </c>
      <c r="G1769" t="s">
        <v>417</v>
      </c>
      <c r="H1769" t="s">
        <v>2085</v>
      </c>
      <c r="I1769" s="22" t="str">
        <f t="shared" si="190"/>
        <v>2019-07-17</v>
      </c>
      <c r="J1769" s="23" t="str">
        <f t="shared" si="191"/>
        <v>17</v>
      </c>
      <c r="K1769" t="str">
        <f t="shared" si="192"/>
        <v>no</v>
      </c>
      <c r="L1769">
        <v>17</v>
      </c>
      <c r="M1769" t="str">
        <f t="shared" si="193"/>
        <v>2019-07-17</v>
      </c>
      <c r="N1769" s="20">
        <f t="shared" si="194"/>
        <v>43664</v>
      </c>
      <c r="O1769" t="str">
        <f t="shared" si="195"/>
        <v>2019-07-18</v>
      </c>
    </row>
    <row r="1770" spans="1:15" x14ac:dyDescent="0.2">
      <c r="A1770" s="21" t="str">
        <f t="shared" si="189"/>
        <v>y</v>
      </c>
      <c r="B1770" s="24" t="s">
        <v>1855</v>
      </c>
      <c r="C1770" t="s">
        <v>32</v>
      </c>
      <c r="D1770" t="s">
        <v>13</v>
      </c>
      <c r="E1770" t="s">
        <v>28</v>
      </c>
      <c r="F1770" t="s">
        <v>2</v>
      </c>
      <c r="G1770" t="s">
        <v>418</v>
      </c>
      <c r="H1770" t="s">
        <v>2057</v>
      </c>
      <c r="I1770" s="22" t="str">
        <f t="shared" si="190"/>
        <v>2019-07-17</v>
      </c>
      <c r="J1770" s="23" t="str">
        <f t="shared" si="191"/>
        <v>17</v>
      </c>
      <c r="K1770" t="str">
        <f t="shared" si="192"/>
        <v>no</v>
      </c>
      <c r="L1770">
        <v>17</v>
      </c>
      <c r="M1770" t="str">
        <f t="shared" si="193"/>
        <v>2019-07-17</v>
      </c>
      <c r="N1770" s="20">
        <f t="shared" si="194"/>
        <v>43664</v>
      </c>
      <c r="O1770" t="str">
        <f t="shared" si="195"/>
        <v>2019-07-18</v>
      </c>
    </row>
    <row r="1771" spans="1:15" x14ac:dyDescent="0.2">
      <c r="A1771" s="21" t="str">
        <f t="shared" si="189"/>
        <v>y</v>
      </c>
      <c r="B1771" s="24" t="s">
        <v>1856</v>
      </c>
      <c r="C1771" t="s">
        <v>220</v>
      </c>
      <c r="D1771" t="s">
        <v>13</v>
      </c>
      <c r="E1771" t="s">
        <v>34</v>
      </c>
      <c r="F1771" t="s">
        <v>2</v>
      </c>
      <c r="G1771" t="s">
        <v>416</v>
      </c>
      <c r="H1771" t="s">
        <v>2061</v>
      </c>
      <c r="I1771" s="22" t="str">
        <f t="shared" si="190"/>
        <v>2019-07-16</v>
      </c>
      <c r="J1771" s="23" t="str">
        <f t="shared" si="191"/>
        <v>16</v>
      </c>
      <c r="K1771" t="str">
        <f t="shared" si="192"/>
        <v>no</v>
      </c>
      <c r="L1771">
        <v>16</v>
      </c>
      <c r="M1771" t="str">
        <f t="shared" si="193"/>
        <v>2019-07-16</v>
      </c>
      <c r="N1771" s="20">
        <f t="shared" si="194"/>
        <v>43663</v>
      </c>
      <c r="O1771" t="str">
        <f t="shared" si="195"/>
        <v>2019-07-17</v>
      </c>
    </row>
    <row r="1772" spans="1:15" x14ac:dyDescent="0.2">
      <c r="A1772" s="21" t="str">
        <f t="shared" si="189"/>
        <v>y</v>
      </c>
      <c r="B1772" s="24" t="s">
        <v>1856</v>
      </c>
      <c r="C1772" t="s">
        <v>365</v>
      </c>
      <c r="D1772" t="s">
        <v>13</v>
      </c>
      <c r="E1772" t="s">
        <v>27</v>
      </c>
      <c r="F1772" t="s">
        <v>2</v>
      </c>
      <c r="H1772" t="s">
        <v>2086</v>
      </c>
      <c r="I1772" s="22" t="str">
        <f t="shared" si="190"/>
        <v>2019-07-16</v>
      </c>
      <c r="J1772" s="23" t="str">
        <f t="shared" si="191"/>
        <v>16</v>
      </c>
      <c r="K1772" t="str">
        <f t="shared" si="192"/>
        <v>no</v>
      </c>
      <c r="L1772">
        <v>16</v>
      </c>
      <c r="M1772" t="str">
        <f t="shared" si="193"/>
        <v>2019-07-16</v>
      </c>
      <c r="N1772" s="20">
        <f t="shared" si="194"/>
        <v>43663</v>
      </c>
      <c r="O1772" t="str">
        <f t="shared" si="195"/>
        <v>2019-07-17</v>
      </c>
    </row>
    <row r="1773" spans="1:15" x14ac:dyDescent="0.2">
      <c r="A1773" s="21" t="str">
        <f t="shared" si="189"/>
        <v>y</v>
      </c>
      <c r="B1773" s="24" t="s">
        <v>1856</v>
      </c>
      <c r="C1773" t="s">
        <v>371</v>
      </c>
      <c r="D1773" t="s">
        <v>13</v>
      </c>
      <c r="E1773" t="s">
        <v>64</v>
      </c>
      <c r="F1773" t="s">
        <v>29</v>
      </c>
      <c r="G1773" t="s">
        <v>414</v>
      </c>
      <c r="H1773" t="s">
        <v>2057</v>
      </c>
      <c r="I1773" s="22" t="str">
        <f t="shared" si="190"/>
        <v>2019-07-16</v>
      </c>
      <c r="J1773" s="23" t="str">
        <f t="shared" si="191"/>
        <v>16</v>
      </c>
      <c r="K1773" t="str">
        <f t="shared" si="192"/>
        <v>no</v>
      </c>
      <c r="L1773">
        <v>16</v>
      </c>
      <c r="M1773" t="str">
        <f t="shared" si="193"/>
        <v>2019-07-16</v>
      </c>
      <c r="N1773" s="20" t="str">
        <f t="shared" si="194"/>
        <v>2019-07-16</v>
      </c>
      <c r="O1773" t="str">
        <f t="shared" si="195"/>
        <v>2019-07-16</v>
      </c>
    </row>
    <row r="1774" spans="1:15" x14ac:dyDescent="0.2">
      <c r="A1774" s="21" t="str">
        <f t="shared" si="189"/>
        <v>y</v>
      </c>
      <c r="B1774" s="24" t="s">
        <v>1856</v>
      </c>
      <c r="C1774" t="s">
        <v>32</v>
      </c>
      <c r="D1774" t="s">
        <v>13</v>
      </c>
      <c r="E1774" t="s">
        <v>28</v>
      </c>
      <c r="F1774" t="s">
        <v>2</v>
      </c>
      <c r="G1774" t="s">
        <v>415</v>
      </c>
      <c r="H1774" t="s">
        <v>2019</v>
      </c>
      <c r="I1774" s="22" t="str">
        <f t="shared" si="190"/>
        <v>2019-07-16</v>
      </c>
      <c r="J1774" s="23" t="str">
        <f t="shared" si="191"/>
        <v>16</v>
      </c>
      <c r="K1774" t="str">
        <f t="shared" si="192"/>
        <v>no</v>
      </c>
      <c r="L1774">
        <v>16</v>
      </c>
      <c r="M1774" t="str">
        <f t="shared" si="193"/>
        <v>2019-07-16</v>
      </c>
      <c r="N1774" s="20">
        <f t="shared" si="194"/>
        <v>43663</v>
      </c>
      <c r="O1774" t="str">
        <f t="shared" si="195"/>
        <v>2019-07-17</v>
      </c>
    </row>
    <row r="1775" spans="1:15" x14ac:dyDescent="0.2">
      <c r="A1775" s="21" t="str">
        <f t="shared" si="189"/>
        <v>y</v>
      </c>
      <c r="B1775" s="24" t="s">
        <v>1857</v>
      </c>
      <c r="C1775" t="s">
        <v>220</v>
      </c>
      <c r="D1775" t="s">
        <v>13</v>
      </c>
      <c r="E1775" t="s">
        <v>34</v>
      </c>
      <c r="F1775" t="s">
        <v>2</v>
      </c>
      <c r="H1775" t="s">
        <v>2061</v>
      </c>
      <c r="I1775" s="22" t="str">
        <f t="shared" si="190"/>
        <v>2019-07-15</v>
      </c>
      <c r="J1775" s="23" t="str">
        <f t="shared" si="191"/>
        <v>15</v>
      </c>
      <c r="K1775" t="str">
        <f t="shared" si="192"/>
        <v>no</v>
      </c>
      <c r="L1775">
        <v>15</v>
      </c>
      <c r="M1775" t="str">
        <f t="shared" si="193"/>
        <v>2019-07-15</v>
      </c>
      <c r="N1775" s="20">
        <f t="shared" si="194"/>
        <v>43662</v>
      </c>
      <c r="O1775" t="str">
        <f t="shared" si="195"/>
        <v>2019-07-16</v>
      </c>
    </row>
    <row r="1776" spans="1:15" x14ac:dyDescent="0.2">
      <c r="A1776" s="21" t="str">
        <f t="shared" si="189"/>
        <v>y</v>
      </c>
      <c r="B1776" s="24" t="s">
        <v>1857</v>
      </c>
      <c r="C1776" t="s">
        <v>74</v>
      </c>
      <c r="D1776" t="s">
        <v>13</v>
      </c>
      <c r="E1776" t="s">
        <v>27</v>
      </c>
      <c r="F1776" t="s">
        <v>29</v>
      </c>
      <c r="G1776" t="s">
        <v>413</v>
      </c>
      <c r="H1776" t="s">
        <v>2086</v>
      </c>
      <c r="I1776" s="22" t="str">
        <f t="shared" si="190"/>
        <v>2019-07-15</v>
      </c>
      <c r="J1776" s="23" t="str">
        <f t="shared" si="191"/>
        <v>15</v>
      </c>
      <c r="K1776" t="str">
        <f t="shared" si="192"/>
        <v>no</v>
      </c>
      <c r="L1776">
        <v>15</v>
      </c>
      <c r="M1776" t="str">
        <f t="shared" si="193"/>
        <v>2019-07-15</v>
      </c>
      <c r="N1776" s="20" t="str">
        <f t="shared" si="194"/>
        <v>2019-07-15</v>
      </c>
      <c r="O1776" t="str">
        <f t="shared" si="195"/>
        <v>2019-07-15</v>
      </c>
    </row>
    <row r="1777" spans="1:15" x14ac:dyDescent="0.2">
      <c r="A1777" s="21" t="str">
        <f t="shared" si="189"/>
        <v>y</v>
      </c>
      <c r="B1777" s="24" t="s">
        <v>1857</v>
      </c>
      <c r="C1777" t="s">
        <v>365</v>
      </c>
      <c r="D1777" t="s">
        <v>13</v>
      </c>
      <c r="E1777" t="s">
        <v>27</v>
      </c>
      <c r="F1777" t="s">
        <v>2</v>
      </c>
      <c r="G1777" t="s">
        <v>412</v>
      </c>
      <c r="H1777" t="s">
        <v>2057</v>
      </c>
      <c r="I1777" s="22" t="str">
        <f t="shared" si="190"/>
        <v>2019-07-15</v>
      </c>
      <c r="J1777" s="23" t="str">
        <f t="shared" si="191"/>
        <v>15</v>
      </c>
      <c r="K1777" t="str">
        <f t="shared" si="192"/>
        <v>no</v>
      </c>
      <c r="L1777">
        <v>15</v>
      </c>
      <c r="M1777" t="str">
        <f t="shared" si="193"/>
        <v>2019-07-15</v>
      </c>
      <c r="N1777" s="20">
        <f t="shared" si="194"/>
        <v>43662</v>
      </c>
      <c r="O1777" t="str">
        <f t="shared" si="195"/>
        <v>2019-07-16</v>
      </c>
    </row>
    <row r="1778" spans="1:15" x14ac:dyDescent="0.2">
      <c r="A1778" s="21" t="str">
        <f t="shared" si="189"/>
        <v>y</v>
      </c>
      <c r="B1778" s="24" t="s">
        <v>1858</v>
      </c>
      <c r="C1778" t="s">
        <v>220</v>
      </c>
      <c r="D1778" t="s">
        <v>13</v>
      </c>
      <c r="E1778" t="s">
        <v>34</v>
      </c>
      <c r="F1778" t="s">
        <v>2</v>
      </c>
      <c r="H1778" t="s">
        <v>2019</v>
      </c>
      <c r="I1778" s="22" t="str">
        <f t="shared" si="190"/>
        <v>2019-07-14</v>
      </c>
      <c r="J1778" s="23" t="str">
        <f t="shared" si="191"/>
        <v>14</v>
      </c>
      <c r="K1778" t="str">
        <f t="shared" si="192"/>
        <v>no</v>
      </c>
      <c r="L1778">
        <v>14</v>
      </c>
      <c r="M1778" t="str">
        <f t="shared" si="193"/>
        <v>2019-07-14</v>
      </c>
      <c r="N1778" s="20">
        <f t="shared" si="194"/>
        <v>43661</v>
      </c>
      <c r="O1778" t="str">
        <f t="shared" si="195"/>
        <v>2019-07-15</v>
      </c>
    </row>
    <row r="1779" spans="1:15" x14ac:dyDescent="0.2">
      <c r="A1779" s="21" t="str">
        <f t="shared" si="189"/>
        <v>y</v>
      </c>
      <c r="B1779" s="24" t="s">
        <v>1858</v>
      </c>
      <c r="C1779" t="s">
        <v>74</v>
      </c>
      <c r="D1779" t="s">
        <v>13</v>
      </c>
      <c r="E1779" t="s">
        <v>4</v>
      </c>
      <c r="F1779" t="s">
        <v>29</v>
      </c>
      <c r="G1779" t="s">
        <v>409</v>
      </c>
      <c r="H1779" t="s">
        <v>2083</v>
      </c>
      <c r="I1779" s="22" t="str">
        <f t="shared" si="190"/>
        <v>2019-07-14</v>
      </c>
      <c r="J1779" s="23" t="str">
        <f t="shared" si="191"/>
        <v>14</v>
      </c>
      <c r="K1779" t="str">
        <f t="shared" si="192"/>
        <v>no</v>
      </c>
      <c r="L1779">
        <v>14</v>
      </c>
      <c r="M1779" t="str">
        <f t="shared" si="193"/>
        <v>2019-07-14</v>
      </c>
      <c r="N1779" s="20" t="str">
        <f t="shared" si="194"/>
        <v>2019-07-14</v>
      </c>
      <c r="O1779" t="str">
        <f t="shared" si="195"/>
        <v>2019-07-14</v>
      </c>
    </row>
    <row r="1780" spans="1:15" x14ac:dyDescent="0.2">
      <c r="A1780" s="21" t="str">
        <f t="shared" si="189"/>
        <v>y</v>
      </c>
      <c r="B1780" s="24" t="s">
        <v>1858</v>
      </c>
      <c r="C1780" t="s">
        <v>74</v>
      </c>
      <c r="D1780" t="s">
        <v>13</v>
      </c>
      <c r="E1780" t="s">
        <v>27</v>
      </c>
      <c r="F1780" t="s">
        <v>2</v>
      </c>
      <c r="G1780" t="s">
        <v>410</v>
      </c>
      <c r="H1780" t="s">
        <v>2084</v>
      </c>
      <c r="I1780" s="22" t="str">
        <f t="shared" si="190"/>
        <v>2019-07-14</v>
      </c>
      <c r="J1780" s="23" t="str">
        <f t="shared" si="191"/>
        <v>14</v>
      </c>
      <c r="K1780" t="str">
        <f t="shared" si="192"/>
        <v>no</v>
      </c>
      <c r="L1780">
        <v>14</v>
      </c>
      <c r="M1780" t="str">
        <f t="shared" si="193"/>
        <v>2019-07-14</v>
      </c>
      <c r="N1780" s="20">
        <f t="shared" si="194"/>
        <v>43661</v>
      </c>
      <c r="O1780" t="str">
        <f t="shared" si="195"/>
        <v>2019-07-15</v>
      </c>
    </row>
    <row r="1781" spans="1:15" x14ac:dyDescent="0.2">
      <c r="A1781" s="21" t="str">
        <f t="shared" si="189"/>
        <v>y</v>
      </c>
      <c r="B1781" s="24" t="s">
        <v>1858</v>
      </c>
      <c r="C1781" t="s">
        <v>365</v>
      </c>
      <c r="D1781" t="s">
        <v>13</v>
      </c>
      <c r="E1781" t="s">
        <v>27</v>
      </c>
      <c r="F1781" t="s">
        <v>2</v>
      </c>
      <c r="G1781" t="s">
        <v>411</v>
      </c>
      <c r="H1781" t="s">
        <v>2057</v>
      </c>
      <c r="I1781" s="22" t="str">
        <f t="shared" si="190"/>
        <v>2019-07-14</v>
      </c>
      <c r="J1781" s="23" t="str">
        <f t="shared" si="191"/>
        <v>14</v>
      </c>
      <c r="K1781" t="str">
        <f t="shared" si="192"/>
        <v>no</v>
      </c>
      <c r="L1781">
        <v>14</v>
      </c>
      <c r="M1781" t="str">
        <f t="shared" si="193"/>
        <v>2019-07-14</v>
      </c>
      <c r="N1781" s="20">
        <f t="shared" si="194"/>
        <v>43661</v>
      </c>
      <c r="O1781" t="str">
        <f t="shared" si="195"/>
        <v>2019-07-15</v>
      </c>
    </row>
    <row r="1782" spans="1:15" x14ac:dyDescent="0.2">
      <c r="A1782" s="21" t="str">
        <f t="shared" si="189"/>
        <v>y</v>
      </c>
      <c r="B1782" s="24" t="s">
        <v>1859</v>
      </c>
      <c r="C1782" t="s">
        <v>220</v>
      </c>
      <c r="D1782" t="s">
        <v>13</v>
      </c>
      <c r="E1782" t="s">
        <v>34</v>
      </c>
      <c r="F1782" t="s">
        <v>2</v>
      </c>
      <c r="H1782" t="s">
        <v>2061</v>
      </c>
      <c r="I1782" s="22" t="str">
        <f t="shared" si="190"/>
        <v>2019-07-13</v>
      </c>
      <c r="J1782" s="23" t="str">
        <f t="shared" si="191"/>
        <v>13</v>
      </c>
      <c r="K1782" t="str">
        <f t="shared" si="192"/>
        <v>no</v>
      </c>
      <c r="L1782">
        <v>13</v>
      </c>
      <c r="M1782" t="str">
        <f t="shared" si="193"/>
        <v>2019-07-13</v>
      </c>
      <c r="N1782" s="20">
        <f t="shared" si="194"/>
        <v>43660</v>
      </c>
      <c r="O1782" t="str">
        <f t="shared" si="195"/>
        <v>2019-07-14</v>
      </c>
    </row>
    <row r="1783" spans="1:15" x14ac:dyDescent="0.2">
      <c r="A1783" s="21" t="str">
        <f t="shared" si="189"/>
        <v>y</v>
      </c>
      <c r="B1783" s="24" t="s">
        <v>1859</v>
      </c>
      <c r="C1783" t="s">
        <v>74</v>
      </c>
      <c r="D1783" t="s">
        <v>13</v>
      </c>
      <c r="E1783" t="s">
        <v>49</v>
      </c>
      <c r="F1783" t="s">
        <v>29</v>
      </c>
      <c r="G1783" t="s">
        <v>408</v>
      </c>
      <c r="H1783" t="s">
        <v>2019</v>
      </c>
      <c r="I1783" s="22" t="str">
        <f t="shared" si="190"/>
        <v>2019-07-13</v>
      </c>
      <c r="J1783" s="23" t="str">
        <f t="shared" si="191"/>
        <v>13</v>
      </c>
      <c r="K1783" t="str">
        <f t="shared" si="192"/>
        <v>no</v>
      </c>
      <c r="L1783">
        <v>13</v>
      </c>
      <c r="M1783" t="str">
        <f t="shared" si="193"/>
        <v>2019-07-13</v>
      </c>
      <c r="N1783" s="20" t="str">
        <f t="shared" si="194"/>
        <v>2019-07-13</v>
      </c>
      <c r="O1783" t="str">
        <f t="shared" si="195"/>
        <v>2019-07-13</v>
      </c>
    </row>
    <row r="1784" spans="1:15" x14ac:dyDescent="0.2">
      <c r="A1784" s="21" t="str">
        <f t="shared" si="189"/>
        <v>y</v>
      </c>
      <c r="B1784" s="24">
        <v>43776</v>
      </c>
      <c r="C1784" t="s">
        <v>365</v>
      </c>
      <c r="D1784" t="s">
        <v>13</v>
      </c>
      <c r="E1784" t="s">
        <v>8</v>
      </c>
      <c r="F1784" t="s">
        <v>29</v>
      </c>
      <c r="G1784" t="s">
        <v>405</v>
      </c>
      <c r="H1784" t="s">
        <v>2019</v>
      </c>
      <c r="I1784" s="22" t="str">
        <f t="shared" si="190"/>
        <v>2019-07-11</v>
      </c>
      <c r="J1784" s="23" t="str">
        <f t="shared" si="191"/>
        <v>43</v>
      </c>
      <c r="K1784" t="str">
        <f t="shared" si="192"/>
        <v>yes</v>
      </c>
      <c r="L1784">
        <v>43</v>
      </c>
      <c r="M1784" t="str">
        <f t="shared" si="193"/>
        <v>2019-07-11</v>
      </c>
      <c r="N1784" s="20" t="str">
        <f t="shared" si="194"/>
        <v>2019-07-11</v>
      </c>
      <c r="O1784" t="str">
        <f t="shared" si="195"/>
        <v>2019-07-11</v>
      </c>
    </row>
    <row r="1785" spans="1:15" x14ac:dyDescent="0.2">
      <c r="A1785" s="21" t="str">
        <f t="shared" si="189"/>
        <v>y</v>
      </c>
      <c r="B1785" s="24">
        <v>43776</v>
      </c>
      <c r="C1785" t="s">
        <v>32</v>
      </c>
      <c r="D1785" t="s">
        <v>13</v>
      </c>
      <c r="E1785" t="s">
        <v>49</v>
      </c>
      <c r="F1785" t="s">
        <v>2</v>
      </c>
      <c r="G1785" t="s">
        <v>407</v>
      </c>
      <c r="H1785" t="s">
        <v>2057</v>
      </c>
      <c r="I1785" s="22" t="str">
        <f t="shared" si="190"/>
        <v>2019-07-11</v>
      </c>
      <c r="J1785" s="23" t="str">
        <f t="shared" si="191"/>
        <v>43</v>
      </c>
      <c r="K1785" t="str">
        <f t="shared" si="192"/>
        <v>yes</v>
      </c>
      <c r="L1785">
        <v>43</v>
      </c>
      <c r="M1785" t="str">
        <f t="shared" si="193"/>
        <v>2019-07-11</v>
      </c>
      <c r="N1785" s="20">
        <f t="shared" si="194"/>
        <v>43658</v>
      </c>
      <c r="O1785" t="str">
        <f t="shared" si="195"/>
        <v>2019-07-12</v>
      </c>
    </row>
    <row r="1786" spans="1:15" x14ac:dyDescent="0.2">
      <c r="A1786" s="21" t="str">
        <f t="shared" si="189"/>
        <v>y</v>
      </c>
      <c r="B1786" s="24">
        <v>43776</v>
      </c>
      <c r="C1786" t="s">
        <v>220</v>
      </c>
      <c r="D1786" t="s">
        <v>13</v>
      </c>
      <c r="E1786" t="s">
        <v>34</v>
      </c>
      <c r="F1786" t="s">
        <v>2</v>
      </c>
      <c r="H1786" t="s">
        <v>2061</v>
      </c>
      <c r="I1786" s="22" t="str">
        <f t="shared" si="190"/>
        <v>2019-07-11</v>
      </c>
      <c r="J1786" s="23" t="str">
        <f t="shared" si="191"/>
        <v>43</v>
      </c>
      <c r="K1786" t="str">
        <f t="shared" si="192"/>
        <v>yes</v>
      </c>
      <c r="L1786">
        <v>43</v>
      </c>
      <c r="M1786" t="str">
        <f t="shared" si="193"/>
        <v>2019-07-11</v>
      </c>
      <c r="N1786" s="20">
        <f t="shared" si="194"/>
        <v>43658</v>
      </c>
      <c r="O1786" t="str">
        <f t="shared" si="195"/>
        <v>2019-07-12</v>
      </c>
    </row>
    <row r="1787" spans="1:15" x14ac:dyDescent="0.2">
      <c r="A1787" s="21" t="str">
        <f t="shared" si="189"/>
        <v>y</v>
      </c>
      <c r="B1787" s="24">
        <v>43776</v>
      </c>
      <c r="C1787" t="s">
        <v>74</v>
      </c>
      <c r="D1787" t="s">
        <v>13</v>
      </c>
      <c r="E1787" t="s">
        <v>27</v>
      </c>
      <c r="F1787" t="s">
        <v>29</v>
      </c>
      <c r="G1787" t="s">
        <v>404</v>
      </c>
      <c r="H1787" t="s">
        <v>2019</v>
      </c>
      <c r="I1787" s="22" t="str">
        <f t="shared" si="190"/>
        <v>2019-07-11</v>
      </c>
      <c r="J1787" s="23" t="str">
        <f t="shared" si="191"/>
        <v>43</v>
      </c>
      <c r="K1787" t="str">
        <f t="shared" si="192"/>
        <v>yes</v>
      </c>
      <c r="L1787">
        <v>43</v>
      </c>
      <c r="M1787" t="str">
        <f t="shared" si="193"/>
        <v>2019-07-11</v>
      </c>
      <c r="N1787" s="20" t="str">
        <f t="shared" si="194"/>
        <v>2019-07-11</v>
      </c>
      <c r="O1787" t="str">
        <f t="shared" si="195"/>
        <v>2019-07-11</v>
      </c>
    </row>
    <row r="1788" spans="1:15" x14ac:dyDescent="0.2">
      <c r="A1788" s="21" t="str">
        <f t="shared" si="189"/>
        <v>y</v>
      </c>
      <c r="B1788" s="24">
        <v>43745</v>
      </c>
      <c r="C1788" t="s">
        <v>365</v>
      </c>
      <c r="D1788" t="s">
        <v>13</v>
      </c>
      <c r="E1788" t="s">
        <v>27</v>
      </c>
      <c r="F1788" t="s">
        <v>29</v>
      </c>
      <c r="G1788" t="s">
        <v>406</v>
      </c>
      <c r="H1788" t="s">
        <v>2087</v>
      </c>
      <c r="I1788" s="22" t="str">
        <f t="shared" si="190"/>
        <v>2019-07-10</v>
      </c>
      <c r="J1788" s="23" t="str">
        <f t="shared" si="191"/>
        <v>43</v>
      </c>
      <c r="K1788" t="str">
        <f t="shared" si="192"/>
        <v>yes</v>
      </c>
      <c r="L1788">
        <v>43</v>
      </c>
      <c r="M1788" t="str">
        <f t="shared" si="193"/>
        <v>2019-07-10</v>
      </c>
      <c r="N1788" s="20" t="str">
        <f t="shared" si="194"/>
        <v>2019-07-10</v>
      </c>
      <c r="O1788" t="str">
        <f t="shared" si="195"/>
        <v>2019-07-10</v>
      </c>
    </row>
    <row r="1789" spans="1:15" x14ac:dyDescent="0.2">
      <c r="A1789" s="21" t="str">
        <f t="shared" si="189"/>
        <v>y</v>
      </c>
      <c r="B1789" s="24">
        <v>43745</v>
      </c>
      <c r="C1789" t="s">
        <v>32</v>
      </c>
      <c r="D1789" t="s">
        <v>13</v>
      </c>
      <c r="E1789" t="s">
        <v>49</v>
      </c>
      <c r="F1789" t="s">
        <v>2</v>
      </c>
      <c r="H1789" t="s">
        <v>2057</v>
      </c>
      <c r="I1789" s="22" t="str">
        <f t="shared" si="190"/>
        <v>2019-07-10</v>
      </c>
      <c r="J1789" s="23" t="str">
        <f t="shared" si="191"/>
        <v>43</v>
      </c>
      <c r="K1789" t="str">
        <f t="shared" si="192"/>
        <v>yes</v>
      </c>
      <c r="L1789">
        <v>43</v>
      </c>
      <c r="M1789" t="str">
        <f t="shared" si="193"/>
        <v>2019-07-10</v>
      </c>
      <c r="N1789" s="20">
        <f t="shared" si="194"/>
        <v>43657</v>
      </c>
      <c r="O1789" t="str">
        <f t="shared" si="195"/>
        <v>2019-07-11</v>
      </c>
    </row>
    <row r="1790" spans="1:15" x14ac:dyDescent="0.2">
      <c r="A1790" s="21" t="str">
        <f t="shared" si="189"/>
        <v>y</v>
      </c>
      <c r="B1790" s="24">
        <v>43745</v>
      </c>
      <c r="C1790" t="s">
        <v>241</v>
      </c>
      <c r="D1790" t="s">
        <v>13</v>
      </c>
      <c r="E1790" t="s">
        <v>49</v>
      </c>
      <c r="F1790" t="s">
        <v>2</v>
      </c>
      <c r="G1790" t="s">
        <v>402</v>
      </c>
      <c r="H1790" t="s">
        <v>2088</v>
      </c>
      <c r="I1790" s="22" t="str">
        <f t="shared" si="190"/>
        <v>2019-07-10</v>
      </c>
      <c r="J1790" s="23" t="str">
        <f t="shared" si="191"/>
        <v>43</v>
      </c>
      <c r="K1790" t="str">
        <f t="shared" si="192"/>
        <v>yes</v>
      </c>
      <c r="L1790">
        <v>43</v>
      </c>
      <c r="M1790" t="str">
        <f t="shared" si="193"/>
        <v>2019-07-10</v>
      </c>
      <c r="N1790" s="20">
        <f t="shared" si="194"/>
        <v>43657</v>
      </c>
      <c r="O1790" t="str">
        <f t="shared" si="195"/>
        <v>2019-07-11</v>
      </c>
    </row>
    <row r="1791" spans="1:15" x14ac:dyDescent="0.2">
      <c r="A1791" s="21" t="str">
        <f t="shared" si="189"/>
        <v>y</v>
      </c>
      <c r="B1791" s="24">
        <v>43745</v>
      </c>
      <c r="C1791" t="s">
        <v>371</v>
      </c>
      <c r="D1791" t="s">
        <v>13</v>
      </c>
      <c r="E1791" t="s">
        <v>49</v>
      </c>
      <c r="F1791" t="s">
        <v>29</v>
      </c>
      <c r="G1791" t="s">
        <v>403</v>
      </c>
      <c r="H1791" t="s">
        <v>2061</v>
      </c>
      <c r="I1791" s="22" t="str">
        <f t="shared" si="190"/>
        <v>2019-07-10</v>
      </c>
      <c r="J1791" s="23" t="str">
        <f t="shared" si="191"/>
        <v>43</v>
      </c>
      <c r="K1791" t="str">
        <f t="shared" si="192"/>
        <v>yes</v>
      </c>
      <c r="L1791">
        <v>43</v>
      </c>
      <c r="M1791" t="str">
        <f t="shared" si="193"/>
        <v>2019-07-10</v>
      </c>
      <c r="N1791" s="20" t="str">
        <f t="shared" si="194"/>
        <v>2019-07-10</v>
      </c>
      <c r="O1791" t="str">
        <f t="shared" si="195"/>
        <v>2019-07-10</v>
      </c>
    </row>
    <row r="1792" spans="1:15" x14ac:dyDescent="0.2">
      <c r="A1792" s="21" t="str">
        <f t="shared" si="189"/>
        <v>y</v>
      </c>
      <c r="B1792" s="24">
        <v>43715</v>
      </c>
      <c r="C1792" t="s">
        <v>365</v>
      </c>
      <c r="D1792" t="s">
        <v>13</v>
      </c>
      <c r="E1792" t="s">
        <v>27</v>
      </c>
      <c r="F1792" t="s">
        <v>2</v>
      </c>
      <c r="H1792" t="s">
        <v>2079</v>
      </c>
      <c r="I1792" s="22" t="str">
        <f t="shared" si="190"/>
        <v>2019-07-09</v>
      </c>
      <c r="J1792" s="23" t="str">
        <f t="shared" si="191"/>
        <v>43</v>
      </c>
      <c r="K1792" t="str">
        <f t="shared" si="192"/>
        <v>yes</v>
      </c>
      <c r="L1792">
        <v>43</v>
      </c>
      <c r="M1792" t="str">
        <f t="shared" si="193"/>
        <v>2019-07-09</v>
      </c>
      <c r="N1792" s="20">
        <f t="shared" si="194"/>
        <v>43656</v>
      </c>
      <c r="O1792" t="str">
        <f t="shared" si="195"/>
        <v>2019-07-10</v>
      </c>
    </row>
    <row r="1793" spans="1:15" x14ac:dyDescent="0.2">
      <c r="A1793" s="21" t="str">
        <f t="shared" si="189"/>
        <v>y</v>
      </c>
      <c r="B1793" s="24">
        <v>43715</v>
      </c>
      <c r="C1793" t="s">
        <v>220</v>
      </c>
      <c r="D1793" t="s">
        <v>13</v>
      </c>
      <c r="E1793" t="s">
        <v>34</v>
      </c>
      <c r="F1793" t="s">
        <v>29</v>
      </c>
      <c r="G1793" t="s">
        <v>401</v>
      </c>
      <c r="H1793" t="s">
        <v>2057</v>
      </c>
      <c r="I1793" s="22" t="str">
        <f t="shared" si="190"/>
        <v>2019-07-09</v>
      </c>
      <c r="J1793" s="23" t="str">
        <f t="shared" si="191"/>
        <v>43</v>
      </c>
      <c r="K1793" t="str">
        <f t="shared" si="192"/>
        <v>yes</v>
      </c>
      <c r="L1793">
        <v>43</v>
      </c>
      <c r="M1793" t="str">
        <f t="shared" si="193"/>
        <v>2019-07-09</v>
      </c>
      <c r="N1793" s="20" t="str">
        <f t="shared" si="194"/>
        <v>2019-07-09</v>
      </c>
      <c r="O1793" t="str">
        <f t="shared" si="195"/>
        <v>2019-07-09</v>
      </c>
    </row>
    <row r="1794" spans="1:15" x14ac:dyDescent="0.2">
      <c r="A1794" s="21" t="str">
        <f t="shared" si="189"/>
        <v>y</v>
      </c>
      <c r="B1794" s="24">
        <v>43715</v>
      </c>
      <c r="C1794" t="s">
        <v>32</v>
      </c>
      <c r="D1794" t="s">
        <v>13</v>
      </c>
      <c r="E1794" t="s">
        <v>69</v>
      </c>
      <c r="F1794" t="s">
        <v>29</v>
      </c>
      <c r="G1794" t="s">
        <v>399</v>
      </c>
      <c r="H1794" t="s">
        <v>2088</v>
      </c>
      <c r="I1794" s="22" t="str">
        <f t="shared" si="190"/>
        <v>2019-07-09</v>
      </c>
      <c r="J1794" s="23" t="str">
        <f t="shared" si="191"/>
        <v>43</v>
      </c>
      <c r="K1794" t="str">
        <f t="shared" si="192"/>
        <v>yes</v>
      </c>
      <c r="L1794">
        <v>43</v>
      </c>
      <c r="M1794" t="str">
        <f t="shared" si="193"/>
        <v>2019-07-09</v>
      </c>
      <c r="N1794" s="20" t="str">
        <f t="shared" si="194"/>
        <v>2019-07-09</v>
      </c>
      <c r="O1794" t="str">
        <f t="shared" si="195"/>
        <v>2019-07-09</v>
      </c>
    </row>
    <row r="1795" spans="1:15" x14ac:dyDescent="0.2">
      <c r="A1795" s="21" t="str">
        <f t="shared" si="189"/>
        <v>y</v>
      </c>
      <c r="B1795" s="24">
        <v>43715</v>
      </c>
      <c r="C1795" t="s">
        <v>32</v>
      </c>
      <c r="D1795" t="s">
        <v>13</v>
      </c>
      <c r="E1795" t="s">
        <v>49</v>
      </c>
      <c r="F1795" t="s">
        <v>2</v>
      </c>
      <c r="G1795" t="s">
        <v>400</v>
      </c>
      <c r="H1795" t="s">
        <v>2061</v>
      </c>
      <c r="I1795" s="22" t="str">
        <f t="shared" si="190"/>
        <v>2019-07-09</v>
      </c>
      <c r="J1795" s="23" t="str">
        <f t="shared" si="191"/>
        <v>43</v>
      </c>
      <c r="K1795" t="str">
        <f t="shared" si="192"/>
        <v>yes</v>
      </c>
      <c r="L1795">
        <v>43</v>
      </c>
      <c r="M1795" t="str">
        <f t="shared" si="193"/>
        <v>2019-07-09</v>
      </c>
      <c r="N1795" s="20">
        <f t="shared" si="194"/>
        <v>43656</v>
      </c>
      <c r="O1795" t="str">
        <f t="shared" si="195"/>
        <v>2019-07-10</v>
      </c>
    </row>
    <row r="1796" spans="1:15" x14ac:dyDescent="0.2">
      <c r="A1796" s="21" t="str">
        <f t="shared" ref="A1796:A1859" si="196">IF(LEFT(B1796,2)&gt;12,"y","-")</f>
        <v>y</v>
      </c>
      <c r="B1796" s="24">
        <v>43684</v>
      </c>
      <c r="C1796" t="s">
        <v>365</v>
      </c>
      <c r="D1796" t="s">
        <v>13</v>
      </c>
      <c r="E1796" t="s">
        <v>27</v>
      </c>
      <c r="F1796" t="s">
        <v>2</v>
      </c>
      <c r="H1796" t="s">
        <v>2079</v>
      </c>
      <c r="I1796" s="22" t="str">
        <f t="shared" ref="I1796:I1859" si="197">IF(K1796="yes",TEXT(B1796,"YYYY-DD-MM"),TEXT(B1796,"YYYY-MM-DD"))</f>
        <v>2019-07-08</v>
      </c>
      <c r="J1796" s="23" t="str">
        <f t="shared" ref="J1796:J1859" si="198">LEFT(B1796,2)</f>
        <v>43</v>
      </c>
      <c r="K1796" t="str">
        <f t="shared" ref="K1796:K1859" si="199">IF(L1796&gt;31,"yes","no")</f>
        <v>yes</v>
      </c>
      <c r="L1796">
        <v>43</v>
      </c>
      <c r="M1796" t="str">
        <f t="shared" ref="M1796:M1859" si="200">I1796</f>
        <v>2019-07-08</v>
      </c>
      <c r="N1796" s="20">
        <f t="shared" ref="N1796:N1859" si="201">IF(F1796="DONE",M1796,M1796+1)</f>
        <v>43655</v>
      </c>
      <c r="O1796" t="str">
        <f t="shared" ref="O1796:O1859" si="202">TEXT(N1796,"YYYY-MM-DD")</f>
        <v>2019-07-09</v>
      </c>
    </row>
    <row r="1797" spans="1:15" x14ac:dyDescent="0.2">
      <c r="A1797" s="21" t="str">
        <f t="shared" si="196"/>
        <v>y</v>
      </c>
      <c r="B1797" s="24">
        <v>43684</v>
      </c>
      <c r="C1797" t="s">
        <v>220</v>
      </c>
      <c r="D1797" t="s">
        <v>13</v>
      </c>
      <c r="E1797" t="s">
        <v>34</v>
      </c>
      <c r="F1797" t="s">
        <v>2</v>
      </c>
      <c r="G1797" t="s">
        <v>394</v>
      </c>
      <c r="H1797" t="s">
        <v>2013</v>
      </c>
      <c r="I1797" s="22" t="str">
        <f t="shared" si="197"/>
        <v>2019-07-08</v>
      </c>
      <c r="J1797" s="23" t="str">
        <f t="shared" si="198"/>
        <v>43</v>
      </c>
      <c r="K1797" t="str">
        <f t="shared" si="199"/>
        <v>yes</v>
      </c>
      <c r="L1797">
        <v>43</v>
      </c>
      <c r="M1797" t="str">
        <f t="shared" si="200"/>
        <v>2019-07-08</v>
      </c>
      <c r="N1797" s="20">
        <f t="shared" si="201"/>
        <v>43655</v>
      </c>
      <c r="O1797" t="str">
        <f t="shared" si="202"/>
        <v>2019-07-09</v>
      </c>
    </row>
    <row r="1798" spans="1:15" x14ac:dyDescent="0.2">
      <c r="A1798" s="21" t="str">
        <f t="shared" si="196"/>
        <v>y</v>
      </c>
      <c r="B1798" s="24">
        <v>43684</v>
      </c>
      <c r="C1798" t="s">
        <v>32</v>
      </c>
      <c r="D1798" t="s">
        <v>13</v>
      </c>
      <c r="E1798" t="s">
        <v>49</v>
      </c>
      <c r="F1798" t="s">
        <v>29</v>
      </c>
      <c r="G1798" t="s">
        <v>397</v>
      </c>
      <c r="H1798" t="s">
        <v>2057</v>
      </c>
      <c r="I1798" s="22" t="str">
        <f t="shared" si="197"/>
        <v>2019-07-08</v>
      </c>
      <c r="J1798" s="23" t="str">
        <f t="shared" si="198"/>
        <v>43</v>
      </c>
      <c r="K1798" t="str">
        <f t="shared" si="199"/>
        <v>yes</v>
      </c>
      <c r="L1798">
        <v>43</v>
      </c>
      <c r="M1798" t="str">
        <f t="shared" si="200"/>
        <v>2019-07-08</v>
      </c>
      <c r="N1798" s="20" t="str">
        <f t="shared" si="201"/>
        <v>2019-07-08</v>
      </c>
      <c r="O1798" t="str">
        <f t="shared" si="202"/>
        <v>2019-07-08</v>
      </c>
    </row>
    <row r="1799" spans="1:15" x14ac:dyDescent="0.2">
      <c r="A1799" s="21" t="str">
        <f t="shared" si="196"/>
        <v>y</v>
      </c>
      <c r="B1799" s="24">
        <v>43684</v>
      </c>
      <c r="C1799" t="s">
        <v>241</v>
      </c>
      <c r="D1799" t="s">
        <v>13</v>
      </c>
      <c r="E1799" t="s">
        <v>49</v>
      </c>
      <c r="F1799" t="s">
        <v>2</v>
      </c>
      <c r="G1799" t="s">
        <v>398</v>
      </c>
      <c r="H1799" t="s">
        <v>2088</v>
      </c>
      <c r="I1799" s="22" t="str">
        <f t="shared" si="197"/>
        <v>2019-07-08</v>
      </c>
      <c r="J1799" s="23" t="str">
        <f t="shared" si="198"/>
        <v>43</v>
      </c>
      <c r="K1799" t="str">
        <f t="shared" si="199"/>
        <v>yes</v>
      </c>
      <c r="L1799">
        <v>43</v>
      </c>
      <c r="M1799" t="str">
        <f t="shared" si="200"/>
        <v>2019-07-08</v>
      </c>
      <c r="N1799" s="20">
        <f t="shared" si="201"/>
        <v>43655</v>
      </c>
      <c r="O1799" t="str">
        <f t="shared" si="202"/>
        <v>2019-07-09</v>
      </c>
    </row>
    <row r="1800" spans="1:15" x14ac:dyDescent="0.2">
      <c r="A1800" s="21" t="str">
        <f t="shared" si="196"/>
        <v>y</v>
      </c>
      <c r="B1800" s="24">
        <v>43653</v>
      </c>
      <c r="C1800" t="s">
        <v>365</v>
      </c>
      <c r="D1800" t="s">
        <v>13</v>
      </c>
      <c r="E1800" t="s">
        <v>27</v>
      </c>
      <c r="F1800" t="s">
        <v>2</v>
      </c>
      <c r="H1800" t="s">
        <v>2089</v>
      </c>
      <c r="I1800" s="22" t="str">
        <f t="shared" si="197"/>
        <v>2019-07-07</v>
      </c>
      <c r="J1800" s="23" t="str">
        <f t="shared" si="198"/>
        <v>43</v>
      </c>
      <c r="K1800" t="str">
        <f t="shared" si="199"/>
        <v>yes</v>
      </c>
      <c r="L1800">
        <v>43</v>
      </c>
      <c r="M1800" t="str">
        <f t="shared" si="200"/>
        <v>2019-07-07</v>
      </c>
      <c r="N1800" s="20">
        <f t="shared" si="201"/>
        <v>43654</v>
      </c>
      <c r="O1800" t="str">
        <f t="shared" si="202"/>
        <v>2019-07-08</v>
      </c>
    </row>
    <row r="1801" spans="1:15" x14ac:dyDescent="0.2">
      <c r="A1801" s="21" t="str">
        <f t="shared" si="196"/>
        <v>y</v>
      </c>
      <c r="B1801" s="24">
        <v>43653</v>
      </c>
      <c r="C1801" t="s">
        <v>381</v>
      </c>
      <c r="D1801" t="s">
        <v>13</v>
      </c>
      <c r="E1801" t="s">
        <v>27</v>
      </c>
      <c r="F1801" t="s">
        <v>29</v>
      </c>
      <c r="G1801" t="s">
        <v>396</v>
      </c>
      <c r="H1801" t="s">
        <v>2088</v>
      </c>
      <c r="I1801" s="22" t="str">
        <f t="shared" si="197"/>
        <v>2019-07-07</v>
      </c>
      <c r="J1801" s="23" t="str">
        <f t="shared" si="198"/>
        <v>43</v>
      </c>
      <c r="K1801" t="str">
        <f t="shared" si="199"/>
        <v>yes</v>
      </c>
      <c r="L1801">
        <v>43</v>
      </c>
      <c r="M1801" t="str">
        <f t="shared" si="200"/>
        <v>2019-07-07</v>
      </c>
      <c r="N1801" s="20" t="str">
        <f t="shared" si="201"/>
        <v>2019-07-07</v>
      </c>
      <c r="O1801" t="str">
        <f t="shared" si="202"/>
        <v>2019-07-07</v>
      </c>
    </row>
    <row r="1802" spans="1:15" x14ac:dyDescent="0.2">
      <c r="A1802" s="21" t="str">
        <f t="shared" si="196"/>
        <v>y</v>
      </c>
      <c r="B1802" s="24">
        <v>43653</v>
      </c>
      <c r="C1802" t="s">
        <v>220</v>
      </c>
      <c r="D1802" t="s">
        <v>13</v>
      </c>
      <c r="E1802" t="s">
        <v>34</v>
      </c>
      <c r="F1802" t="s">
        <v>2</v>
      </c>
      <c r="G1802" t="s">
        <v>394</v>
      </c>
      <c r="H1802" t="s">
        <v>2087</v>
      </c>
      <c r="I1802" s="22" t="str">
        <f t="shared" si="197"/>
        <v>2019-07-07</v>
      </c>
      <c r="J1802" s="23" t="str">
        <f t="shared" si="198"/>
        <v>43</v>
      </c>
      <c r="K1802" t="str">
        <f t="shared" si="199"/>
        <v>yes</v>
      </c>
      <c r="L1802">
        <v>43</v>
      </c>
      <c r="M1802" t="str">
        <f t="shared" si="200"/>
        <v>2019-07-07</v>
      </c>
      <c r="N1802" s="20">
        <f t="shared" si="201"/>
        <v>43654</v>
      </c>
      <c r="O1802" t="str">
        <f t="shared" si="202"/>
        <v>2019-07-08</v>
      </c>
    </row>
    <row r="1803" spans="1:15" x14ac:dyDescent="0.2">
      <c r="A1803" s="21" t="str">
        <f t="shared" si="196"/>
        <v>y</v>
      </c>
      <c r="B1803" s="24">
        <v>43653</v>
      </c>
      <c r="C1803" t="s">
        <v>349</v>
      </c>
      <c r="D1803" t="s">
        <v>13</v>
      </c>
      <c r="E1803" t="s">
        <v>8</v>
      </c>
      <c r="F1803" t="s">
        <v>29</v>
      </c>
      <c r="G1803" t="s">
        <v>390</v>
      </c>
      <c r="H1803" t="s">
        <v>2061</v>
      </c>
      <c r="I1803" s="22" t="str">
        <f t="shared" si="197"/>
        <v>2019-07-07</v>
      </c>
      <c r="J1803" s="23" t="str">
        <f t="shared" si="198"/>
        <v>43</v>
      </c>
      <c r="K1803" t="str">
        <f t="shared" si="199"/>
        <v>yes</v>
      </c>
      <c r="L1803">
        <v>43</v>
      </c>
      <c r="M1803" t="str">
        <f t="shared" si="200"/>
        <v>2019-07-07</v>
      </c>
      <c r="N1803" s="20" t="str">
        <f t="shared" si="201"/>
        <v>2019-07-07</v>
      </c>
      <c r="O1803" t="str">
        <f t="shared" si="202"/>
        <v>2019-07-07</v>
      </c>
    </row>
    <row r="1804" spans="1:15" x14ac:dyDescent="0.2">
      <c r="A1804" s="21" t="str">
        <f t="shared" si="196"/>
        <v>y</v>
      </c>
      <c r="B1804" s="24">
        <v>43623</v>
      </c>
      <c r="C1804" t="s">
        <v>365</v>
      </c>
      <c r="D1804" t="s">
        <v>13</v>
      </c>
      <c r="E1804" t="s">
        <v>27</v>
      </c>
      <c r="F1804" t="s">
        <v>2</v>
      </c>
      <c r="G1804" t="s">
        <v>386</v>
      </c>
      <c r="H1804" t="s">
        <v>2034</v>
      </c>
      <c r="I1804" s="22" t="str">
        <f t="shared" si="197"/>
        <v>2019-07-06</v>
      </c>
      <c r="J1804" s="23" t="str">
        <f t="shared" si="198"/>
        <v>43</v>
      </c>
      <c r="K1804" t="str">
        <f t="shared" si="199"/>
        <v>yes</v>
      </c>
      <c r="L1804">
        <v>43</v>
      </c>
      <c r="M1804" t="str">
        <f t="shared" si="200"/>
        <v>2019-07-06</v>
      </c>
      <c r="N1804" s="20">
        <f t="shared" si="201"/>
        <v>43653</v>
      </c>
      <c r="O1804" t="str">
        <f t="shared" si="202"/>
        <v>2019-07-07</v>
      </c>
    </row>
    <row r="1805" spans="1:15" x14ac:dyDescent="0.2">
      <c r="A1805" s="21" t="str">
        <f t="shared" si="196"/>
        <v>y</v>
      </c>
      <c r="B1805" s="24">
        <v>43623</v>
      </c>
      <c r="C1805" t="s">
        <v>381</v>
      </c>
      <c r="D1805" t="s">
        <v>13</v>
      </c>
      <c r="E1805" t="s">
        <v>27</v>
      </c>
      <c r="F1805" t="s">
        <v>2</v>
      </c>
      <c r="G1805" t="s">
        <v>393</v>
      </c>
      <c r="H1805" t="s">
        <v>2057</v>
      </c>
      <c r="I1805" s="22" t="str">
        <f t="shared" si="197"/>
        <v>2019-07-06</v>
      </c>
      <c r="J1805" s="23" t="str">
        <f t="shared" si="198"/>
        <v>43</v>
      </c>
      <c r="K1805" t="str">
        <f t="shared" si="199"/>
        <v>yes</v>
      </c>
      <c r="L1805">
        <v>43</v>
      </c>
      <c r="M1805" t="str">
        <f t="shared" si="200"/>
        <v>2019-07-06</v>
      </c>
      <c r="N1805" s="20">
        <f t="shared" si="201"/>
        <v>43653</v>
      </c>
      <c r="O1805" t="str">
        <f t="shared" si="202"/>
        <v>2019-07-07</v>
      </c>
    </row>
    <row r="1806" spans="1:15" x14ac:dyDescent="0.2">
      <c r="A1806" s="21" t="str">
        <f t="shared" si="196"/>
        <v>y</v>
      </c>
      <c r="B1806" s="24">
        <v>43623</v>
      </c>
      <c r="C1806" t="s">
        <v>220</v>
      </c>
      <c r="D1806" t="s">
        <v>13</v>
      </c>
      <c r="E1806" t="s">
        <v>34</v>
      </c>
      <c r="F1806" t="s">
        <v>2</v>
      </c>
      <c r="G1806" t="s">
        <v>389</v>
      </c>
      <c r="H1806" t="s">
        <v>2013</v>
      </c>
      <c r="I1806" s="22" t="str">
        <f t="shared" si="197"/>
        <v>2019-07-06</v>
      </c>
      <c r="J1806" s="23" t="str">
        <f t="shared" si="198"/>
        <v>43</v>
      </c>
      <c r="K1806" t="str">
        <f t="shared" si="199"/>
        <v>yes</v>
      </c>
      <c r="L1806">
        <v>43</v>
      </c>
      <c r="M1806" t="str">
        <f t="shared" si="200"/>
        <v>2019-07-06</v>
      </c>
      <c r="N1806" s="20">
        <f t="shared" si="201"/>
        <v>43653</v>
      </c>
      <c r="O1806" t="str">
        <f t="shared" si="202"/>
        <v>2019-07-07</v>
      </c>
    </row>
    <row r="1807" spans="1:15" x14ac:dyDescent="0.2">
      <c r="A1807" s="21" t="str">
        <f t="shared" si="196"/>
        <v>y</v>
      </c>
      <c r="B1807" s="24">
        <v>43623</v>
      </c>
      <c r="C1807" t="s">
        <v>349</v>
      </c>
      <c r="D1807" t="s">
        <v>13</v>
      </c>
      <c r="E1807" t="s">
        <v>49</v>
      </c>
      <c r="F1807" t="s">
        <v>29</v>
      </c>
      <c r="G1807" t="s">
        <v>387</v>
      </c>
      <c r="H1807" t="s">
        <v>2088</v>
      </c>
      <c r="I1807" s="22" t="str">
        <f t="shared" si="197"/>
        <v>2019-07-06</v>
      </c>
      <c r="J1807" s="23" t="str">
        <f t="shared" si="198"/>
        <v>43</v>
      </c>
      <c r="K1807" t="str">
        <f t="shared" si="199"/>
        <v>yes</v>
      </c>
      <c r="L1807">
        <v>43</v>
      </c>
      <c r="M1807" t="str">
        <f t="shared" si="200"/>
        <v>2019-07-06</v>
      </c>
      <c r="N1807" s="20" t="str">
        <f t="shared" si="201"/>
        <v>2019-07-06</v>
      </c>
      <c r="O1807" t="str">
        <f t="shared" si="202"/>
        <v>2019-07-06</v>
      </c>
    </row>
    <row r="1808" spans="1:15" x14ac:dyDescent="0.2">
      <c r="A1808" s="21" t="str">
        <f t="shared" si="196"/>
        <v>y</v>
      </c>
      <c r="B1808" s="24">
        <v>43623</v>
      </c>
      <c r="C1808" t="s">
        <v>321</v>
      </c>
      <c r="D1808" t="s">
        <v>14</v>
      </c>
      <c r="E1808" t="s">
        <v>8</v>
      </c>
      <c r="F1808" t="s">
        <v>29</v>
      </c>
      <c r="G1808" t="s">
        <v>388</v>
      </c>
      <c r="H1808" t="s">
        <v>2034</v>
      </c>
      <c r="I1808" s="22" t="str">
        <f t="shared" si="197"/>
        <v>2019-07-06</v>
      </c>
      <c r="J1808" s="23" t="str">
        <f t="shared" si="198"/>
        <v>43</v>
      </c>
      <c r="K1808" t="str">
        <f t="shared" si="199"/>
        <v>yes</v>
      </c>
      <c r="L1808">
        <v>43</v>
      </c>
      <c r="M1808" t="str">
        <f t="shared" si="200"/>
        <v>2019-07-06</v>
      </c>
      <c r="N1808" s="20" t="str">
        <f t="shared" si="201"/>
        <v>2019-07-06</v>
      </c>
      <c r="O1808" t="str">
        <f t="shared" si="202"/>
        <v>2019-07-06</v>
      </c>
    </row>
    <row r="1809" spans="1:15" x14ac:dyDescent="0.2">
      <c r="A1809" s="21" t="str">
        <f t="shared" si="196"/>
        <v>y</v>
      </c>
      <c r="B1809" s="24">
        <v>43562</v>
      </c>
      <c r="C1809" t="s">
        <v>365</v>
      </c>
      <c r="D1809" t="s">
        <v>13</v>
      </c>
      <c r="E1809" t="s">
        <v>27</v>
      </c>
      <c r="F1809" t="s">
        <v>2</v>
      </c>
      <c r="H1809" t="s">
        <v>2057</v>
      </c>
      <c r="I1809" s="22" t="str">
        <f t="shared" si="197"/>
        <v>2019-07-04</v>
      </c>
      <c r="J1809" s="23" t="str">
        <f t="shared" si="198"/>
        <v>43</v>
      </c>
      <c r="K1809" t="str">
        <f t="shared" si="199"/>
        <v>yes</v>
      </c>
      <c r="L1809">
        <v>43</v>
      </c>
      <c r="M1809" t="str">
        <f t="shared" si="200"/>
        <v>2019-07-04</v>
      </c>
      <c r="N1809" s="20">
        <f t="shared" si="201"/>
        <v>43651</v>
      </c>
      <c r="O1809" t="str">
        <f t="shared" si="202"/>
        <v>2019-07-05</v>
      </c>
    </row>
    <row r="1810" spans="1:15" x14ac:dyDescent="0.2">
      <c r="A1810" s="21" t="str">
        <f t="shared" si="196"/>
        <v>y</v>
      </c>
      <c r="B1810" s="24">
        <v>43562</v>
      </c>
      <c r="C1810" t="s">
        <v>381</v>
      </c>
      <c r="D1810" t="s">
        <v>13</v>
      </c>
      <c r="E1810" t="s">
        <v>4</v>
      </c>
      <c r="F1810" t="s">
        <v>29</v>
      </c>
      <c r="G1810" t="s">
        <v>385</v>
      </c>
      <c r="H1810" t="s">
        <v>2089</v>
      </c>
      <c r="I1810" s="22" t="str">
        <f t="shared" si="197"/>
        <v>2019-07-04</v>
      </c>
      <c r="J1810" s="23" t="str">
        <f t="shared" si="198"/>
        <v>43</v>
      </c>
      <c r="K1810" t="str">
        <f t="shared" si="199"/>
        <v>yes</v>
      </c>
      <c r="L1810">
        <v>43</v>
      </c>
      <c r="M1810" t="str">
        <f t="shared" si="200"/>
        <v>2019-07-04</v>
      </c>
      <c r="N1810" s="20" t="str">
        <f t="shared" si="201"/>
        <v>2019-07-04</v>
      </c>
      <c r="O1810" t="str">
        <f t="shared" si="202"/>
        <v>2019-07-04</v>
      </c>
    </row>
    <row r="1811" spans="1:15" x14ac:dyDescent="0.2">
      <c r="A1811" s="21" t="str">
        <f t="shared" si="196"/>
        <v>y</v>
      </c>
      <c r="B1811" s="24">
        <v>43562</v>
      </c>
      <c r="C1811" t="s">
        <v>381</v>
      </c>
      <c r="D1811" t="s">
        <v>13</v>
      </c>
      <c r="E1811" t="s">
        <v>27</v>
      </c>
      <c r="F1811" t="s">
        <v>2</v>
      </c>
      <c r="G1811" t="s">
        <v>392</v>
      </c>
      <c r="H1811" t="s">
        <v>2013</v>
      </c>
      <c r="I1811" s="22" t="str">
        <f t="shared" si="197"/>
        <v>2019-07-04</v>
      </c>
      <c r="J1811" s="23" t="str">
        <f t="shared" si="198"/>
        <v>43</v>
      </c>
      <c r="K1811" t="str">
        <f t="shared" si="199"/>
        <v>yes</v>
      </c>
      <c r="L1811">
        <v>43</v>
      </c>
      <c r="M1811" t="str">
        <f t="shared" si="200"/>
        <v>2019-07-04</v>
      </c>
      <c r="N1811" s="20">
        <f t="shared" si="201"/>
        <v>43651</v>
      </c>
      <c r="O1811" t="str">
        <f t="shared" si="202"/>
        <v>2019-07-05</v>
      </c>
    </row>
    <row r="1812" spans="1:15" x14ac:dyDescent="0.2">
      <c r="A1812" s="21" t="str">
        <f t="shared" si="196"/>
        <v>y</v>
      </c>
      <c r="B1812" s="24">
        <v>43562</v>
      </c>
      <c r="C1812" t="s">
        <v>277</v>
      </c>
      <c r="D1812" t="s">
        <v>13</v>
      </c>
      <c r="E1812" t="s">
        <v>8</v>
      </c>
      <c r="F1812" t="s">
        <v>29</v>
      </c>
      <c r="G1812" t="s">
        <v>384</v>
      </c>
      <c r="H1812" t="s">
        <v>2013</v>
      </c>
      <c r="I1812" s="22" t="str">
        <f t="shared" si="197"/>
        <v>2019-07-04</v>
      </c>
      <c r="J1812" s="23" t="str">
        <f t="shared" si="198"/>
        <v>43</v>
      </c>
      <c r="K1812" t="str">
        <f t="shared" si="199"/>
        <v>yes</v>
      </c>
      <c r="L1812">
        <v>43</v>
      </c>
      <c r="M1812" t="str">
        <f t="shared" si="200"/>
        <v>2019-07-04</v>
      </c>
      <c r="N1812" s="20" t="str">
        <f t="shared" si="201"/>
        <v>2019-07-04</v>
      </c>
      <c r="O1812" t="str">
        <f t="shared" si="202"/>
        <v>2019-07-04</v>
      </c>
    </row>
    <row r="1813" spans="1:15" x14ac:dyDescent="0.2">
      <c r="A1813" s="21" t="str">
        <f t="shared" si="196"/>
        <v>y</v>
      </c>
      <c r="B1813" s="24">
        <v>43562</v>
      </c>
      <c r="C1813" t="s">
        <v>241</v>
      </c>
      <c r="D1813" t="s">
        <v>13</v>
      </c>
      <c r="E1813" t="s">
        <v>27</v>
      </c>
      <c r="F1813" t="s">
        <v>29</v>
      </c>
      <c r="G1813" t="s">
        <v>391</v>
      </c>
      <c r="H1813" t="s">
        <v>2034</v>
      </c>
      <c r="I1813" s="22" t="str">
        <f t="shared" si="197"/>
        <v>2019-07-04</v>
      </c>
      <c r="J1813" s="23" t="str">
        <f t="shared" si="198"/>
        <v>43</v>
      </c>
      <c r="K1813" t="str">
        <f t="shared" si="199"/>
        <v>yes</v>
      </c>
      <c r="L1813">
        <v>43</v>
      </c>
      <c r="M1813" t="str">
        <f t="shared" si="200"/>
        <v>2019-07-04</v>
      </c>
      <c r="N1813" s="20" t="str">
        <f t="shared" si="201"/>
        <v>2019-07-04</v>
      </c>
      <c r="O1813" t="str">
        <f t="shared" si="202"/>
        <v>2019-07-04</v>
      </c>
    </row>
    <row r="1814" spans="1:15" x14ac:dyDescent="0.2">
      <c r="A1814" s="21" t="str">
        <f t="shared" si="196"/>
        <v>y</v>
      </c>
      <c r="B1814" s="24">
        <v>43562</v>
      </c>
      <c r="C1814" t="s">
        <v>220</v>
      </c>
      <c r="D1814" t="s">
        <v>13</v>
      </c>
      <c r="E1814" t="s">
        <v>34</v>
      </c>
      <c r="F1814" t="s">
        <v>2</v>
      </c>
      <c r="H1814" t="s">
        <v>2090</v>
      </c>
      <c r="I1814" s="22" t="str">
        <f t="shared" si="197"/>
        <v>2019-07-04</v>
      </c>
      <c r="J1814" s="23" t="str">
        <f t="shared" si="198"/>
        <v>43</v>
      </c>
      <c r="K1814" t="str">
        <f t="shared" si="199"/>
        <v>yes</v>
      </c>
      <c r="L1814">
        <v>43</v>
      </c>
      <c r="M1814" t="str">
        <f t="shared" si="200"/>
        <v>2019-07-04</v>
      </c>
      <c r="N1814" s="20">
        <f t="shared" si="201"/>
        <v>43651</v>
      </c>
      <c r="O1814" t="str">
        <f t="shared" si="202"/>
        <v>2019-07-05</v>
      </c>
    </row>
    <row r="1815" spans="1:15" x14ac:dyDescent="0.2">
      <c r="A1815" s="21" t="str">
        <f t="shared" si="196"/>
        <v>y</v>
      </c>
      <c r="B1815" s="24">
        <v>43531</v>
      </c>
      <c r="C1815" t="s">
        <v>352</v>
      </c>
      <c r="D1815" t="s">
        <v>13</v>
      </c>
      <c r="E1815" t="s">
        <v>27</v>
      </c>
      <c r="F1815" t="s">
        <v>29</v>
      </c>
      <c r="G1815" t="s">
        <v>379</v>
      </c>
      <c r="H1815" t="s">
        <v>2057</v>
      </c>
      <c r="I1815" s="22" t="str">
        <f t="shared" si="197"/>
        <v>2019-07-03</v>
      </c>
      <c r="J1815" s="23" t="str">
        <f t="shared" si="198"/>
        <v>43</v>
      </c>
      <c r="K1815" t="str">
        <f t="shared" si="199"/>
        <v>yes</v>
      </c>
      <c r="L1815">
        <v>43</v>
      </c>
      <c r="M1815" t="str">
        <f t="shared" si="200"/>
        <v>2019-07-03</v>
      </c>
      <c r="N1815" s="20" t="str">
        <f t="shared" si="201"/>
        <v>2019-07-03</v>
      </c>
      <c r="O1815" t="str">
        <f t="shared" si="202"/>
        <v>2019-07-03</v>
      </c>
    </row>
    <row r="1816" spans="1:15" x14ac:dyDescent="0.2">
      <c r="A1816" s="21" t="str">
        <f t="shared" si="196"/>
        <v>y</v>
      </c>
      <c r="B1816" s="24">
        <v>43531</v>
      </c>
      <c r="C1816" t="s">
        <v>365</v>
      </c>
      <c r="D1816" t="s">
        <v>13</v>
      </c>
      <c r="E1816" t="s">
        <v>27</v>
      </c>
      <c r="F1816" t="s">
        <v>2</v>
      </c>
      <c r="H1816" t="s">
        <v>2089</v>
      </c>
      <c r="I1816" s="22" t="str">
        <f t="shared" si="197"/>
        <v>2019-07-03</v>
      </c>
      <c r="J1816" s="23" t="str">
        <f t="shared" si="198"/>
        <v>43</v>
      </c>
      <c r="K1816" t="str">
        <f t="shared" si="199"/>
        <v>yes</v>
      </c>
      <c r="L1816">
        <v>43</v>
      </c>
      <c r="M1816" t="str">
        <f t="shared" si="200"/>
        <v>2019-07-03</v>
      </c>
      <c r="N1816" s="20">
        <f t="shared" si="201"/>
        <v>43650</v>
      </c>
      <c r="O1816" t="str">
        <f t="shared" si="202"/>
        <v>2019-07-04</v>
      </c>
    </row>
    <row r="1817" spans="1:15" x14ac:dyDescent="0.2">
      <c r="A1817" s="21" t="str">
        <f t="shared" si="196"/>
        <v>y</v>
      </c>
      <c r="B1817" s="24">
        <v>43531</v>
      </c>
      <c r="C1817" t="s">
        <v>321</v>
      </c>
      <c r="D1817" t="s">
        <v>14</v>
      </c>
      <c r="E1817" t="s">
        <v>27</v>
      </c>
      <c r="F1817" t="s">
        <v>29</v>
      </c>
      <c r="G1817" t="s">
        <v>383</v>
      </c>
      <c r="H1817" t="s">
        <v>2084</v>
      </c>
      <c r="I1817" s="22" t="str">
        <f t="shared" si="197"/>
        <v>2019-07-03</v>
      </c>
      <c r="J1817" s="23" t="str">
        <f t="shared" si="198"/>
        <v>43</v>
      </c>
      <c r="K1817" t="str">
        <f t="shared" si="199"/>
        <v>yes</v>
      </c>
      <c r="L1817">
        <v>43</v>
      </c>
      <c r="M1817" t="str">
        <f t="shared" si="200"/>
        <v>2019-07-03</v>
      </c>
      <c r="N1817" s="20" t="str">
        <f t="shared" si="201"/>
        <v>2019-07-03</v>
      </c>
      <c r="O1817" t="str">
        <f t="shared" si="202"/>
        <v>2019-07-03</v>
      </c>
    </row>
    <row r="1818" spans="1:15" x14ac:dyDescent="0.2">
      <c r="A1818" s="21" t="str">
        <f t="shared" si="196"/>
        <v>y</v>
      </c>
      <c r="B1818" s="24">
        <v>43531</v>
      </c>
      <c r="C1818" t="s">
        <v>381</v>
      </c>
      <c r="D1818" t="s">
        <v>13</v>
      </c>
      <c r="E1818" t="s">
        <v>27</v>
      </c>
      <c r="F1818" t="s">
        <v>2</v>
      </c>
      <c r="G1818" t="s">
        <v>382</v>
      </c>
      <c r="H1818" t="s">
        <v>2032</v>
      </c>
      <c r="I1818" s="22" t="str">
        <f t="shared" si="197"/>
        <v>2019-07-03</v>
      </c>
      <c r="J1818" s="23" t="str">
        <f t="shared" si="198"/>
        <v>43</v>
      </c>
      <c r="K1818" t="str">
        <f t="shared" si="199"/>
        <v>yes</v>
      </c>
      <c r="L1818">
        <v>43</v>
      </c>
      <c r="M1818" t="str">
        <f t="shared" si="200"/>
        <v>2019-07-03</v>
      </c>
      <c r="N1818" s="20">
        <f t="shared" si="201"/>
        <v>43650</v>
      </c>
      <c r="O1818" t="str">
        <f t="shared" si="202"/>
        <v>2019-07-04</v>
      </c>
    </row>
    <row r="1819" spans="1:15" x14ac:dyDescent="0.2">
      <c r="A1819" s="21" t="str">
        <f t="shared" si="196"/>
        <v>y</v>
      </c>
      <c r="B1819" s="24">
        <v>43503</v>
      </c>
      <c r="C1819" t="s">
        <v>352</v>
      </c>
      <c r="D1819" t="s">
        <v>13</v>
      </c>
      <c r="E1819" t="s">
        <v>49</v>
      </c>
      <c r="F1819" t="s">
        <v>2</v>
      </c>
      <c r="G1819" t="s">
        <v>372</v>
      </c>
      <c r="H1819" t="s">
        <v>2013</v>
      </c>
      <c r="I1819" s="22" t="str">
        <f t="shared" si="197"/>
        <v>2019-07-02</v>
      </c>
      <c r="J1819" s="23" t="str">
        <f t="shared" si="198"/>
        <v>43</v>
      </c>
      <c r="K1819" t="str">
        <f t="shared" si="199"/>
        <v>yes</v>
      </c>
      <c r="L1819">
        <v>43</v>
      </c>
      <c r="M1819" t="str">
        <f t="shared" si="200"/>
        <v>2019-07-02</v>
      </c>
      <c r="N1819" s="20">
        <f t="shared" si="201"/>
        <v>43649</v>
      </c>
      <c r="O1819" t="str">
        <f t="shared" si="202"/>
        <v>2019-07-03</v>
      </c>
    </row>
    <row r="1820" spans="1:15" x14ac:dyDescent="0.2">
      <c r="A1820" s="21" t="str">
        <f t="shared" si="196"/>
        <v>y</v>
      </c>
      <c r="B1820" s="24">
        <v>43503</v>
      </c>
      <c r="C1820" t="s">
        <v>365</v>
      </c>
      <c r="D1820" t="s">
        <v>13</v>
      </c>
      <c r="E1820" t="s">
        <v>27</v>
      </c>
      <c r="F1820" t="s">
        <v>2</v>
      </c>
      <c r="H1820" t="s">
        <v>2032</v>
      </c>
      <c r="I1820" s="22" t="str">
        <f t="shared" si="197"/>
        <v>2019-07-02</v>
      </c>
      <c r="J1820" s="23" t="str">
        <f t="shared" si="198"/>
        <v>43</v>
      </c>
      <c r="K1820" t="str">
        <f t="shared" si="199"/>
        <v>yes</v>
      </c>
      <c r="L1820">
        <v>43</v>
      </c>
      <c r="M1820" t="str">
        <f t="shared" si="200"/>
        <v>2019-07-02</v>
      </c>
      <c r="N1820" s="20">
        <f t="shared" si="201"/>
        <v>43649</v>
      </c>
      <c r="O1820" t="str">
        <f t="shared" si="202"/>
        <v>2019-07-03</v>
      </c>
    </row>
    <row r="1821" spans="1:15" x14ac:dyDescent="0.2">
      <c r="A1821" s="21" t="str">
        <f t="shared" si="196"/>
        <v>y</v>
      </c>
      <c r="B1821" s="24">
        <v>43503</v>
      </c>
      <c r="C1821" t="s">
        <v>277</v>
      </c>
      <c r="D1821" t="s">
        <v>13</v>
      </c>
      <c r="E1821" t="s">
        <v>27</v>
      </c>
      <c r="F1821" t="s">
        <v>29</v>
      </c>
      <c r="G1821" t="s">
        <v>380</v>
      </c>
      <c r="H1821" t="s">
        <v>2034</v>
      </c>
      <c r="I1821" s="22" t="str">
        <f t="shared" si="197"/>
        <v>2019-07-02</v>
      </c>
      <c r="J1821" s="23" t="str">
        <f t="shared" si="198"/>
        <v>43</v>
      </c>
      <c r="K1821" t="str">
        <f t="shared" si="199"/>
        <v>yes</v>
      </c>
      <c r="L1821">
        <v>43</v>
      </c>
      <c r="M1821" t="str">
        <f t="shared" si="200"/>
        <v>2019-07-02</v>
      </c>
      <c r="N1821" s="20" t="str">
        <f t="shared" si="201"/>
        <v>2019-07-02</v>
      </c>
      <c r="O1821" t="str">
        <f t="shared" si="202"/>
        <v>2019-07-02</v>
      </c>
    </row>
    <row r="1822" spans="1:15" x14ac:dyDescent="0.2">
      <c r="A1822" s="21" t="str">
        <f t="shared" si="196"/>
        <v>y</v>
      </c>
      <c r="B1822" s="24">
        <v>43503</v>
      </c>
      <c r="C1822" t="s">
        <v>321</v>
      </c>
      <c r="D1822" t="s">
        <v>14</v>
      </c>
      <c r="E1822" t="s">
        <v>21</v>
      </c>
      <c r="F1822" t="s">
        <v>29</v>
      </c>
      <c r="G1822" t="s">
        <v>378</v>
      </c>
      <c r="H1822" t="s">
        <v>2090</v>
      </c>
      <c r="I1822" s="22" t="str">
        <f t="shared" si="197"/>
        <v>2019-07-02</v>
      </c>
      <c r="J1822" s="23" t="str">
        <f t="shared" si="198"/>
        <v>43</v>
      </c>
      <c r="K1822" t="str">
        <f t="shared" si="199"/>
        <v>yes</v>
      </c>
      <c r="L1822">
        <v>43</v>
      </c>
      <c r="M1822" t="str">
        <f t="shared" si="200"/>
        <v>2019-07-02</v>
      </c>
      <c r="N1822" s="20" t="str">
        <f t="shared" si="201"/>
        <v>2019-07-02</v>
      </c>
      <c r="O1822" t="str">
        <f t="shared" si="202"/>
        <v>2019-07-02</v>
      </c>
    </row>
    <row r="1823" spans="1:15" x14ac:dyDescent="0.2">
      <c r="A1823" s="21" t="str">
        <f t="shared" si="196"/>
        <v>y</v>
      </c>
      <c r="B1823" s="24">
        <v>43503</v>
      </c>
      <c r="C1823" t="s">
        <v>321</v>
      </c>
      <c r="D1823" t="s">
        <v>14</v>
      </c>
      <c r="E1823" t="s">
        <v>43</v>
      </c>
      <c r="F1823" t="s">
        <v>2</v>
      </c>
      <c r="H1823" t="s">
        <v>2057</v>
      </c>
      <c r="I1823" s="22" t="str">
        <f t="shared" si="197"/>
        <v>2019-07-02</v>
      </c>
      <c r="J1823" s="23" t="str">
        <f t="shared" si="198"/>
        <v>43</v>
      </c>
      <c r="K1823" t="str">
        <f t="shared" si="199"/>
        <v>yes</v>
      </c>
      <c r="L1823">
        <v>43</v>
      </c>
      <c r="M1823" t="str">
        <f t="shared" si="200"/>
        <v>2019-07-02</v>
      </c>
      <c r="N1823" s="20">
        <f t="shared" si="201"/>
        <v>43649</v>
      </c>
      <c r="O1823" t="str">
        <f t="shared" si="202"/>
        <v>2019-07-03</v>
      </c>
    </row>
    <row r="1824" spans="1:15" x14ac:dyDescent="0.2">
      <c r="A1824" s="21" t="str">
        <f t="shared" si="196"/>
        <v>y</v>
      </c>
      <c r="B1824" s="24">
        <v>43472</v>
      </c>
      <c r="C1824" t="s">
        <v>352</v>
      </c>
      <c r="D1824" t="s">
        <v>13</v>
      </c>
      <c r="E1824" t="s">
        <v>27</v>
      </c>
      <c r="F1824" t="s">
        <v>29</v>
      </c>
      <c r="G1824" t="s">
        <v>372</v>
      </c>
      <c r="H1824" t="s">
        <v>2089</v>
      </c>
      <c r="I1824" s="22" t="str">
        <f t="shared" si="197"/>
        <v>2019-07-01</v>
      </c>
      <c r="J1824" s="23" t="str">
        <f t="shared" si="198"/>
        <v>43</v>
      </c>
      <c r="K1824" t="str">
        <f t="shared" si="199"/>
        <v>yes</v>
      </c>
      <c r="L1824">
        <v>43</v>
      </c>
      <c r="M1824" t="str">
        <f t="shared" si="200"/>
        <v>2019-07-01</v>
      </c>
      <c r="N1824" s="20" t="str">
        <f t="shared" si="201"/>
        <v>2019-07-01</v>
      </c>
      <c r="O1824" t="str">
        <f t="shared" si="202"/>
        <v>2019-07-01</v>
      </c>
    </row>
    <row r="1825" spans="1:15" x14ac:dyDescent="0.2">
      <c r="A1825" s="21" t="str">
        <f t="shared" si="196"/>
        <v>y</v>
      </c>
      <c r="B1825" s="24">
        <v>43472</v>
      </c>
      <c r="C1825" t="s">
        <v>358</v>
      </c>
      <c r="D1825" t="s">
        <v>13</v>
      </c>
      <c r="E1825" t="s">
        <v>49</v>
      </c>
      <c r="F1825" t="s">
        <v>29</v>
      </c>
      <c r="G1825" t="s">
        <v>369</v>
      </c>
      <c r="H1825" t="s">
        <v>2087</v>
      </c>
      <c r="I1825" s="22" t="str">
        <f t="shared" si="197"/>
        <v>2019-07-01</v>
      </c>
      <c r="J1825" s="23" t="str">
        <f t="shared" si="198"/>
        <v>43</v>
      </c>
      <c r="K1825" t="str">
        <f t="shared" si="199"/>
        <v>yes</v>
      </c>
      <c r="L1825">
        <v>43</v>
      </c>
      <c r="M1825" t="str">
        <f t="shared" si="200"/>
        <v>2019-07-01</v>
      </c>
      <c r="N1825" s="20" t="str">
        <f t="shared" si="201"/>
        <v>2019-07-01</v>
      </c>
      <c r="O1825" t="str">
        <f t="shared" si="202"/>
        <v>2019-07-01</v>
      </c>
    </row>
    <row r="1826" spans="1:15" x14ac:dyDescent="0.2">
      <c r="A1826" s="21" t="str">
        <f t="shared" si="196"/>
        <v>y</v>
      </c>
      <c r="B1826" s="24">
        <v>43472</v>
      </c>
      <c r="C1826" t="s">
        <v>365</v>
      </c>
      <c r="D1826" t="s">
        <v>13</v>
      </c>
      <c r="E1826" t="s">
        <v>27</v>
      </c>
      <c r="F1826" t="s">
        <v>2</v>
      </c>
      <c r="G1826" t="s">
        <v>375</v>
      </c>
      <c r="H1826" t="s">
        <v>2089</v>
      </c>
      <c r="I1826" s="22" t="str">
        <f t="shared" si="197"/>
        <v>2019-07-01</v>
      </c>
      <c r="J1826" s="23" t="str">
        <f t="shared" si="198"/>
        <v>43</v>
      </c>
      <c r="K1826" t="str">
        <f t="shared" si="199"/>
        <v>yes</v>
      </c>
      <c r="L1826">
        <v>43</v>
      </c>
      <c r="M1826" t="str">
        <f t="shared" si="200"/>
        <v>2019-07-01</v>
      </c>
      <c r="N1826" s="20">
        <f t="shared" si="201"/>
        <v>43648</v>
      </c>
      <c r="O1826" t="str">
        <f t="shared" si="202"/>
        <v>2019-07-02</v>
      </c>
    </row>
    <row r="1827" spans="1:15" x14ac:dyDescent="0.2">
      <c r="A1827" s="21" t="str">
        <f t="shared" si="196"/>
        <v>y</v>
      </c>
      <c r="B1827" s="24">
        <v>43472</v>
      </c>
      <c r="C1827" t="s">
        <v>277</v>
      </c>
      <c r="D1827" t="s">
        <v>13</v>
      </c>
      <c r="E1827" t="s">
        <v>8</v>
      </c>
      <c r="F1827" t="s">
        <v>2</v>
      </c>
      <c r="G1827" t="s">
        <v>376</v>
      </c>
      <c r="H1827" t="s">
        <v>2079</v>
      </c>
      <c r="I1827" s="22" t="str">
        <f t="shared" si="197"/>
        <v>2019-07-01</v>
      </c>
      <c r="J1827" s="23" t="str">
        <f t="shared" si="198"/>
        <v>43</v>
      </c>
      <c r="K1827" t="str">
        <f t="shared" si="199"/>
        <v>yes</v>
      </c>
      <c r="L1827">
        <v>43</v>
      </c>
      <c r="M1827" t="str">
        <f t="shared" si="200"/>
        <v>2019-07-01</v>
      </c>
      <c r="N1827" s="20">
        <f t="shared" si="201"/>
        <v>43648</v>
      </c>
      <c r="O1827" t="str">
        <f t="shared" si="202"/>
        <v>2019-07-02</v>
      </c>
    </row>
    <row r="1828" spans="1:15" x14ac:dyDescent="0.2">
      <c r="A1828" s="21" t="str">
        <f t="shared" si="196"/>
        <v>y</v>
      </c>
      <c r="B1828" s="24">
        <v>43472</v>
      </c>
      <c r="C1828" t="s">
        <v>371</v>
      </c>
      <c r="D1828" t="s">
        <v>13</v>
      </c>
      <c r="E1828" t="s">
        <v>27</v>
      </c>
      <c r="F1828" t="s">
        <v>29</v>
      </c>
      <c r="G1828" t="s">
        <v>373</v>
      </c>
      <c r="H1828" t="s">
        <v>2034</v>
      </c>
      <c r="I1828" s="22" t="str">
        <f t="shared" si="197"/>
        <v>2019-07-01</v>
      </c>
      <c r="J1828" s="23" t="str">
        <f t="shared" si="198"/>
        <v>43</v>
      </c>
      <c r="K1828" t="str">
        <f t="shared" si="199"/>
        <v>yes</v>
      </c>
      <c r="L1828">
        <v>43</v>
      </c>
      <c r="M1828" t="str">
        <f t="shared" si="200"/>
        <v>2019-07-01</v>
      </c>
      <c r="N1828" s="20" t="str">
        <f t="shared" si="201"/>
        <v>2019-07-01</v>
      </c>
      <c r="O1828" t="str">
        <f t="shared" si="202"/>
        <v>2019-07-01</v>
      </c>
    </row>
    <row r="1829" spans="1:15" x14ac:dyDescent="0.2">
      <c r="A1829" s="21" t="str">
        <f t="shared" si="196"/>
        <v>y</v>
      </c>
      <c r="B1829" s="24">
        <v>43472</v>
      </c>
      <c r="C1829" t="s">
        <v>151</v>
      </c>
      <c r="D1829" t="s">
        <v>13</v>
      </c>
      <c r="E1829" t="s">
        <v>8</v>
      </c>
      <c r="F1829" t="s">
        <v>29</v>
      </c>
      <c r="G1829" t="s">
        <v>374</v>
      </c>
      <c r="H1829" t="s">
        <v>2090</v>
      </c>
      <c r="I1829" s="22" t="str">
        <f t="shared" si="197"/>
        <v>2019-07-01</v>
      </c>
      <c r="J1829" s="23" t="str">
        <f t="shared" si="198"/>
        <v>43</v>
      </c>
      <c r="K1829" t="str">
        <f t="shared" si="199"/>
        <v>yes</v>
      </c>
      <c r="L1829">
        <v>43</v>
      </c>
      <c r="M1829" t="str">
        <f t="shared" si="200"/>
        <v>2019-07-01</v>
      </c>
      <c r="N1829" s="20" t="str">
        <f t="shared" si="201"/>
        <v>2019-07-01</v>
      </c>
      <c r="O1829" t="str">
        <f t="shared" si="202"/>
        <v>2019-07-01</v>
      </c>
    </row>
    <row r="1830" spans="1:15" x14ac:dyDescent="0.2">
      <c r="A1830" s="21" t="str">
        <f t="shared" si="196"/>
        <v>y</v>
      </c>
      <c r="B1830" s="24">
        <v>43472</v>
      </c>
      <c r="C1830" t="s">
        <v>321</v>
      </c>
      <c r="D1830" t="s">
        <v>14</v>
      </c>
      <c r="E1830" t="s">
        <v>43</v>
      </c>
      <c r="F1830" t="s">
        <v>2</v>
      </c>
      <c r="H1830" t="s">
        <v>2057</v>
      </c>
      <c r="I1830" s="22" t="str">
        <f t="shared" si="197"/>
        <v>2019-07-01</v>
      </c>
      <c r="J1830" s="23" t="str">
        <f t="shared" si="198"/>
        <v>43</v>
      </c>
      <c r="K1830" t="str">
        <f t="shared" si="199"/>
        <v>yes</v>
      </c>
      <c r="L1830">
        <v>43</v>
      </c>
      <c r="M1830" t="str">
        <f t="shared" si="200"/>
        <v>2019-07-01</v>
      </c>
      <c r="N1830" s="20">
        <f t="shared" si="201"/>
        <v>43648</v>
      </c>
      <c r="O1830" t="str">
        <f t="shared" si="202"/>
        <v>2019-07-02</v>
      </c>
    </row>
    <row r="1831" spans="1:15" x14ac:dyDescent="0.2">
      <c r="A1831" s="21" t="str">
        <f t="shared" si="196"/>
        <v>y</v>
      </c>
      <c r="B1831" s="24">
        <v>43472</v>
      </c>
      <c r="C1831" t="s">
        <v>63</v>
      </c>
      <c r="D1831" t="s">
        <v>13</v>
      </c>
      <c r="E1831" t="s">
        <v>8</v>
      </c>
      <c r="F1831" t="s">
        <v>29</v>
      </c>
      <c r="G1831" t="s">
        <v>377</v>
      </c>
      <c r="H1831" t="s">
        <v>2057</v>
      </c>
      <c r="I1831" s="22" t="str">
        <f t="shared" si="197"/>
        <v>2019-07-01</v>
      </c>
      <c r="J1831" s="23" t="str">
        <f t="shared" si="198"/>
        <v>43</v>
      </c>
      <c r="K1831" t="str">
        <f t="shared" si="199"/>
        <v>yes</v>
      </c>
      <c r="L1831">
        <v>43</v>
      </c>
      <c r="M1831" t="str">
        <f t="shared" si="200"/>
        <v>2019-07-01</v>
      </c>
      <c r="N1831" s="20" t="str">
        <f t="shared" si="201"/>
        <v>2019-07-01</v>
      </c>
      <c r="O1831" t="str">
        <f t="shared" si="202"/>
        <v>2019-07-01</v>
      </c>
    </row>
    <row r="1832" spans="1:15" x14ac:dyDescent="0.2">
      <c r="A1832" s="21" t="str">
        <f t="shared" si="196"/>
        <v>y</v>
      </c>
      <c r="B1832" s="24" t="s">
        <v>1860</v>
      </c>
      <c r="C1832" t="s">
        <v>352</v>
      </c>
      <c r="D1832" t="s">
        <v>13</v>
      </c>
      <c r="E1832" t="s">
        <v>27</v>
      </c>
      <c r="F1832" t="s">
        <v>2</v>
      </c>
      <c r="H1832" t="s">
        <v>2079</v>
      </c>
      <c r="I1832" s="22" t="str">
        <f t="shared" si="197"/>
        <v>2019-06-30</v>
      </c>
      <c r="J1832" s="23" t="str">
        <f t="shared" si="198"/>
        <v>30</v>
      </c>
      <c r="K1832" t="str">
        <f t="shared" si="199"/>
        <v>no</v>
      </c>
      <c r="L1832">
        <v>30</v>
      </c>
      <c r="M1832" t="str">
        <f t="shared" si="200"/>
        <v>2019-06-30</v>
      </c>
      <c r="N1832" s="20">
        <f t="shared" si="201"/>
        <v>43647</v>
      </c>
      <c r="O1832" t="str">
        <f t="shared" si="202"/>
        <v>2019-07-01</v>
      </c>
    </row>
    <row r="1833" spans="1:15" x14ac:dyDescent="0.2">
      <c r="A1833" s="21" t="str">
        <f t="shared" si="196"/>
        <v>y</v>
      </c>
      <c r="B1833" s="24" t="s">
        <v>1860</v>
      </c>
      <c r="C1833" t="s">
        <v>358</v>
      </c>
      <c r="D1833" t="s">
        <v>13</v>
      </c>
      <c r="E1833" t="s">
        <v>27</v>
      </c>
      <c r="F1833" t="s">
        <v>2</v>
      </c>
      <c r="H1833" t="s">
        <v>2034</v>
      </c>
      <c r="I1833" s="22" t="str">
        <f t="shared" si="197"/>
        <v>2019-06-30</v>
      </c>
      <c r="J1833" s="23" t="str">
        <f t="shared" si="198"/>
        <v>30</v>
      </c>
      <c r="K1833" t="str">
        <f t="shared" si="199"/>
        <v>no</v>
      </c>
      <c r="L1833">
        <v>30</v>
      </c>
      <c r="M1833" t="str">
        <f t="shared" si="200"/>
        <v>2019-06-30</v>
      </c>
      <c r="N1833" s="20">
        <f t="shared" si="201"/>
        <v>43647</v>
      </c>
      <c r="O1833" t="str">
        <f t="shared" si="202"/>
        <v>2019-07-01</v>
      </c>
    </row>
    <row r="1834" spans="1:15" x14ac:dyDescent="0.2">
      <c r="A1834" s="21" t="str">
        <f t="shared" si="196"/>
        <v>y</v>
      </c>
      <c r="B1834" s="24" t="s">
        <v>1860</v>
      </c>
      <c r="C1834" t="s">
        <v>365</v>
      </c>
      <c r="D1834" t="s">
        <v>13</v>
      </c>
      <c r="E1834" t="s">
        <v>27</v>
      </c>
      <c r="F1834" t="s">
        <v>2</v>
      </c>
      <c r="G1834" t="s">
        <v>367</v>
      </c>
      <c r="H1834" t="s">
        <v>2090</v>
      </c>
      <c r="I1834" s="22" t="str">
        <f t="shared" si="197"/>
        <v>2019-06-30</v>
      </c>
      <c r="J1834" s="23" t="str">
        <f t="shared" si="198"/>
        <v>30</v>
      </c>
      <c r="K1834" t="str">
        <f t="shared" si="199"/>
        <v>no</v>
      </c>
      <c r="L1834">
        <v>30</v>
      </c>
      <c r="M1834" t="str">
        <f t="shared" si="200"/>
        <v>2019-06-30</v>
      </c>
      <c r="N1834" s="20">
        <f t="shared" si="201"/>
        <v>43647</v>
      </c>
      <c r="O1834" t="str">
        <f t="shared" si="202"/>
        <v>2019-07-01</v>
      </c>
    </row>
    <row r="1835" spans="1:15" x14ac:dyDescent="0.2">
      <c r="A1835" s="21" t="str">
        <f t="shared" si="196"/>
        <v>y</v>
      </c>
      <c r="B1835" s="24" t="s">
        <v>1860</v>
      </c>
      <c r="C1835" t="s">
        <v>277</v>
      </c>
      <c r="D1835" t="s">
        <v>13</v>
      </c>
      <c r="E1835" t="s">
        <v>21</v>
      </c>
      <c r="F1835" t="s">
        <v>29</v>
      </c>
      <c r="G1835" t="s">
        <v>370</v>
      </c>
      <c r="H1835" t="s">
        <v>2034</v>
      </c>
      <c r="I1835" s="22" t="str">
        <f t="shared" si="197"/>
        <v>2019-06-30</v>
      </c>
      <c r="J1835" s="23" t="str">
        <f t="shared" si="198"/>
        <v>30</v>
      </c>
      <c r="K1835" t="str">
        <f t="shared" si="199"/>
        <v>no</v>
      </c>
      <c r="L1835">
        <v>30</v>
      </c>
      <c r="M1835" t="str">
        <f t="shared" si="200"/>
        <v>2019-06-30</v>
      </c>
      <c r="N1835" s="20" t="str">
        <f t="shared" si="201"/>
        <v>2019-06-30</v>
      </c>
      <c r="O1835" t="str">
        <f t="shared" si="202"/>
        <v>2019-06-30</v>
      </c>
    </row>
    <row r="1836" spans="1:15" x14ac:dyDescent="0.2">
      <c r="A1836" s="21" t="str">
        <f t="shared" si="196"/>
        <v>y</v>
      </c>
      <c r="B1836" s="24" t="s">
        <v>1860</v>
      </c>
      <c r="C1836" t="s">
        <v>277</v>
      </c>
      <c r="D1836" t="s">
        <v>13</v>
      </c>
      <c r="E1836" t="s">
        <v>8</v>
      </c>
      <c r="F1836" t="s">
        <v>2</v>
      </c>
      <c r="H1836" t="s">
        <v>2079</v>
      </c>
      <c r="I1836" s="22" t="str">
        <f t="shared" si="197"/>
        <v>2019-06-30</v>
      </c>
      <c r="J1836" s="23" t="str">
        <f t="shared" si="198"/>
        <v>30</v>
      </c>
      <c r="K1836" t="str">
        <f t="shared" si="199"/>
        <v>no</v>
      </c>
      <c r="L1836">
        <v>30</v>
      </c>
      <c r="M1836" t="str">
        <f t="shared" si="200"/>
        <v>2019-06-30</v>
      </c>
      <c r="N1836" s="20">
        <f t="shared" si="201"/>
        <v>43647</v>
      </c>
      <c r="O1836" t="str">
        <f t="shared" si="202"/>
        <v>2019-07-01</v>
      </c>
    </row>
    <row r="1837" spans="1:15" x14ac:dyDescent="0.2">
      <c r="A1837" s="21" t="str">
        <f t="shared" si="196"/>
        <v>y</v>
      </c>
      <c r="B1837" s="24" t="s">
        <v>1860</v>
      </c>
      <c r="C1837" t="s">
        <v>241</v>
      </c>
      <c r="D1837" t="s">
        <v>13</v>
      </c>
      <c r="E1837" t="s">
        <v>8</v>
      </c>
      <c r="F1837" t="s">
        <v>29</v>
      </c>
      <c r="G1837" t="s">
        <v>368</v>
      </c>
      <c r="H1837" t="s">
        <v>2034</v>
      </c>
      <c r="I1837" s="22" t="str">
        <f t="shared" si="197"/>
        <v>2019-06-30</v>
      </c>
      <c r="J1837" s="23" t="str">
        <f t="shared" si="198"/>
        <v>30</v>
      </c>
      <c r="K1837" t="str">
        <f t="shared" si="199"/>
        <v>no</v>
      </c>
      <c r="L1837">
        <v>30</v>
      </c>
      <c r="M1837" t="str">
        <f t="shared" si="200"/>
        <v>2019-06-30</v>
      </c>
      <c r="N1837" s="20" t="str">
        <f t="shared" si="201"/>
        <v>2019-06-30</v>
      </c>
      <c r="O1837" t="str">
        <f t="shared" si="202"/>
        <v>2019-06-30</v>
      </c>
    </row>
    <row r="1838" spans="1:15" x14ac:dyDescent="0.2">
      <c r="A1838" s="21" t="str">
        <f t="shared" si="196"/>
        <v>y</v>
      </c>
      <c r="B1838" s="24" t="s">
        <v>1861</v>
      </c>
      <c r="C1838" t="s">
        <v>349</v>
      </c>
      <c r="D1838" t="s">
        <v>13</v>
      </c>
      <c r="E1838" t="s">
        <v>27</v>
      </c>
      <c r="F1838" t="s">
        <v>29</v>
      </c>
      <c r="G1838" t="s">
        <v>364</v>
      </c>
      <c r="H1838" t="s">
        <v>2090</v>
      </c>
      <c r="I1838" s="22" t="str">
        <f t="shared" si="197"/>
        <v>2019-06-27</v>
      </c>
      <c r="J1838" s="23" t="str">
        <f t="shared" si="198"/>
        <v>27</v>
      </c>
      <c r="K1838" t="str">
        <f t="shared" si="199"/>
        <v>no</v>
      </c>
      <c r="L1838">
        <v>27</v>
      </c>
      <c r="M1838" t="str">
        <f t="shared" si="200"/>
        <v>2019-06-27</v>
      </c>
      <c r="N1838" s="20" t="str">
        <f t="shared" si="201"/>
        <v>2019-06-27</v>
      </c>
      <c r="O1838" t="str">
        <f t="shared" si="202"/>
        <v>2019-06-27</v>
      </c>
    </row>
    <row r="1839" spans="1:15" x14ac:dyDescent="0.2">
      <c r="A1839" s="21" t="str">
        <f t="shared" si="196"/>
        <v>y</v>
      </c>
      <c r="B1839" s="24" t="s">
        <v>1861</v>
      </c>
      <c r="C1839" t="s">
        <v>352</v>
      </c>
      <c r="D1839" t="s">
        <v>13</v>
      </c>
      <c r="E1839" t="s">
        <v>27</v>
      </c>
      <c r="F1839" t="s">
        <v>2</v>
      </c>
      <c r="H1839" t="s">
        <v>1988</v>
      </c>
      <c r="I1839" s="22" t="str">
        <f t="shared" si="197"/>
        <v>2019-06-27</v>
      </c>
      <c r="J1839" s="23" t="str">
        <f t="shared" si="198"/>
        <v>27</v>
      </c>
      <c r="K1839" t="str">
        <f t="shared" si="199"/>
        <v>no</v>
      </c>
      <c r="L1839">
        <v>27</v>
      </c>
      <c r="M1839" t="str">
        <f t="shared" si="200"/>
        <v>2019-06-27</v>
      </c>
      <c r="N1839" s="20">
        <f t="shared" si="201"/>
        <v>43644</v>
      </c>
      <c r="O1839" t="str">
        <f t="shared" si="202"/>
        <v>2019-06-28</v>
      </c>
    </row>
    <row r="1840" spans="1:15" x14ac:dyDescent="0.2">
      <c r="A1840" s="21" t="str">
        <f t="shared" si="196"/>
        <v>y</v>
      </c>
      <c r="B1840" s="24" t="s">
        <v>1861</v>
      </c>
      <c r="C1840" t="s">
        <v>358</v>
      </c>
      <c r="D1840" t="s">
        <v>13</v>
      </c>
      <c r="E1840" t="s">
        <v>27</v>
      </c>
      <c r="F1840" t="s">
        <v>2</v>
      </c>
      <c r="H1840" t="s">
        <v>2090</v>
      </c>
      <c r="I1840" s="22" t="str">
        <f t="shared" si="197"/>
        <v>2019-06-27</v>
      </c>
      <c r="J1840" s="23" t="str">
        <f t="shared" si="198"/>
        <v>27</v>
      </c>
      <c r="K1840" t="str">
        <f t="shared" si="199"/>
        <v>no</v>
      </c>
      <c r="L1840">
        <v>27</v>
      </c>
      <c r="M1840" t="str">
        <f t="shared" si="200"/>
        <v>2019-06-27</v>
      </c>
      <c r="N1840" s="20">
        <f t="shared" si="201"/>
        <v>43644</v>
      </c>
      <c r="O1840" t="str">
        <f t="shared" si="202"/>
        <v>2019-06-28</v>
      </c>
    </row>
    <row r="1841" spans="1:15" x14ac:dyDescent="0.2">
      <c r="A1841" s="21" t="str">
        <f t="shared" si="196"/>
        <v>y</v>
      </c>
      <c r="B1841" s="24" t="s">
        <v>1861</v>
      </c>
      <c r="C1841" t="s">
        <v>365</v>
      </c>
      <c r="D1841" t="s">
        <v>13</v>
      </c>
      <c r="E1841" t="s">
        <v>4</v>
      </c>
      <c r="F1841" t="s">
        <v>29</v>
      </c>
      <c r="G1841" t="s">
        <v>366</v>
      </c>
      <c r="H1841" t="s">
        <v>2013</v>
      </c>
      <c r="I1841" s="22" t="str">
        <f t="shared" si="197"/>
        <v>2019-06-27</v>
      </c>
      <c r="J1841" s="23" t="str">
        <f t="shared" si="198"/>
        <v>27</v>
      </c>
      <c r="K1841" t="str">
        <f t="shared" si="199"/>
        <v>no</v>
      </c>
      <c r="L1841">
        <v>27</v>
      </c>
      <c r="M1841" t="str">
        <f t="shared" si="200"/>
        <v>2019-06-27</v>
      </c>
      <c r="N1841" s="20" t="str">
        <f t="shared" si="201"/>
        <v>2019-06-27</v>
      </c>
      <c r="O1841" t="str">
        <f t="shared" si="202"/>
        <v>2019-06-27</v>
      </c>
    </row>
    <row r="1842" spans="1:15" x14ac:dyDescent="0.2">
      <c r="A1842" s="21" t="str">
        <f t="shared" si="196"/>
        <v>y</v>
      </c>
      <c r="B1842" s="24" t="s">
        <v>1861</v>
      </c>
      <c r="C1842" t="s">
        <v>365</v>
      </c>
      <c r="D1842" t="s">
        <v>13</v>
      </c>
      <c r="E1842" t="s">
        <v>27</v>
      </c>
      <c r="F1842" t="s">
        <v>2</v>
      </c>
      <c r="H1842" t="s">
        <v>2091</v>
      </c>
      <c r="I1842" s="22" t="str">
        <f t="shared" si="197"/>
        <v>2019-06-27</v>
      </c>
      <c r="J1842" s="23" t="str">
        <f t="shared" si="198"/>
        <v>27</v>
      </c>
      <c r="K1842" t="str">
        <f t="shared" si="199"/>
        <v>no</v>
      </c>
      <c r="L1842">
        <v>27</v>
      </c>
      <c r="M1842" t="str">
        <f t="shared" si="200"/>
        <v>2019-06-27</v>
      </c>
      <c r="N1842" s="20">
        <f t="shared" si="201"/>
        <v>43644</v>
      </c>
      <c r="O1842" t="str">
        <f t="shared" si="202"/>
        <v>2019-06-28</v>
      </c>
    </row>
    <row r="1843" spans="1:15" x14ac:dyDescent="0.2">
      <c r="A1843" s="21" t="str">
        <f t="shared" si="196"/>
        <v>y</v>
      </c>
      <c r="B1843" s="24" t="s">
        <v>1862</v>
      </c>
      <c r="C1843" t="s">
        <v>349</v>
      </c>
      <c r="D1843" t="s">
        <v>13</v>
      </c>
      <c r="E1843" t="s">
        <v>27</v>
      </c>
      <c r="F1843" t="s">
        <v>2</v>
      </c>
      <c r="H1843" t="s">
        <v>2079</v>
      </c>
      <c r="I1843" s="22" t="str">
        <f t="shared" si="197"/>
        <v>2019-06-26</v>
      </c>
      <c r="J1843" s="23" t="str">
        <f t="shared" si="198"/>
        <v>26</v>
      </c>
      <c r="K1843" t="str">
        <f t="shared" si="199"/>
        <v>no</v>
      </c>
      <c r="L1843">
        <v>26</v>
      </c>
      <c r="M1843" t="str">
        <f t="shared" si="200"/>
        <v>2019-06-26</v>
      </c>
      <c r="N1843" s="20">
        <f t="shared" si="201"/>
        <v>43643</v>
      </c>
      <c r="O1843" t="str">
        <f t="shared" si="202"/>
        <v>2019-06-27</v>
      </c>
    </row>
    <row r="1844" spans="1:15" x14ac:dyDescent="0.2">
      <c r="A1844" s="21" t="str">
        <f t="shared" si="196"/>
        <v>y</v>
      </c>
      <c r="B1844" s="24" t="s">
        <v>1862</v>
      </c>
      <c r="C1844" t="s">
        <v>352</v>
      </c>
      <c r="D1844" t="s">
        <v>13</v>
      </c>
      <c r="E1844" t="s">
        <v>4</v>
      </c>
      <c r="F1844" t="s">
        <v>29</v>
      </c>
      <c r="G1844" t="s">
        <v>363</v>
      </c>
      <c r="H1844" t="s">
        <v>2087</v>
      </c>
      <c r="I1844" s="22" t="str">
        <f t="shared" si="197"/>
        <v>2019-06-26</v>
      </c>
      <c r="J1844" s="23" t="str">
        <f t="shared" si="198"/>
        <v>26</v>
      </c>
      <c r="K1844" t="str">
        <f t="shared" si="199"/>
        <v>no</v>
      </c>
      <c r="L1844">
        <v>26</v>
      </c>
      <c r="M1844" t="str">
        <f t="shared" si="200"/>
        <v>2019-06-26</v>
      </c>
      <c r="N1844" s="20" t="str">
        <f t="shared" si="201"/>
        <v>2019-06-26</v>
      </c>
      <c r="O1844" t="str">
        <f t="shared" si="202"/>
        <v>2019-06-26</v>
      </c>
    </row>
    <row r="1845" spans="1:15" x14ac:dyDescent="0.2">
      <c r="A1845" s="21" t="str">
        <f t="shared" si="196"/>
        <v>y</v>
      </c>
      <c r="B1845" s="24" t="s">
        <v>1862</v>
      </c>
      <c r="C1845" t="s">
        <v>352</v>
      </c>
      <c r="D1845" t="s">
        <v>13</v>
      </c>
      <c r="E1845" t="s">
        <v>27</v>
      </c>
      <c r="F1845" t="s">
        <v>2</v>
      </c>
      <c r="H1845" t="s">
        <v>1988</v>
      </c>
      <c r="I1845" s="22" t="str">
        <f t="shared" si="197"/>
        <v>2019-06-26</v>
      </c>
      <c r="J1845" s="23" t="str">
        <f t="shared" si="198"/>
        <v>26</v>
      </c>
      <c r="K1845" t="str">
        <f t="shared" si="199"/>
        <v>no</v>
      </c>
      <c r="L1845">
        <v>26</v>
      </c>
      <c r="M1845" t="str">
        <f t="shared" si="200"/>
        <v>2019-06-26</v>
      </c>
      <c r="N1845" s="20">
        <f t="shared" si="201"/>
        <v>43643</v>
      </c>
      <c r="O1845" t="str">
        <f t="shared" si="202"/>
        <v>2019-06-27</v>
      </c>
    </row>
    <row r="1846" spans="1:15" x14ac:dyDescent="0.2">
      <c r="A1846" s="21" t="str">
        <f t="shared" si="196"/>
        <v>y</v>
      </c>
      <c r="B1846" s="24" t="s">
        <v>1862</v>
      </c>
      <c r="C1846" t="s">
        <v>358</v>
      </c>
      <c r="D1846" t="s">
        <v>13</v>
      </c>
      <c r="E1846" t="s">
        <v>27</v>
      </c>
      <c r="F1846" t="s">
        <v>2</v>
      </c>
      <c r="H1846" t="s">
        <v>2034</v>
      </c>
      <c r="I1846" s="22" t="str">
        <f t="shared" si="197"/>
        <v>2019-06-26</v>
      </c>
      <c r="J1846" s="23" t="str">
        <f t="shared" si="198"/>
        <v>26</v>
      </c>
      <c r="K1846" t="str">
        <f t="shared" si="199"/>
        <v>no</v>
      </c>
      <c r="L1846">
        <v>26</v>
      </c>
      <c r="M1846" t="str">
        <f t="shared" si="200"/>
        <v>2019-06-26</v>
      </c>
      <c r="N1846" s="20">
        <f t="shared" si="201"/>
        <v>43643</v>
      </c>
      <c r="O1846" t="str">
        <f t="shared" si="202"/>
        <v>2019-06-27</v>
      </c>
    </row>
    <row r="1847" spans="1:15" x14ac:dyDescent="0.2">
      <c r="A1847" s="21" t="str">
        <f t="shared" si="196"/>
        <v>y</v>
      </c>
      <c r="B1847" s="24" t="s">
        <v>1863</v>
      </c>
      <c r="C1847" t="s">
        <v>349</v>
      </c>
      <c r="D1847" t="s">
        <v>13</v>
      </c>
      <c r="E1847" t="s">
        <v>27</v>
      </c>
      <c r="F1847" t="s">
        <v>2</v>
      </c>
      <c r="H1847" t="s">
        <v>2034</v>
      </c>
      <c r="I1847" s="22" t="str">
        <f t="shared" si="197"/>
        <v>2019-06-25</v>
      </c>
      <c r="J1847" s="23" t="str">
        <f t="shared" si="198"/>
        <v>25</v>
      </c>
      <c r="K1847" t="str">
        <f t="shared" si="199"/>
        <v>no</v>
      </c>
      <c r="L1847">
        <v>25</v>
      </c>
      <c r="M1847" t="str">
        <f t="shared" si="200"/>
        <v>2019-06-25</v>
      </c>
      <c r="N1847" s="20">
        <f t="shared" si="201"/>
        <v>43642</v>
      </c>
      <c r="O1847" t="str">
        <f t="shared" si="202"/>
        <v>2019-06-26</v>
      </c>
    </row>
    <row r="1848" spans="1:15" x14ac:dyDescent="0.2">
      <c r="A1848" s="21" t="str">
        <f t="shared" si="196"/>
        <v>y</v>
      </c>
      <c r="B1848" s="24" t="s">
        <v>1863</v>
      </c>
      <c r="C1848" t="s">
        <v>352</v>
      </c>
      <c r="D1848" t="s">
        <v>13</v>
      </c>
      <c r="E1848" t="s">
        <v>27</v>
      </c>
      <c r="F1848" t="s">
        <v>2</v>
      </c>
      <c r="G1848" t="s">
        <v>355</v>
      </c>
      <c r="H1848" t="s">
        <v>2013</v>
      </c>
      <c r="I1848" s="22" t="str">
        <f t="shared" si="197"/>
        <v>2019-06-25</v>
      </c>
      <c r="J1848" s="23" t="str">
        <f t="shared" si="198"/>
        <v>25</v>
      </c>
      <c r="K1848" t="str">
        <f t="shared" si="199"/>
        <v>no</v>
      </c>
      <c r="L1848">
        <v>25</v>
      </c>
      <c r="M1848" t="str">
        <f t="shared" si="200"/>
        <v>2019-06-25</v>
      </c>
      <c r="N1848" s="20">
        <f t="shared" si="201"/>
        <v>43642</v>
      </c>
      <c r="O1848" t="str">
        <f t="shared" si="202"/>
        <v>2019-06-26</v>
      </c>
    </row>
    <row r="1849" spans="1:15" x14ac:dyDescent="0.2">
      <c r="A1849" s="21" t="str">
        <f t="shared" si="196"/>
        <v>y</v>
      </c>
      <c r="B1849" s="24" t="s">
        <v>1863</v>
      </c>
      <c r="C1849" t="s">
        <v>358</v>
      </c>
      <c r="D1849" t="s">
        <v>13</v>
      </c>
      <c r="E1849" t="s">
        <v>21</v>
      </c>
      <c r="F1849" t="s">
        <v>29</v>
      </c>
      <c r="G1849" t="s">
        <v>360</v>
      </c>
      <c r="H1849" t="s">
        <v>2091</v>
      </c>
      <c r="I1849" s="22" t="str">
        <f t="shared" si="197"/>
        <v>2019-06-25</v>
      </c>
      <c r="J1849" s="23" t="str">
        <f t="shared" si="198"/>
        <v>25</v>
      </c>
      <c r="K1849" t="str">
        <f t="shared" si="199"/>
        <v>no</v>
      </c>
      <c r="L1849">
        <v>25</v>
      </c>
      <c r="M1849" t="str">
        <f t="shared" si="200"/>
        <v>2019-06-25</v>
      </c>
      <c r="N1849" s="20" t="str">
        <f t="shared" si="201"/>
        <v>2019-06-25</v>
      </c>
      <c r="O1849" t="str">
        <f t="shared" si="202"/>
        <v>2019-06-25</v>
      </c>
    </row>
    <row r="1850" spans="1:15" x14ac:dyDescent="0.2">
      <c r="A1850" s="21" t="str">
        <f t="shared" si="196"/>
        <v>y</v>
      </c>
      <c r="B1850" s="24" t="s">
        <v>1863</v>
      </c>
      <c r="C1850" t="s">
        <v>358</v>
      </c>
      <c r="D1850" t="s">
        <v>13</v>
      </c>
      <c r="E1850" t="s">
        <v>27</v>
      </c>
      <c r="F1850" t="s">
        <v>2</v>
      </c>
      <c r="G1850" t="s">
        <v>361</v>
      </c>
      <c r="H1850" t="s">
        <v>2079</v>
      </c>
      <c r="I1850" s="22" t="str">
        <f t="shared" si="197"/>
        <v>2019-06-25</v>
      </c>
      <c r="J1850" s="23" t="str">
        <f t="shared" si="198"/>
        <v>25</v>
      </c>
      <c r="K1850" t="str">
        <f t="shared" si="199"/>
        <v>no</v>
      </c>
      <c r="L1850">
        <v>25</v>
      </c>
      <c r="M1850" t="str">
        <f t="shared" si="200"/>
        <v>2019-06-25</v>
      </c>
      <c r="N1850" s="20">
        <f t="shared" si="201"/>
        <v>43642</v>
      </c>
      <c r="O1850" t="str">
        <f t="shared" si="202"/>
        <v>2019-06-26</v>
      </c>
    </row>
    <row r="1851" spans="1:15" x14ac:dyDescent="0.2">
      <c r="A1851" s="21" t="str">
        <f t="shared" si="196"/>
        <v>y</v>
      </c>
      <c r="B1851" s="24" t="s">
        <v>1863</v>
      </c>
      <c r="C1851" t="s">
        <v>151</v>
      </c>
      <c r="D1851" t="s">
        <v>13</v>
      </c>
      <c r="E1851" t="s">
        <v>27</v>
      </c>
      <c r="F1851" t="s">
        <v>29</v>
      </c>
      <c r="G1851" t="s">
        <v>362</v>
      </c>
      <c r="H1851" t="s">
        <v>2087</v>
      </c>
      <c r="I1851" s="22" t="str">
        <f t="shared" si="197"/>
        <v>2019-06-25</v>
      </c>
      <c r="J1851" s="23" t="str">
        <f t="shared" si="198"/>
        <v>25</v>
      </c>
      <c r="K1851" t="str">
        <f t="shared" si="199"/>
        <v>no</v>
      </c>
      <c r="L1851">
        <v>25</v>
      </c>
      <c r="M1851" t="str">
        <f t="shared" si="200"/>
        <v>2019-06-25</v>
      </c>
      <c r="N1851" s="20" t="str">
        <f t="shared" si="201"/>
        <v>2019-06-25</v>
      </c>
      <c r="O1851" t="str">
        <f t="shared" si="202"/>
        <v>2019-06-25</v>
      </c>
    </row>
    <row r="1852" spans="1:15" x14ac:dyDescent="0.2">
      <c r="A1852" s="21" t="str">
        <f t="shared" si="196"/>
        <v>y</v>
      </c>
      <c r="B1852" s="24" t="s">
        <v>1864</v>
      </c>
      <c r="C1852" t="s">
        <v>321</v>
      </c>
      <c r="D1852" t="s">
        <v>14</v>
      </c>
      <c r="E1852" t="s">
        <v>27</v>
      </c>
      <c r="F1852" t="s">
        <v>29</v>
      </c>
      <c r="G1852" t="s">
        <v>359</v>
      </c>
      <c r="H1852" t="s">
        <v>2013</v>
      </c>
      <c r="I1852" s="22" t="str">
        <f t="shared" si="197"/>
        <v>2019-06-24</v>
      </c>
      <c r="J1852" s="23" t="str">
        <f t="shared" si="198"/>
        <v>24</v>
      </c>
      <c r="K1852" t="str">
        <f t="shared" si="199"/>
        <v>no</v>
      </c>
      <c r="L1852">
        <v>24</v>
      </c>
      <c r="M1852" t="str">
        <f t="shared" si="200"/>
        <v>2019-06-24</v>
      </c>
      <c r="N1852" s="20" t="str">
        <f t="shared" si="201"/>
        <v>2019-06-24</v>
      </c>
      <c r="O1852" t="str">
        <f t="shared" si="202"/>
        <v>2019-06-24</v>
      </c>
    </row>
    <row r="1853" spans="1:15" x14ac:dyDescent="0.2">
      <c r="A1853" s="21" t="str">
        <f t="shared" si="196"/>
        <v>y</v>
      </c>
      <c r="B1853" s="24" t="s">
        <v>1864</v>
      </c>
      <c r="C1853" t="s">
        <v>338</v>
      </c>
      <c r="D1853" t="s">
        <v>18</v>
      </c>
      <c r="E1853" t="s">
        <v>27</v>
      </c>
      <c r="F1853" t="s">
        <v>29</v>
      </c>
      <c r="G1853" t="s">
        <v>356</v>
      </c>
      <c r="H1853" t="s">
        <v>2091</v>
      </c>
      <c r="I1853" s="22" t="str">
        <f t="shared" si="197"/>
        <v>2019-06-24</v>
      </c>
      <c r="J1853" s="23" t="str">
        <f t="shared" si="198"/>
        <v>24</v>
      </c>
      <c r="K1853" t="str">
        <f t="shared" si="199"/>
        <v>no</v>
      </c>
      <c r="L1853">
        <v>24</v>
      </c>
      <c r="M1853" t="str">
        <f t="shared" si="200"/>
        <v>2019-06-24</v>
      </c>
      <c r="N1853" s="20" t="str">
        <f t="shared" si="201"/>
        <v>2019-06-24</v>
      </c>
      <c r="O1853" t="str">
        <f t="shared" si="202"/>
        <v>2019-06-24</v>
      </c>
    </row>
    <row r="1854" spans="1:15" x14ac:dyDescent="0.2">
      <c r="A1854" s="21" t="str">
        <f t="shared" si="196"/>
        <v>y</v>
      </c>
      <c r="B1854" s="24" t="s">
        <v>1864</v>
      </c>
      <c r="C1854" t="s">
        <v>349</v>
      </c>
      <c r="D1854" t="s">
        <v>13</v>
      </c>
      <c r="E1854" t="s">
        <v>27</v>
      </c>
      <c r="F1854" t="s">
        <v>2</v>
      </c>
      <c r="H1854" t="s">
        <v>2053</v>
      </c>
      <c r="I1854" s="22" t="str">
        <f t="shared" si="197"/>
        <v>2019-06-24</v>
      </c>
      <c r="J1854" s="23" t="str">
        <f t="shared" si="198"/>
        <v>24</v>
      </c>
      <c r="K1854" t="str">
        <f t="shared" si="199"/>
        <v>no</v>
      </c>
      <c r="L1854">
        <v>24</v>
      </c>
      <c r="M1854" t="str">
        <f t="shared" si="200"/>
        <v>2019-06-24</v>
      </c>
      <c r="N1854" s="20">
        <f t="shared" si="201"/>
        <v>43641</v>
      </c>
      <c r="O1854" t="str">
        <f t="shared" si="202"/>
        <v>2019-06-25</v>
      </c>
    </row>
    <row r="1855" spans="1:15" x14ac:dyDescent="0.2">
      <c r="A1855" s="21" t="str">
        <f t="shared" si="196"/>
        <v>y</v>
      </c>
      <c r="B1855" s="24" t="s">
        <v>1864</v>
      </c>
      <c r="C1855" t="s">
        <v>352</v>
      </c>
      <c r="D1855" t="s">
        <v>13</v>
      </c>
      <c r="E1855" t="s">
        <v>4</v>
      </c>
      <c r="F1855" t="s">
        <v>29</v>
      </c>
      <c r="G1855" t="s">
        <v>353</v>
      </c>
      <c r="H1855" t="s">
        <v>2079</v>
      </c>
      <c r="I1855" s="22" t="str">
        <f t="shared" si="197"/>
        <v>2019-06-24</v>
      </c>
      <c r="J1855" s="23" t="str">
        <f t="shared" si="198"/>
        <v>24</v>
      </c>
      <c r="K1855" t="str">
        <f t="shared" si="199"/>
        <v>no</v>
      </c>
      <c r="L1855">
        <v>24</v>
      </c>
      <c r="M1855" t="str">
        <f t="shared" si="200"/>
        <v>2019-06-24</v>
      </c>
      <c r="N1855" s="20" t="str">
        <f t="shared" si="201"/>
        <v>2019-06-24</v>
      </c>
      <c r="O1855" t="str">
        <f t="shared" si="202"/>
        <v>2019-06-24</v>
      </c>
    </row>
    <row r="1856" spans="1:15" x14ac:dyDescent="0.2">
      <c r="A1856" s="21" t="str">
        <f t="shared" si="196"/>
        <v>y</v>
      </c>
      <c r="B1856" s="24" t="s">
        <v>1864</v>
      </c>
      <c r="C1856" t="s">
        <v>352</v>
      </c>
      <c r="D1856" t="s">
        <v>13</v>
      </c>
      <c r="E1856" t="s">
        <v>27</v>
      </c>
      <c r="F1856" t="s">
        <v>2</v>
      </c>
      <c r="G1856" t="s">
        <v>355</v>
      </c>
      <c r="H1856" t="s">
        <v>2013</v>
      </c>
      <c r="I1856" s="22" t="str">
        <f t="shared" si="197"/>
        <v>2019-06-24</v>
      </c>
      <c r="J1856" s="23" t="str">
        <f t="shared" si="198"/>
        <v>24</v>
      </c>
      <c r="K1856" t="str">
        <f t="shared" si="199"/>
        <v>no</v>
      </c>
      <c r="L1856">
        <v>24</v>
      </c>
      <c r="M1856" t="str">
        <f t="shared" si="200"/>
        <v>2019-06-24</v>
      </c>
      <c r="N1856" s="20">
        <f t="shared" si="201"/>
        <v>43641</v>
      </c>
      <c r="O1856" t="str">
        <f t="shared" si="202"/>
        <v>2019-06-25</v>
      </c>
    </row>
    <row r="1857" spans="1:15" x14ac:dyDescent="0.2">
      <c r="A1857" s="21" t="str">
        <f t="shared" si="196"/>
        <v>y</v>
      </c>
      <c r="B1857" s="24" t="s">
        <v>1864</v>
      </c>
      <c r="C1857" t="s">
        <v>241</v>
      </c>
      <c r="D1857" t="s">
        <v>13</v>
      </c>
      <c r="E1857" t="s">
        <v>27</v>
      </c>
      <c r="F1857" t="s">
        <v>29</v>
      </c>
      <c r="G1857" t="s">
        <v>357</v>
      </c>
      <c r="H1857" t="s">
        <v>2091</v>
      </c>
      <c r="I1857" s="22" t="str">
        <f t="shared" si="197"/>
        <v>2019-06-24</v>
      </c>
      <c r="J1857" s="23" t="str">
        <f t="shared" si="198"/>
        <v>24</v>
      </c>
      <c r="K1857" t="str">
        <f t="shared" si="199"/>
        <v>no</v>
      </c>
      <c r="L1857">
        <v>24</v>
      </c>
      <c r="M1857" t="str">
        <f t="shared" si="200"/>
        <v>2019-06-24</v>
      </c>
      <c r="N1857" s="20" t="str">
        <f t="shared" si="201"/>
        <v>2019-06-24</v>
      </c>
      <c r="O1857" t="str">
        <f t="shared" si="202"/>
        <v>2019-06-24</v>
      </c>
    </row>
    <row r="1858" spans="1:15" x14ac:dyDescent="0.2">
      <c r="A1858" s="21" t="str">
        <f t="shared" si="196"/>
        <v>y</v>
      </c>
      <c r="B1858" s="24" t="s">
        <v>1864</v>
      </c>
      <c r="C1858" t="s">
        <v>151</v>
      </c>
      <c r="D1858" t="s">
        <v>13</v>
      </c>
      <c r="E1858" t="s">
        <v>27</v>
      </c>
      <c r="F1858" t="s">
        <v>29</v>
      </c>
      <c r="G1858" t="s">
        <v>354</v>
      </c>
      <c r="H1858" t="s">
        <v>1988</v>
      </c>
      <c r="I1858" s="22" t="str">
        <f t="shared" si="197"/>
        <v>2019-06-24</v>
      </c>
      <c r="J1858" s="23" t="str">
        <f t="shared" si="198"/>
        <v>24</v>
      </c>
      <c r="K1858" t="str">
        <f t="shared" si="199"/>
        <v>no</v>
      </c>
      <c r="L1858">
        <v>24</v>
      </c>
      <c r="M1858" t="str">
        <f t="shared" si="200"/>
        <v>2019-06-24</v>
      </c>
      <c r="N1858" s="20" t="str">
        <f t="shared" si="201"/>
        <v>2019-06-24</v>
      </c>
      <c r="O1858" t="str">
        <f t="shared" si="202"/>
        <v>2019-06-24</v>
      </c>
    </row>
    <row r="1859" spans="1:15" x14ac:dyDescent="0.2">
      <c r="A1859" s="21" t="str">
        <f t="shared" si="196"/>
        <v>y</v>
      </c>
      <c r="B1859" s="24" t="s">
        <v>1865</v>
      </c>
      <c r="C1859" t="s">
        <v>321</v>
      </c>
      <c r="D1859" t="s">
        <v>14</v>
      </c>
      <c r="E1859" t="s">
        <v>43</v>
      </c>
      <c r="F1859" t="s">
        <v>2</v>
      </c>
      <c r="H1859" t="s">
        <v>2092</v>
      </c>
      <c r="I1859" s="22" t="str">
        <f t="shared" si="197"/>
        <v>2019-06-23</v>
      </c>
      <c r="J1859" s="23" t="str">
        <f t="shared" si="198"/>
        <v>23</v>
      </c>
      <c r="K1859" t="str">
        <f t="shared" si="199"/>
        <v>no</v>
      </c>
      <c r="L1859">
        <v>23</v>
      </c>
      <c r="M1859" t="str">
        <f t="shared" si="200"/>
        <v>2019-06-23</v>
      </c>
      <c r="N1859" s="20">
        <f t="shared" si="201"/>
        <v>43640</v>
      </c>
      <c r="O1859" t="str">
        <f t="shared" si="202"/>
        <v>2019-06-24</v>
      </c>
    </row>
    <row r="1860" spans="1:15" x14ac:dyDescent="0.2">
      <c r="A1860" s="21" t="str">
        <f t="shared" ref="A1860:A1923" si="203">IF(LEFT(B1860,2)&gt;12,"y","-")</f>
        <v>y</v>
      </c>
      <c r="B1860" s="24" t="s">
        <v>1865</v>
      </c>
      <c r="C1860" t="s">
        <v>338</v>
      </c>
      <c r="D1860" t="s">
        <v>18</v>
      </c>
      <c r="E1860" t="s">
        <v>27</v>
      </c>
      <c r="F1860" t="s">
        <v>2</v>
      </c>
      <c r="H1860" t="s">
        <v>2092</v>
      </c>
      <c r="I1860" s="22" t="str">
        <f t="shared" ref="I1860:I1923" si="204">IF(K1860="yes",TEXT(B1860,"YYYY-DD-MM"),TEXT(B1860,"YYYY-MM-DD"))</f>
        <v>2019-06-23</v>
      </c>
      <c r="J1860" s="23" t="str">
        <f t="shared" ref="J1860:J1923" si="205">LEFT(B1860,2)</f>
        <v>23</v>
      </c>
      <c r="K1860" t="str">
        <f t="shared" ref="K1860:K1923" si="206">IF(L1860&gt;31,"yes","no")</f>
        <v>no</v>
      </c>
      <c r="L1860">
        <v>23</v>
      </c>
      <c r="M1860" t="str">
        <f t="shared" ref="M1860:M1923" si="207">I1860</f>
        <v>2019-06-23</v>
      </c>
      <c r="N1860" s="20">
        <f t="shared" ref="N1860:N1923" si="208">IF(F1860="DONE",M1860,M1860+1)</f>
        <v>43640</v>
      </c>
      <c r="O1860" t="str">
        <f t="shared" ref="O1860:O1923" si="209">TEXT(N1860,"YYYY-MM-DD")</f>
        <v>2019-06-24</v>
      </c>
    </row>
    <row r="1861" spans="1:15" x14ac:dyDescent="0.2">
      <c r="A1861" s="21" t="str">
        <f t="shared" si="203"/>
        <v>y</v>
      </c>
      <c r="B1861" s="24" t="s">
        <v>1865</v>
      </c>
      <c r="C1861" t="s">
        <v>349</v>
      </c>
      <c r="D1861" t="s">
        <v>13</v>
      </c>
      <c r="E1861" t="s">
        <v>27</v>
      </c>
      <c r="F1861" t="s">
        <v>2</v>
      </c>
      <c r="H1861" t="s">
        <v>2013</v>
      </c>
      <c r="I1861" s="22" t="str">
        <f t="shared" si="204"/>
        <v>2019-06-23</v>
      </c>
      <c r="J1861" s="23" t="str">
        <f t="shared" si="205"/>
        <v>23</v>
      </c>
      <c r="K1861" t="str">
        <f t="shared" si="206"/>
        <v>no</v>
      </c>
      <c r="L1861">
        <v>23</v>
      </c>
      <c r="M1861" t="str">
        <f t="shared" si="207"/>
        <v>2019-06-23</v>
      </c>
      <c r="N1861" s="20">
        <f t="shared" si="208"/>
        <v>43640</v>
      </c>
      <c r="O1861" t="str">
        <f t="shared" si="209"/>
        <v>2019-06-24</v>
      </c>
    </row>
    <row r="1862" spans="1:15" x14ac:dyDescent="0.2">
      <c r="A1862" s="21" t="str">
        <f t="shared" si="203"/>
        <v>y</v>
      </c>
      <c r="B1862" s="24" t="s">
        <v>1865</v>
      </c>
      <c r="C1862" t="s">
        <v>241</v>
      </c>
      <c r="D1862" t="s">
        <v>13</v>
      </c>
      <c r="E1862" t="s">
        <v>27</v>
      </c>
      <c r="F1862" t="s">
        <v>29</v>
      </c>
      <c r="G1862" t="s">
        <v>350</v>
      </c>
      <c r="H1862" t="s">
        <v>2047</v>
      </c>
      <c r="I1862" s="22" t="str">
        <f t="shared" si="204"/>
        <v>2019-06-23</v>
      </c>
      <c r="J1862" s="23" t="str">
        <f t="shared" si="205"/>
        <v>23</v>
      </c>
      <c r="K1862" t="str">
        <f t="shared" si="206"/>
        <v>no</v>
      </c>
      <c r="L1862">
        <v>23</v>
      </c>
      <c r="M1862" t="str">
        <f t="shared" si="207"/>
        <v>2019-06-23</v>
      </c>
      <c r="N1862" s="20" t="str">
        <f t="shared" si="208"/>
        <v>2019-06-23</v>
      </c>
      <c r="O1862" t="str">
        <f t="shared" si="209"/>
        <v>2019-06-23</v>
      </c>
    </row>
    <row r="1863" spans="1:15" x14ac:dyDescent="0.2">
      <c r="A1863" s="21" t="str">
        <f t="shared" si="203"/>
        <v>y</v>
      </c>
      <c r="B1863" s="24" t="s">
        <v>1866</v>
      </c>
      <c r="C1863" t="s">
        <v>321</v>
      </c>
      <c r="D1863" t="s">
        <v>14</v>
      </c>
      <c r="E1863" t="s">
        <v>43</v>
      </c>
      <c r="F1863" t="s">
        <v>2</v>
      </c>
      <c r="H1863" t="s">
        <v>2091</v>
      </c>
      <c r="I1863" s="22" t="str">
        <f t="shared" si="204"/>
        <v>2019-06-22</v>
      </c>
      <c r="J1863" s="23" t="str">
        <f t="shared" si="205"/>
        <v>22</v>
      </c>
      <c r="K1863" t="str">
        <f t="shared" si="206"/>
        <v>no</v>
      </c>
      <c r="L1863">
        <v>22</v>
      </c>
      <c r="M1863" t="str">
        <f t="shared" si="207"/>
        <v>2019-06-22</v>
      </c>
      <c r="N1863" s="20">
        <f t="shared" si="208"/>
        <v>43639</v>
      </c>
      <c r="O1863" t="str">
        <f t="shared" si="209"/>
        <v>2019-06-23</v>
      </c>
    </row>
    <row r="1864" spans="1:15" x14ac:dyDescent="0.2">
      <c r="A1864" s="21" t="str">
        <f t="shared" si="203"/>
        <v>y</v>
      </c>
      <c r="B1864" s="24" t="s">
        <v>1866</v>
      </c>
      <c r="C1864" t="s">
        <v>338</v>
      </c>
      <c r="D1864" t="s">
        <v>18</v>
      </c>
      <c r="E1864" t="s">
        <v>27</v>
      </c>
      <c r="F1864" t="s">
        <v>2</v>
      </c>
      <c r="H1864" t="s">
        <v>2013</v>
      </c>
      <c r="I1864" s="22" t="str">
        <f t="shared" si="204"/>
        <v>2019-06-22</v>
      </c>
      <c r="J1864" s="23" t="str">
        <f t="shared" si="205"/>
        <v>22</v>
      </c>
      <c r="K1864" t="str">
        <f t="shared" si="206"/>
        <v>no</v>
      </c>
      <c r="L1864">
        <v>22</v>
      </c>
      <c r="M1864" t="str">
        <f t="shared" si="207"/>
        <v>2019-06-22</v>
      </c>
      <c r="N1864" s="20">
        <f t="shared" si="208"/>
        <v>43639</v>
      </c>
      <c r="O1864" t="str">
        <f t="shared" si="209"/>
        <v>2019-06-23</v>
      </c>
    </row>
    <row r="1865" spans="1:15" x14ac:dyDescent="0.2">
      <c r="A1865" s="21" t="str">
        <f t="shared" si="203"/>
        <v>y</v>
      </c>
      <c r="B1865" s="24" t="s">
        <v>1866</v>
      </c>
      <c r="C1865" t="s">
        <v>345</v>
      </c>
      <c r="D1865" t="s">
        <v>13</v>
      </c>
      <c r="E1865" t="s">
        <v>27</v>
      </c>
      <c r="F1865" t="s">
        <v>29</v>
      </c>
      <c r="G1865" t="s">
        <v>351</v>
      </c>
      <c r="H1865" t="s">
        <v>2047</v>
      </c>
      <c r="I1865" s="22" t="str">
        <f t="shared" si="204"/>
        <v>2019-06-22</v>
      </c>
      <c r="J1865" s="23" t="str">
        <f t="shared" si="205"/>
        <v>22</v>
      </c>
      <c r="K1865" t="str">
        <f t="shared" si="206"/>
        <v>no</v>
      </c>
      <c r="L1865">
        <v>22</v>
      </c>
      <c r="M1865" t="str">
        <f t="shared" si="207"/>
        <v>2019-06-22</v>
      </c>
      <c r="N1865" s="20" t="str">
        <f t="shared" si="208"/>
        <v>2019-06-22</v>
      </c>
      <c r="O1865" t="str">
        <f t="shared" si="209"/>
        <v>2019-06-22</v>
      </c>
    </row>
    <row r="1866" spans="1:15" x14ac:dyDescent="0.2">
      <c r="A1866" s="21" t="str">
        <f t="shared" si="203"/>
        <v>y</v>
      </c>
      <c r="B1866" s="24" t="s">
        <v>1866</v>
      </c>
      <c r="C1866" t="s">
        <v>349</v>
      </c>
      <c r="D1866" t="s">
        <v>13</v>
      </c>
      <c r="E1866" t="s">
        <v>27</v>
      </c>
      <c r="F1866" t="s">
        <v>2</v>
      </c>
      <c r="H1866" t="s">
        <v>2091</v>
      </c>
      <c r="I1866" s="22" t="str">
        <f t="shared" si="204"/>
        <v>2019-06-22</v>
      </c>
      <c r="J1866" s="23" t="str">
        <f t="shared" si="205"/>
        <v>22</v>
      </c>
      <c r="K1866" t="str">
        <f t="shared" si="206"/>
        <v>no</v>
      </c>
      <c r="L1866">
        <v>22</v>
      </c>
      <c r="M1866" t="str">
        <f t="shared" si="207"/>
        <v>2019-06-22</v>
      </c>
      <c r="N1866" s="20">
        <f t="shared" si="208"/>
        <v>43639</v>
      </c>
      <c r="O1866" t="str">
        <f t="shared" si="209"/>
        <v>2019-06-23</v>
      </c>
    </row>
    <row r="1867" spans="1:15" x14ac:dyDescent="0.2">
      <c r="A1867" s="21" t="str">
        <f t="shared" si="203"/>
        <v>y</v>
      </c>
      <c r="B1867" s="24" t="s">
        <v>1867</v>
      </c>
      <c r="C1867" t="s">
        <v>321</v>
      </c>
      <c r="D1867" t="s">
        <v>14</v>
      </c>
      <c r="E1867" t="s">
        <v>43</v>
      </c>
      <c r="F1867" t="s">
        <v>2</v>
      </c>
      <c r="H1867" t="s">
        <v>2093</v>
      </c>
      <c r="I1867" s="22" t="str">
        <f t="shared" si="204"/>
        <v>2019-06-20</v>
      </c>
      <c r="J1867" s="23" t="str">
        <f t="shared" si="205"/>
        <v>20</v>
      </c>
      <c r="K1867" t="str">
        <f t="shared" si="206"/>
        <v>no</v>
      </c>
      <c r="L1867">
        <v>20</v>
      </c>
      <c r="M1867" t="str">
        <f t="shared" si="207"/>
        <v>2019-06-20</v>
      </c>
      <c r="N1867" s="20">
        <f t="shared" si="208"/>
        <v>43637</v>
      </c>
      <c r="O1867" t="str">
        <f t="shared" si="209"/>
        <v>2019-06-21</v>
      </c>
    </row>
    <row r="1868" spans="1:15" x14ac:dyDescent="0.2">
      <c r="A1868" s="21" t="str">
        <f t="shared" si="203"/>
        <v>y</v>
      </c>
      <c r="B1868" s="24" t="s">
        <v>1867</v>
      </c>
      <c r="C1868" t="s">
        <v>338</v>
      </c>
      <c r="D1868" t="s">
        <v>18</v>
      </c>
      <c r="E1868" t="s">
        <v>27</v>
      </c>
      <c r="F1868" t="s">
        <v>2</v>
      </c>
      <c r="H1868" t="s">
        <v>2055</v>
      </c>
      <c r="I1868" s="22" t="str">
        <f t="shared" si="204"/>
        <v>2019-06-20</v>
      </c>
      <c r="J1868" s="23" t="str">
        <f t="shared" si="205"/>
        <v>20</v>
      </c>
      <c r="K1868" t="str">
        <f t="shared" si="206"/>
        <v>no</v>
      </c>
      <c r="L1868">
        <v>20</v>
      </c>
      <c r="M1868" t="str">
        <f t="shared" si="207"/>
        <v>2019-06-20</v>
      </c>
      <c r="N1868" s="20">
        <f t="shared" si="208"/>
        <v>43637</v>
      </c>
      <c r="O1868" t="str">
        <f t="shared" si="209"/>
        <v>2019-06-21</v>
      </c>
    </row>
    <row r="1869" spans="1:15" x14ac:dyDescent="0.2">
      <c r="A1869" s="21" t="str">
        <f t="shared" si="203"/>
        <v>y</v>
      </c>
      <c r="B1869" s="24" t="s">
        <v>1867</v>
      </c>
      <c r="C1869" t="s">
        <v>151</v>
      </c>
      <c r="D1869" t="s">
        <v>13</v>
      </c>
      <c r="E1869" t="s">
        <v>27</v>
      </c>
      <c r="F1869" t="s">
        <v>29</v>
      </c>
      <c r="G1869" t="s">
        <v>348</v>
      </c>
      <c r="H1869" t="s">
        <v>2032</v>
      </c>
      <c r="I1869" s="22" t="str">
        <f t="shared" si="204"/>
        <v>2019-06-20</v>
      </c>
      <c r="J1869" s="23" t="str">
        <f t="shared" si="205"/>
        <v>20</v>
      </c>
      <c r="K1869" t="str">
        <f t="shared" si="206"/>
        <v>no</v>
      </c>
      <c r="L1869">
        <v>20</v>
      </c>
      <c r="M1869" t="str">
        <f t="shared" si="207"/>
        <v>2019-06-20</v>
      </c>
      <c r="N1869" s="20" t="str">
        <f t="shared" si="208"/>
        <v>2019-06-20</v>
      </c>
      <c r="O1869" t="str">
        <f t="shared" si="209"/>
        <v>2019-06-20</v>
      </c>
    </row>
    <row r="1870" spans="1:15" x14ac:dyDescent="0.2">
      <c r="A1870" s="21" t="str">
        <f t="shared" si="203"/>
        <v>y</v>
      </c>
      <c r="B1870" s="24" t="s">
        <v>1867</v>
      </c>
      <c r="C1870" t="s">
        <v>345</v>
      </c>
      <c r="D1870" t="s">
        <v>13</v>
      </c>
      <c r="E1870" t="s">
        <v>4</v>
      </c>
      <c r="F1870" t="s">
        <v>29</v>
      </c>
      <c r="G1870" t="s">
        <v>346</v>
      </c>
      <c r="H1870" t="s">
        <v>2013</v>
      </c>
      <c r="I1870" s="22" t="str">
        <f t="shared" si="204"/>
        <v>2019-06-20</v>
      </c>
      <c r="J1870" s="23" t="str">
        <f t="shared" si="205"/>
        <v>20</v>
      </c>
      <c r="K1870" t="str">
        <f t="shared" si="206"/>
        <v>no</v>
      </c>
      <c r="L1870">
        <v>20</v>
      </c>
      <c r="M1870" t="str">
        <f t="shared" si="207"/>
        <v>2019-06-20</v>
      </c>
      <c r="N1870" s="20" t="str">
        <f t="shared" si="208"/>
        <v>2019-06-20</v>
      </c>
      <c r="O1870" t="str">
        <f t="shared" si="209"/>
        <v>2019-06-20</v>
      </c>
    </row>
    <row r="1871" spans="1:15" x14ac:dyDescent="0.2">
      <c r="A1871" s="21" t="str">
        <f t="shared" si="203"/>
        <v>y</v>
      </c>
      <c r="B1871" s="24" t="s">
        <v>1867</v>
      </c>
      <c r="C1871" t="s">
        <v>345</v>
      </c>
      <c r="D1871" t="s">
        <v>13</v>
      </c>
      <c r="E1871" t="s">
        <v>27</v>
      </c>
      <c r="F1871" t="s">
        <v>2</v>
      </c>
      <c r="G1871" t="s">
        <v>347</v>
      </c>
      <c r="H1871" t="s">
        <v>2055</v>
      </c>
      <c r="I1871" s="22" t="str">
        <f t="shared" si="204"/>
        <v>2019-06-20</v>
      </c>
      <c r="J1871" s="23" t="str">
        <f t="shared" si="205"/>
        <v>20</v>
      </c>
      <c r="K1871" t="str">
        <f t="shared" si="206"/>
        <v>no</v>
      </c>
      <c r="L1871">
        <v>20</v>
      </c>
      <c r="M1871" t="str">
        <f t="shared" si="207"/>
        <v>2019-06-20</v>
      </c>
      <c r="N1871" s="20">
        <f t="shared" si="208"/>
        <v>43637</v>
      </c>
      <c r="O1871" t="str">
        <f t="shared" si="209"/>
        <v>2019-06-21</v>
      </c>
    </row>
    <row r="1872" spans="1:15" x14ac:dyDescent="0.2">
      <c r="A1872" s="21" t="str">
        <f t="shared" si="203"/>
        <v>y</v>
      </c>
      <c r="B1872" s="24" t="s">
        <v>1868</v>
      </c>
      <c r="C1872" t="s">
        <v>321</v>
      </c>
      <c r="D1872" t="s">
        <v>14</v>
      </c>
      <c r="E1872" t="s">
        <v>43</v>
      </c>
      <c r="F1872" t="s">
        <v>2</v>
      </c>
      <c r="G1872" t="s">
        <v>343</v>
      </c>
      <c r="H1872" t="s">
        <v>2047</v>
      </c>
      <c r="I1872" s="22" t="str">
        <f t="shared" si="204"/>
        <v>2019-06-19</v>
      </c>
      <c r="J1872" s="23" t="str">
        <f t="shared" si="205"/>
        <v>19</v>
      </c>
      <c r="K1872" t="str">
        <f t="shared" si="206"/>
        <v>no</v>
      </c>
      <c r="L1872">
        <v>19</v>
      </c>
      <c r="M1872" t="str">
        <f t="shared" si="207"/>
        <v>2019-06-19</v>
      </c>
      <c r="N1872" s="20">
        <f t="shared" si="208"/>
        <v>43636</v>
      </c>
      <c r="O1872" t="str">
        <f t="shared" si="209"/>
        <v>2019-06-20</v>
      </c>
    </row>
    <row r="1873" spans="1:15" x14ac:dyDescent="0.2">
      <c r="A1873" s="21" t="str">
        <f t="shared" si="203"/>
        <v>y</v>
      </c>
      <c r="B1873" s="24" t="s">
        <v>1868</v>
      </c>
      <c r="C1873" t="s">
        <v>262</v>
      </c>
      <c r="D1873" t="s">
        <v>18</v>
      </c>
      <c r="E1873" t="s">
        <v>43</v>
      </c>
      <c r="F1873" t="s">
        <v>2</v>
      </c>
      <c r="H1873" t="s">
        <v>2032</v>
      </c>
      <c r="I1873" s="22" t="str">
        <f t="shared" si="204"/>
        <v>2019-06-19</v>
      </c>
      <c r="J1873" s="23" t="str">
        <f t="shared" si="205"/>
        <v>19</v>
      </c>
      <c r="K1873" t="str">
        <f t="shared" si="206"/>
        <v>no</v>
      </c>
      <c r="L1873">
        <v>19</v>
      </c>
      <c r="M1873" t="str">
        <f t="shared" si="207"/>
        <v>2019-06-19</v>
      </c>
      <c r="N1873" s="20">
        <f t="shared" si="208"/>
        <v>43636</v>
      </c>
      <c r="O1873" t="str">
        <f t="shared" si="209"/>
        <v>2019-06-20</v>
      </c>
    </row>
    <row r="1874" spans="1:15" x14ac:dyDescent="0.2">
      <c r="A1874" s="21" t="str">
        <f t="shared" si="203"/>
        <v>y</v>
      </c>
      <c r="B1874" s="24" t="s">
        <v>1868</v>
      </c>
      <c r="C1874" t="s">
        <v>338</v>
      </c>
      <c r="D1874" t="s">
        <v>18</v>
      </c>
      <c r="E1874" t="s">
        <v>27</v>
      </c>
      <c r="F1874" t="s">
        <v>29</v>
      </c>
      <c r="G1874" t="s">
        <v>344</v>
      </c>
      <c r="H1874" t="s">
        <v>2032</v>
      </c>
      <c r="I1874" s="22" t="str">
        <f t="shared" si="204"/>
        <v>2019-06-19</v>
      </c>
      <c r="J1874" s="23" t="str">
        <f t="shared" si="205"/>
        <v>19</v>
      </c>
      <c r="K1874" t="str">
        <f t="shared" si="206"/>
        <v>no</v>
      </c>
      <c r="L1874">
        <v>19</v>
      </c>
      <c r="M1874" t="str">
        <f t="shared" si="207"/>
        <v>2019-06-19</v>
      </c>
      <c r="N1874" s="20" t="str">
        <f t="shared" si="208"/>
        <v>2019-06-19</v>
      </c>
      <c r="O1874" t="str">
        <f t="shared" si="209"/>
        <v>2019-06-19</v>
      </c>
    </row>
    <row r="1875" spans="1:15" x14ac:dyDescent="0.2">
      <c r="A1875" s="21" t="str">
        <f t="shared" si="203"/>
        <v>y</v>
      </c>
      <c r="B1875" s="24" t="s">
        <v>1869</v>
      </c>
      <c r="C1875" t="s">
        <v>321</v>
      </c>
      <c r="D1875" t="s">
        <v>14</v>
      </c>
      <c r="E1875" t="s">
        <v>43</v>
      </c>
      <c r="F1875" t="s">
        <v>2</v>
      </c>
      <c r="G1875" t="s">
        <v>339</v>
      </c>
      <c r="H1875" t="s">
        <v>2089</v>
      </c>
      <c r="I1875" s="22" t="str">
        <f t="shared" si="204"/>
        <v>2019-06-18</v>
      </c>
      <c r="J1875" s="23" t="str">
        <f t="shared" si="205"/>
        <v>18</v>
      </c>
      <c r="K1875" t="str">
        <f t="shared" si="206"/>
        <v>no</v>
      </c>
      <c r="L1875">
        <v>18</v>
      </c>
      <c r="M1875" t="str">
        <f t="shared" si="207"/>
        <v>2019-06-18</v>
      </c>
      <c r="N1875" s="20">
        <f t="shared" si="208"/>
        <v>43635</v>
      </c>
      <c r="O1875" t="str">
        <f t="shared" si="209"/>
        <v>2019-06-19</v>
      </c>
    </row>
    <row r="1876" spans="1:15" x14ac:dyDescent="0.2">
      <c r="A1876" s="21" t="str">
        <f t="shared" si="203"/>
        <v>y</v>
      </c>
      <c r="B1876" s="24" t="s">
        <v>1869</v>
      </c>
      <c r="C1876" t="s">
        <v>262</v>
      </c>
      <c r="D1876" t="s">
        <v>18</v>
      </c>
      <c r="E1876" t="s">
        <v>43</v>
      </c>
      <c r="F1876" t="s">
        <v>2</v>
      </c>
      <c r="G1876" t="s">
        <v>334</v>
      </c>
      <c r="H1876" t="s">
        <v>2032</v>
      </c>
      <c r="I1876" s="22" t="str">
        <f t="shared" si="204"/>
        <v>2019-06-18</v>
      </c>
      <c r="J1876" s="23" t="str">
        <f t="shared" si="205"/>
        <v>18</v>
      </c>
      <c r="K1876" t="str">
        <f t="shared" si="206"/>
        <v>no</v>
      </c>
      <c r="L1876">
        <v>18</v>
      </c>
      <c r="M1876" t="str">
        <f t="shared" si="207"/>
        <v>2019-06-18</v>
      </c>
      <c r="N1876" s="20">
        <f t="shared" si="208"/>
        <v>43635</v>
      </c>
      <c r="O1876" t="str">
        <f t="shared" si="209"/>
        <v>2019-06-19</v>
      </c>
    </row>
    <row r="1877" spans="1:15" x14ac:dyDescent="0.2">
      <c r="A1877" s="21" t="str">
        <f t="shared" si="203"/>
        <v>y</v>
      </c>
      <c r="B1877" s="24" t="s">
        <v>1869</v>
      </c>
      <c r="C1877" t="s">
        <v>338</v>
      </c>
      <c r="D1877" t="s">
        <v>18</v>
      </c>
      <c r="E1877" t="s">
        <v>43</v>
      </c>
      <c r="F1877" t="s">
        <v>2</v>
      </c>
      <c r="G1877" t="s">
        <v>340</v>
      </c>
      <c r="H1877" t="s">
        <v>2089</v>
      </c>
      <c r="I1877" s="22" t="str">
        <f t="shared" si="204"/>
        <v>2019-06-18</v>
      </c>
      <c r="J1877" s="23" t="str">
        <f t="shared" si="205"/>
        <v>18</v>
      </c>
      <c r="K1877" t="str">
        <f t="shared" si="206"/>
        <v>no</v>
      </c>
      <c r="L1877">
        <v>18</v>
      </c>
      <c r="M1877" t="str">
        <f t="shared" si="207"/>
        <v>2019-06-18</v>
      </c>
      <c r="N1877" s="20">
        <f t="shared" si="208"/>
        <v>43635</v>
      </c>
      <c r="O1877" t="str">
        <f t="shared" si="209"/>
        <v>2019-06-19</v>
      </c>
    </row>
    <row r="1878" spans="1:15" x14ac:dyDescent="0.2">
      <c r="A1878" s="21" t="str">
        <f t="shared" si="203"/>
        <v>y</v>
      </c>
      <c r="B1878" s="24" t="s">
        <v>1869</v>
      </c>
      <c r="C1878" t="s">
        <v>123</v>
      </c>
      <c r="D1878" t="s">
        <v>13</v>
      </c>
      <c r="E1878" t="s">
        <v>27</v>
      </c>
      <c r="F1878" t="s">
        <v>29</v>
      </c>
      <c r="G1878" t="s">
        <v>341</v>
      </c>
      <c r="H1878" t="s">
        <v>2094</v>
      </c>
      <c r="I1878" s="22" t="str">
        <f t="shared" si="204"/>
        <v>2019-06-18</v>
      </c>
      <c r="J1878" s="23" t="str">
        <f t="shared" si="205"/>
        <v>18</v>
      </c>
      <c r="K1878" t="str">
        <f t="shared" si="206"/>
        <v>no</v>
      </c>
      <c r="L1878">
        <v>18</v>
      </c>
      <c r="M1878" t="str">
        <f t="shared" si="207"/>
        <v>2019-06-18</v>
      </c>
      <c r="N1878" s="20" t="str">
        <f t="shared" si="208"/>
        <v>2019-06-18</v>
      </c>
      <c r="O1878" t="str">
        <f t="shared" si="209"/>
        <v>2019-06-18</v>
      </c>
    </row>
    <row r="1879" spans="1:15" x14ac:dyDescent="0.2">
      <c r="A1879" s="21" t="str">
        <f t="shared" si="203"/>
        <v>y</v>
      </c>
      <c r="B1879" s="24" t="s">
        <v>1869</v>
      </c>
      <c r="C1879" t="s">
        <v>297</v>
      </c>
      <c r="D1879" t="s">
        <v>13</v>
      </c>
      <c r="E1879" t="s">
        <v>27</v>
      </c>
      <c r="F1879" t="s">
        <v>29</v>
      </c>
      <c r="G1879" t="s">
        <v>342</v>
      </c>
      <c r="H1879" t="s">
        <v>2089</v>
      </c>
      <c r="I1879" s="22" t="str">
        <f t="shared" si="204"/>
        <v>2019-06-18</v>
      </c>
      <c r="J1879" s="23" t="str">
        <f t="shared" si="205"/>
        <v>18</v>
      </c>
      <c r="K1879" t="str">
        <f t="shared" si="206"/>
        <v>no</v>
      </c>
      <c r="L1879">
        <v>18</v>
      </c>
      <c r="M1879" t="str">
        <f t="shared" si="207"/>
        <v>2019-06-18</v>
      </c>
      <c r="N1879" s="20" t="str">
        <f t="shared" si="208"/>
        <v>2019-06-18</v>
      </c>
      <c r="O1879" t="str">
        <f t="shared" si="209"/>
        <v>2019-06-18</v>
      </c>
    </row>
    <row r="1880" spans="1:15" x14ac:dyDescent="0.2">
      <c r="A1880" s="21" t="str">
        <f t="shared" si="203"/>
        <v>y</v>
      </c>
      <c r="B1880" s="24" t="s">
        <v>1870</v>
      </c>
      <c r="C1880" t="s">
        <v>63</v>
      </c>
      <c r="D1880" t="s">
        <v>13</v>
      </c>
      <c r="E1880" t="s">
        <v>49</v>
      </c>
      <c r="F1880" t="s">
        <v>29</v>
      </c>
      <c r="G1880" t="s">
        <v>336</v>
      </c>
      <c r="H1880" t="s">
        <v>2095</v>
      </c>
      <c r="I1880" s="22" t="str">
        <f t="shared" si="204"/>
        <v>2019-06-17</v>
      </c>
      <c r="J1880" s="23" t="str">
        <f t="shared" si="205"/>
        <v>17</v>
      </c>
      <c r="K1880" t="str">
        <f t="shared" si="206"/>
        <v>no</v>
      </c>
      <c r="L1880">
        <v>17</v>
      </c>
      <c r="M1880" t="str">
        <f t="shared" si="207"/>
        <v>2019-06-17</v>
      </c>
      <c r="N1880" s="20" t="str">
        <f t="shared" si="208"/>
        <v>2019-06-17</v>
      </c>
      <c r="O1880" t="str">
        <f t="shared" si="209"/>
        <v>2019-06-17</v>
      </c>
    </row>
    <row r="1881" spans="1:15" x14ac:dyDescent="0.2">
      <c r="A1881" s="21" t="str">
        <f t="shared" si="203"/>
        <v>y</v>
      </c>
      <c r="B1881" s="24" t="s">
        <v>1870</v>
      </c>
      <c r="C1881" t="s">
        <v>321</v>
      </c>
      <c r="D1881" t="s">
        <v>14</v>
      </c>
      <c r="E1881" t="s">
        <v>43</v>
      </c>
      <c r="F1881" t="s">
        <v>2</v>
      </c>
      <c r="G1881" t="s">
        <v>337</v>
      </c>
      <c r="H1881" t="s">
        <v>2094</v>
      </c>
      <c r="I1881" s="22" t="str">
        <f t="shared" si="204"/>
        <v>2019-06-17</v>
      </c>
      <c r="J1881" s="23" t="str">
        <f t="shared" si="205"/>
        <v>17</v>
      </c>
      <c r="K1881" t="str">
        <f t="shared" si="206"/>
        <v>no</v>
      </c>
      <c r="L1881">
        <v>17</v>
      </c>
      <c r="M1881" t="str">
        <f t="shared" si="207"/>
        <v>2019-06-17</v>
      </c>
      <c r="N1881" s="20">
        <f t="shared" si="208"/>
        <v>43634</v>
      </c>
      <c r="O1881" t="str">
        <f t="shared" si="209"/>
        <v>2019-06-18</v>
      </c>
    </row>
    <row r="1882" spans="1:15" x14ac:dyDescent="0.2">
      <c r="A1882" s="21" t="str">
        <f t="shared" si="203"/>
        <v>y</v>
      </c>
      <c r="B1882" s="24" t="s">
        <v>1870</v>
      </c>
      <c r="C1882" t="s">
        <v>297</v>
      </c>
      <c r="D1882" t="s">
        <v>13</v>
      </c>
      <c r="E1882" t="s">
        <v>27</v>
      </c>
      <c r="F1882" t="s">
        <v>29</v>
      </c>
      <c r="G1882" t="s">
        <v>335</v>
      </c>
      <c r="H1882" t="s">
        <v>2089</v>
      </c>
      <c r="I1882" s="22" t="str">
        <f t="shared" si="204"/>
        <v>2019-06-17</v>
      </c>
      <c r="J1882" s="23" t="str">
        <f t="shared" si="205"/>
        <v>17</v>
      </c>
      <c r="K1882" t="str">
        <f t="shared" si="206"/>
        <v>no</v>
      </c>
      <c r="L1882">
        <v>17</v>
      </c>
      <c r="M1882" t="str">
        <f t="shared" si="207"/>
        <v>2019-06-17</v>
      </c>
      <c r="N1882" s="20" t="str">
        <f t="shared" si="208"/>
        <v>2019-06-17</v>
      </c>
      <c r="O1882" t="str">
        <f t="shared" si="209"/>
        <v>2019-06-17</v>
      </c>
    </row>
    <row r="1883" spans="1:15" x14ac:dyDescent="0.2">
      <c r="A1883" s="21" t="str">
        <f t="shared" si="203"/>
        <v>y</v>
      </c>
      <c r="B1883" s="24" t="s">
        <v>1870</v>
      </c>
      <c r="C1883" t="s">
        <v>262</v>
      </c>
      <c r="D1883" t="s">
        <v>18</v>
      </c>
      <c r="E1883" t="s">
        <v>43</v>
      </c>
      <c r="F1883" t="s">
        <v>2</v>
      </c>
      <c r="G1883" t="s">
        <v>334</v>
      </c>
      <c r="H1883" t="s">
        <v>2095</v>
      </c>
      <c r="I1883" s="22" t="str">
        <f t="shared" si="204"/>
        <v>2019-06-17</v>
      </c>
      <c r="J1883" s="23" t="str">
        <f t="shared" si="205"/>
        <v>17</v>
      </c>
      <c r="K1883" t="str">
        <f t="shared" si="206"/>
        <v>no</v>
      </c>
      <c r="L1883">
        <v>17</v>
      </c>
      <c r="M1883" t="str">
        <f t="shared" si="207"/>
        <v>2019-06-17</v>
      </c>
      <c r="N1883" s="20">
        <f t="shared" si="208"/>
        <v>43634</v>
      </c>
      <c r="O1883" t="str">
        <f t="shared" si="209"/>
        <v>2019-06-18</v>
      </c>
    </row>
    <row r="1884" spans="1:15" x14ac:dyDescent="0.2">
      <c r="A1884" s="21" t="str">
        <f t="shared" si="203"/>
        <v>y</v>
      </c>
      <c r="B1884" s="24" t="s">
        <v>1871</v>
      </c>
      <c r="C1884" t="s">
        <v>277</v>
      </c>
      <c r="D1884" t="s">
        <v>13</v>
      </c>
      <c r="E1884" t="s">
        <v>52</v>
      </c>
      <c r="F1884" t="s">
        <v>29</v>
      </c>
      <c r="G1884" t="s">
        <v>333</v>
      </c>
      <c r="H1884" t="s">
        <v>2093</v>
      </c>
      <c r="I1884" s="22" t="str">
        <f t="shared" si="204"/>
        <v>2019-06-16</v>
      </c>
      <c r="J1884" s="23" t="str">
        <f t="shared" si="205"/>
        <v>16</v>
      </c>
      <c r="K1884" t="str">
        <f t="shared" si="206"/>
        <v>no</v>
      </c>
      <c r="L1884">
        <v>16</v>
      </c>
      <c r="M1884" t="str">
        <f t="shared" si="207"/>
        <v>2019-06-16</v>
      </c>
      <c r="N1884" s="20" t="str">
        <f t="shared" si="208"/>
        <v>2019-06-16</v>
      </c>
      <c r="O1884" t="str">
        <f t="shared" si="209"/>
        <v>2019-06-16</v>
      </c>
    </row>
    <row r="1885" spans="1:15" x14ac:dyDescent="0.2">
      <c r="A1885" s="21" t="str">
        <f t="shared" si="203"/>
        <v>y</v>
      </c>
      <c r="B1885" s="24" t="s">
        <v>1871</v>
      </c>
      <c r="C1885" t="s">
        <v>63</v>
      </c>
      <c r="D1885" t="s">
        <v>13</v>
      </c>
      <c r="E1885" t="s">
        <v>49</v>
      </c>
      <c r="F1885" t="s">
        <v>2</v>
      </c>
      <c r="H1885" t="s">
        <v>2055</v>
      </c>
      <c r="I1885" s="22" t="str">
        <f t="shared" si="204"/>
        <v>2019-06-16</v>
      </c>
      <c r="J1885" s="23" t="str">
        <f t="shared" si="205"/>
        <v>16</v>
      </c>
      <c r="K1885" t="str">
        <f t="shared" si="206"/>
        <v>no</v>
      </c>
      <c r="L1885">
        <v>16</v>
      </c>
      <c r="M1885" t="str">
        <f t="shared" si="207"/>
        <v>2019-06-16</v>
      </c>
      <c r="N1885" s="20">
        <f t="shared" si="208"/>
        <v>43633</v>
      </c>
      <c r="O1885" t="str">
        <f t="shared" si="209"/>
        <v>2019-06-17</v>
      </c>
    </row>
    <row r="1886" spans="1:15" x14ac:dyDescent="0.2">
      <c r="A1886" s="21" t="str">
        <f t="shared" si="203"/>
        <v>y</v>
      </c>
      <c r="B1886" s="24" t="s">
        <v>1871</v>
      </c>
      <c r="C1886" t="s">
        <v>321</v>
      </c>
      <c r="D1886" t="s">
        <v>14</v>
      </c>
      <c r="E1886" t="s">
        <v>43</v>
      </c>
      <c r="F1886" t="s">
        <v>2</v>
      </c>
      <c r="H1886" t="s">
        <v>2094</v>
      </c>
      <c r="I1886" s="22" t="str">
        <f t="shared" si="204"/>
        <v>2019-06-16</v>
      </c>
      <c r="J1886" s="23" t="str">
        <f t="shared" si="205"/>
        <v>16</v>
      </c>
      <c r="K1886" t="str">
        <f t="shared" si="206"/>
        <v>no</v>
      </c>
      <c r="L1886">
        <v>16</v>
      </c>
      <c r="M1886" t="str">
        <f t="shared" si="207"/>
        <v>2019-06-16</v>
      </c>
      <c r="N1886" s="20">
        <f t="shared" si="208"/>
        <v>43633</v>
      </c>
      <c r="O1886" t="str">
        <f t="shared" si="209"/>
        <v>2019-06-17</v>
      </c>
    </row>
    <row r="1887" spans="1:15" x14ac:dyDescent="0.2">
      <c r="A1887" s="21" t="str">
        <f t="shared" si="203"/>
        <v>y</v>
      </c>
      <c r="B1887" s="24" t="s">
        <v>1872</v>
      </c>
      <c r="C1887" t="s">
        <v>277</v>
      </c>
      <c r="D1887" t="s">
        <v>13</v>
      </c>
      <c r="E1887" t="s">
        <v>52</v>
      </c>
      <c r="F1887" t="s">
        <v>2</v>
      </c>
      <c r="G1887" t="s">
        <v>332</v>
      </c>
      <c r="H1887" t="s">
        <v>2089</v>
      </c>
      <c r="I1887" s="22" t="str">
        <f t="shared" si="204"/>
        <v>2019-06-15</v>
      </c>
      <c r="J1887" s="23" t="str">
        <f t="shared" si="205"/>
        <v>15</v>
      </c>
      <c r="K1887" t="str">
        <f t="shared" si="206"/>
        <v>no</v>
      </c>
      <c r="L1887">
        <v>15</v>
      </c>
      <c r="M1887" t="str">
        <f t="shared" si="207"/>
        <v>2019-06-15</v>
      </c>
      <c r="N1887" s="20">
        <f t="shared" si="208"/>
        <v>43632</v>
      </c>
      <c r="O1887" t="str">
        <f t="shared" si="209"/>
        <v>2019-06-16</v>
      </c>
    </row>
    <row r="1888" spans="1:15" x14ac:dyDescent="0.2">
      <c r="A1888" s="21" t="str">
        <f t="shared" si="203"/>
        <v>y</v>
      </c>
      <c r="B1888" s="24" t="s">
        <v>1872</v>
      </c>
      <c r="C1888" t="s">
        <v>63</v>
      </c>
      <c r="D1888" t="s">
        <v>13</v>
      </c>
      <c r="E1888" t="s">
        <v>49</v>
      </c>
      <c r="F1888" t="s">
        <v>2</v>
      </c>
      <c r="G1888" t="s">
        <v>331</v>
      </c>
      <c r="H1888" t="s">
        <v>2095</v>
      </c>
      <c r="I1888" s="22" t="str">
        <f t="shared" si="204"/>
        <v>2019-06-15</v>
      </c>
      <c r="J1888" s="23" t="str">
        <f t="shared" si="205"/>
        <v>15</v>
      </c>
      <c r="K1888" t="str">
        <f t="shared" si="206"/>
        <v>no</v>
      </c>
      <c r="L1888">
        <v>15</v>
      </c>
      <c r="M1888" t="str">
        <f t="shared" si="207"/>
        <v>2019-06-15</v>
      </c>
      <c r="N1888" s="20">
        <f t="shared" si="208"/>
        <v>43632</v>
      </c>
      <c r="O1888" t="str">
        <f t="shared" si="209"/>
        <v>2019-06-16</v>
      </c>
    </row>
    <row r="1889" spans="1:15" x14ac:dyDescent="0.2">
      <c r="A1889" s="21" t="str">
        <f t="shared" si="203"/>
        <v>y</v>
      </c>
      <c r="B1889" s="24" t="s">
        <v>1873</v>
      </c>
      <c r="C1889" t="s">
        <v>277</v>
      </c>
      <c r="D1889" t="s">
        <v>13</v>
      </c>
      <c r="E1889" t="s">
        <v>52</v>
      </c>
      <c r="F1889" t="s">
        <v>2</v>
      </c>
      <c r="G1889" t="s">
        <v>330</v>
      </c>
      <c r="H1889" t="s">
        <v>2095</v>
      </c>
      <c r="I1889" s="22" t="str">
        <f t="shared" si="204"/>
        <v>2019-06-13</v>
      </c>
      <c r="J1889" s="23" t="str">
        <f t="shared" si="205"/>
        <v>13</v>
      </c>
      <c r="K1889" t="str">
        <f t="shared" si="206"/>
        <v>no</v>
      </c>
      <c r="L1889">
        <v>13</v>
      </c>
      <c r="M1889" t="str">
        <f t="shared" si="207"/>
        <v>2019-06-13</v>
      </c>
      <c r="N1889" s="20">
        <f t="shared" si="208"/>
        <v>43630</v>
      </c>
      <c r="O1889" t="str">
        <f t="shared" si="209"/>
        <v>2019-06-14</v>
      </c>
    </row>
    <row r="1890" spans="1:15" x14ac:dyDescent="0.2">
      <c r="A1890" s="21" t="str">
        <f t="shared" si="203"/>
        <v>y</v>
      </c>
      <c r="B1890" s="24" t="s">
        <v>1873</v>
      </c>
      <c r="C1890" t="s">
        <v>220</v>
      </c>
      <c r="D1890" t="s">
        <v>13</v>
      </c>
      <c r="E1890" t="s">
        <v>28</v>
      </c>
      <c r="F1890" t="s">
        <v>29</v>
      </c>
      <c r="G1890" t="s">
        <v>395</v>
      </c>
      <c r="H1890" t="s">
        <v>2095</v>
      </c>
      <c r="I1890" s="22" t="str">
        <f t="shared" si="204"/>
        <v>2019-06-13</v>
      </c>
      <c r="J1890" s="23" t="str">
        <f t="shared" si="205"/>
        <v>13</v>
      </c>
      <c r="K1890" t="str">
        <f t="shared" si="206"/>
        <v>no</v>
      </c>
      <c r="L1890">
        <v>13</v>
      </c>
      <c r="M1890" t="str">
        <f t="shared" si="207"/>
        <v>2019-06-13</v>
      </c>
      <c r="N1890" s="20" t="str">
        <f t="shared" si="208"/>
        <v>2019-06-13</v>
      </c>
      <c r="O1890" t="str">
        <f t="shared" si="209"/>
        <v>2019-06-13</v>
      </c>
    </row>
    <row r="1891" spans="1:15" x14ac:dyDescent="0.2">
      <c r="A1891" s="21" t="str">
        <f t="shared" si="203"/>
        <v>y</v>
      </c>
      <c r="B1891" s="24">
        <v>43805</v>
      </c>
      <c r="C1891" t="s">
        <v>321</v>
      </c>
      <c r="D1891" t="s">
        <v>13</v>
      </c>
      <c r="E1891" t="s">
        <v>43</v>
      </c>
      <c r="F1891" t="s">
        <v>2</v>
      </c>
      <c r="H1891" t="s">
        <v>2093</v>
      </c>
      <c r="I1891" s="22" t="str">
        <f t="shared" si="204"/>
        <v>2019-06-12</v>
      </c>
      <c r="J1891" s="23" t="str">
        <f t="shared" si="205"/>
        <v>43</v>
      </c>
      <c r="K1891" t="str">
        <f t="shared" si="206"/>
        <v>yes</v>
      </c>
      <c r="L1891">
        <v>43</v>
      </c>
      <c r="M1891" t="str">
        <f t="shared" si="207"/>
        <v>2019-06-12</v>
      </c>
      <c r="N1891" s="20">
        <f t="shared" si="208"/>
        <v>43629</v>
      </c>
      <c r="O1891" t="str">
        <f t="shared" si="209"/>
        <v>2019-06-13</v>
      </c>
    </row>
    <row r="1892" spans="1:15" x14ac:dyDescent="0.2">
      <c r="A1892" s="21" t="str">
        <f t="shared" si="203"/>
        <v>y</v>
      </c>
      <c r="B1892" s="24">
        <v>43805</v>
      </c>
      <c r="C1892" t="s">
        <v>277</v>
      </c>
      <c r="D1892" t="s">
        <v>13</v>
      </c>
      <c r="E1892" t="s">
        <v>52</v>
      </c>
      <c r="F1892" t="s">
        <v>2</v>
      </c>
      <c r="G1892" t="s">
        <v>329</v>
      </c>
      <c r="H1892" t="s">
        <v>2089</v>
      </c>
      <c r="I1892" s="22" t="str">
        <f t="shared" si="204"/>
        <v>2019-06-12</v>
      </c>
      <c r="J1892" s="23" t="str">
        <f t="shared" si="205"/>
        <v>43</v>
      </c>
      <c r="K1892" t="str">
        <f t="shared" si="206"/>
        <v>yes</v>
      </c>
      <c r="L1892">
        <v>43</v>
      </c>
      <c r="M1892" t="str">
        <f t="shared" si="207"/>
        <v>2019-06-12</v>
      </c>
      <c r="N1892" s="20">
        <f t="shared" si="208"/>
        <v>43629</v>
      </c>
      <c r="O1892" t="str">
        <f t="shared" si="209"/>
        <v>2019-06-13</v>
      </c>
    </row>
    <row r="1893" spans="1:15" x14ac:dyDescent="0.2">
      <c r="A1893" s="21" t="str">
        <f t="shared" si="203"/>
        <v>y</v>
      </c>
      <c r="B1893" s="24">
        <v>43805</v>
      </c>
      <c r="C1893" t="s">
        <v>220</v>
      </c>
      <c r="D1893" t="s">
        <v>13</v>
      </c>
      <c r="E1893" t="s">
        <v>28</v>
      </c>
      <c r="F1893" t="s">
        <v>2</v>
      </c>
      <c r="G1893" t="s">
        <v>328</v>
      </c>
      <c r="H1893" t="s">
        <v>2095</v>
      </c>
      <c r="I1893" s="22" t="str">
        <f t="shared" si="204"/>
        <v>2019-06-12</v>
      </c>
      <c r="J1893" s="23" t="str">
        <f t="shared" si="205"/>
        <v>43</v>
      </c>
      <c r="K1893" t="str">
        <f t="shared" si="206"/>
        <v>yes</v>
      </c>
      <c r="L1893">
        <v>43</v>
      </c>
      <c r="M1893" t="str">
        <f t="shared" si="207"/>
        <v>2019-06-12</v>
      </c>
      <c r="N1893" s="20">
        <f t="shared" si="208"/>
        <v>43629</v>
      </c>
      <c r="O1893" t="str">
        <f t="shared" si="209"/>
        <v>2019-06-13</v>
      </c>
    </row>
    <row r="1894" spans="1:15" x14ac:dyDescent="0.2">
      <c r="A1894" s="21" t="str">
        <f t="shared" si="203"/>
        <v>y</v>
      </c>
      <c r="B1894" s="24">
        <v>43775</v>
      </c>
      <c r="C1894" t="s">
        <v>321</v>
      </c>
      <c r="D1894" t="s">
        <v>13</v>
      </c>
      <c r="E1894" t="s">
        <v>43</v>
      </c>
      <c r="F1894" t="s">
        <v>2</v>
      </c>
      <c r="H1894" t="s">
        <v>2067</v>
      </c>
      <c r="I1894" s="22" t="str">
        <f t="shared" si="204"/>
        <v>2019-06-11</v>
      </c>
      <c r="J1894" s="23" t="str">
        <f t="shared" si="205"/>
        <v>43</v>
      </c>
      <c r="K1894" t="str">
        <f t="shared" si="206"/>
        <v>yes</v>
      </c>
      <c r="L1894">
        <v>43</v>
      </c>
      <c r="M1894" t="str">
        <f t="shared" si="207"/>
        <v>2019-06-11</v>
      </c>
      <c r="N1894" s="20">
        <f t="shared" si="208"/>
        <v>43628</v>
      </c>
      <c r="O1894" t="str">
        <f t="shared" si="209"/>
        <v>2019-06-12</v>
      </c>
    </row>
    <row r="1895" spans="1:15" x14ac:dyDescent="0.2">
      <c r="A1895" s="21" t="str">
        <f t="shared" si="203"/>
        <v>y</v>
      </c>
      <c r="B1895" s="24">
        <v>43775</v>
      </c>
      <c r="C1895" t="s">
        <v>277</v>
      </c>
      <c r="D1895" t="s">
        <v>13</v>
      </c>
      <c r="E1895" t="s">
        <v>52</v>
      </c>
      <c r="F1895" t="s">
        <v>2</v>
      </c>
      <c r="H1895" t="s">
        <v>2095</v>
      </c>
      <c r="I1895" s="22" t="str">
        <f t="shared" si="204"/>
        <v>2019-06-11</v>
      </c>
      <c r="J1895" s="23" t="str">
        <f t="shared" si="205"/>
        <v>43</v>
      </c>
      <c r="K1895" t="str">
        <f t="shared" si="206"/>
        <v>yes</v>
      </c>
      <c r="L1895">
        <v>43</v>
      </c>
      <c r="M1895" t="str">
        <f t="shared" si="207"/>
        <v>2019-06-11</v>
      </c>
      <c r="N1895" s="20">
        <f t="shared" si="208"/>
        <v>43628</v>
      </c>
      <c r="O1895" t="str">
        <f t="shared" si="209"/>
        <v>2019-06-12</v>
      </c>
    </row>
    <row r="1896" spans="1:15" x14ac:dyDescent="0.2">
      <c r="A1896" s="21" t="str">
        <f t="shared" si="203"/>
        <v>y</v>
      </c>
      <c r="B1896" s="24">
        <v>43775</v>
      </c>
      <c r="C1896" t="s">
        <v>123</v>
      </c>
      <c r="D1896" t="s">
        <v>13</v>
      </c>
      <c r="E1896" t="s">
        <v>27</v>
      </c>
      <c r="F1896" t="s">
        <v>29</v>
      </c>
      <c r="G1896" t="s">
        <v>326</v>
      </c>
      <c r="H1896" t="s">
        <v>2095</v>
      </c>
      <c r="I1896" s="22" t="str">
        <f t="shared" si="204"/>
        <v>2019-06-11</v>
      </c>
      <c r="J1896" s="23" t="str">
        <f t="shared" si="205"/>
        <v>43</v>
      </c>
      <c r="K1896" t="str">
        <f t="shared" si="206"/>
        <v>yes</v>
      </c>
      <c r="L1896">
        <v>43</v>
      </c>
      <c r="M1896" t="str">
        <f t="shared" si="207"/>
        <v>2019-06-11</v>
      </c>
      <c r="N1896" s="20" t="str">
        <f t="shared" si="208"/>
        <v>2019-06-11</v>
      </c>
      <c r="O1896" t="str">
        <f t="shared" si="209"/>
        <v>2019-06-11</v>
      </c>
    </row>
    <row r="1897" spans="1:15" x14ac:dyDescent="0.2">
      <c r="A1897" s="21" t="str">
        <f t="shared" si="203"/>
        <v>y</v>
      </c>
      <c r="B1897" s="24">
        <v>43775</v>
      </c>
      <c r="C1897" t="s">
        <v>297</v>
      </c>
      <c r="D1897" t="s">
        <v>13</v>
      </c>
      <c r="E1897" t="s">
        <v>49</v>
      </c>
      <c r="F1897" t="s">
        <v>29</v>
      </c>
      <c r="G1897" t="s">
        <v>327</v>
      </c>
      <c r="H1897" t="s">
        <v>2067</v>
      </c>
      <c r="I1897" s="22" t="str">
        <f t="shared" si="204"/>
        <v>2019-06-11</v>
      </c>
      <c r="J1897" s="23" t="str">
        <f t="shared" si="205"/>
        <v>43</v>
      </c>
      <c r="K1897" t="str">
        <f t="shared" si="206"/>
        <v>yes</v>
      </c>
      <c r="L1897">
        <v>43</v>
      </c>
      <c r="M1897" t="str">
        <f t="shared" si="207"/>
        <v>2019-06-11</v>
      </c>
      <c r="N1897" s="20" t="str">
        <f t="shared" si="208"/>
        <v>2019-06-11</v>
      </c>
      <c r="O1897" t="str">
        <f t="shared" si="209"/>
        <v>2019-06-11</v>
      </c>
    </row>
    <row r="1898" spans="1:15" x14ac:dyDescent="0.2">
      <c r="A1898" s="21" t="str">
        <f t="shared" si="203"/>
        <v>y</v>
      </c>
      <c r="B1898" s="24">
        <v>43775</v>
      </c>
      <c r="C1898" t="s">
        <v>220</v>
      </c>
      <c r="D1898" t="s">
        <v>13</v>
      </c>
      <c r="E1898" t="s">
        <v>28</v>
      </c>
      <c r="F1898" t="s">
        <v>2</v>
      </c>
      <c r="G1898" t="s">
        <v>328</v>
      </c>
      <c r="H1898" t="s">
        <v>2067</v>
      </c>
      <c r="I1898" s="22" t="str">
        <f t="shared" si="204"/>
        <v>2019-06-11</v>
      </c>
      <c r="J1898" s="23" t="str">
        <f t="shared" si="205"/>
        <v>43</v>
      </c>
      <c r="K1898" t="str">
        <f t="shared" si="206"/>
        <v>yes</v>
      </c>
      <c r="L1898">
        <v>43</v>
      </c>
      <c r="M1898" t="str">
        <f t="shared" si="207"/>
        <v>2019-06-11</v>
      </c>
      <c r="N1898" s="20">
        <f t="shared" si="208"/>
        <v>43628</v>
      </c>
      <c r="O1898" t="str">
        <f t="shared" si="209"/>
        <v>2019-06-12</v>
      </c>
    </row>
    <row r="1899" spans="1:15" x14ac:dyDescent="0.2">
      <c r="A1899" s="21" t="str">
        <f t="shared" si="203"/>
        <v>y</v>
      </c>
      <c r="B1899" s="24">
        <v>43744</v>
      </c>
      <c r="C1899" t="s">
        <v>320</v>
      </c>
      <c r="D1899" t="s">
        <v>13</v>
      </c>
      <c r="E1899" t="s">
        <v>43</v>
      </c>
      <c r="F1899" t="s">
        <v>29</v>
      </c>
      <c r="G1899" t="s">
        <v>323</v>
      </c>
      <c r="H1899" t="s">
        <v>2026</v>
      </c>
      <c r="I1899" s="22" t="str">
        <f t="shared" si="204"/>
        <v>2019-06-10</v>
      </c>
      <c r="J1899" s="23" t="str">
        <f t="shared" si="205"/>
        <v>43</v>
      </c>
      <c r="K1899" t="str">
        <f t="shared" si="206"/>
        <v>yes</v>
      </c>
      <c r="L1899">
        <v>43</v>
      </c>
      <c r="M1899" t="str">
        <f t="shared" si="207"/>
        <v>2019-06-10</v>
      </c>
      <c r="N1899" s="20" t="str">
        <f t="shared" si="208"/>
        <v>2019-06-10</v>
      </c>
      <c r="O1899" t="str">
        <f t="shared" si="209"/>
        <v>2019-06-10</v>
      </c>
    </row>
    <row r="1900" spans="1:15" x14ac:dyDescent="0.2">
      <c r="A1900" s="21" t="str">
        <f t="shared" si="203"/>
        <v>y</v>
      </c>
      <c r="B1900" s="24">
        <v>43744</v>
      </c>
      <c r="C1900" t="s">
        <v>321</v>
      </c>
      <c r="D1900" t="s">
        <v>13</v>
      </c>
      <c r="E1900" t="s">
        <v>43</v>
      </c>
      <c r="F1900" t="s">
        <v>2</v>
      </c>
      <c r="G1900" t="s">
        <v>323</v>
      </c>
      <c r="H1900" t="s">
        <v>2026</v>
      </c>
      <c r="I1900" s="22" t="str">
        <f t="shared" si="204"/>
        <v>2019-06-10</v>
      </c>
      <c r="J1900" s="23" t="str">
        <f t="shared" si="205"/>
        <v>43</v>
      </c>
      <c r="K1900" t="str">
        <f t="shared" si="206"/>
        <v>yes</v>
      </c>
      <c r="L1900">
        <v>43</v>
      </c>
      <c r="M1900" t="str">
        <f t="shared" si="207"/>
        <v>2019-06-10</v>
      </c>
      <c r="N1900" s="20">
        <f t="shared" si="208"/>
        <v>43627</v>
      </c>
      <c r="O1900" t="str">
        <f t="shared" si="209"/>
        <v>2019-06-11</v>
      </c>
    </row>
    <row r="1901" spans="1:15" x14ac:dyDescent="0.2">
      <c r="A1901" s="21" t="str">
        <f t="shared" si="203"/>
        <v>y</v>
      </c>
      <c r="B1901" s="24">
        <v>43744</v>
      </c>
      <c r="C1901" t="s">
        <v>322</v>
      </c>
      <c r="D1901" t="s">
        <v>13</v>
      </c>
      <c r="E1901" t="s">
        <v>8</v>
      </c>
      <c r="F1901" t="s">
        <v>2</v>
      </c>
      <c r="G1901" t="s">
        <v>325</v>
      </c>
      <c r="H1901" t="s">
        <v>2093</v>
      </c>
      <c r="I1901" s="22" t="str">
        <f t="shared" si="204"/>
        <v>2019-06-10</v>
      </c>
      <c r="J1901" s="23" t="str">
        <f t="shared" si="205"/>
        <v>43</v>
      </c>
      <c r="K1901" t="str">
        <f t="shared" si="206"/>
        <v>yes</v>
      </c>
      <c r="L1901">
        <v>43</v>
      </c>
      <c r="M1901" t="str">
        <f t="shared" si="207"/>
        <v>2019-06-10</v>
      </c>
      <c r="N1901" s="20">
        <f t="shared" si="208"/>
        <v>43627</v>
      </c>
      <c r="O1901" t="str">
        <f t="shared" si="209"/>
        <v>2019-06-11</v>
      </c>
    </row>
    <row r="1902" spans="1:15" x14ac:dyDescent="0.2">
      <c r="A1902" s="21" t="str">
        <f t="shared" si="203"/>
        <v>y</v>
      </c>
      <c r="B1902" s="24">
        <v>43744</v>
      </c>
      <c r="C1902" t="s">
        <v>123</v>
      </c>
      <c r="D1902" t="s">
        <v>13</v>
      </c>
      <c r="E1902" t="s">
        <v>27</v>
      </c>
      <c r="F1902" t="s">
        <v>29</v>
      </c>
      <c r="G1902" t="s">
        <v>324</v>
      </c>
      <c r="H1902" t="s">
        <v>2093</v>
      </c>
      <c r="I1902" s="22" t="str">
        <f t="shared" si="204"/>
        <v>2019-06-10</v>
      </c>
      <c r="J1902" s="23" t="str">
        <f t="shared" si="205"/>
        <v>43</v>
      </c>
      <c r="K1902" t="str">
        <f t="shared" si="206"/>
        <v>yes</v>
      </c>
      <c r="L1902">
        <v>43</v>
      </c>
      <c r="M1902" t="str">
        <f t="shared" si="207"/>
        <v>2019-06-10</v>
      </c>
      <c r="N1902" s="20" t="str">
        <f t="shared" si="208"/>
        <v>2019-06-10</v>
      </c>
      <c r="O1902" t="str">
        <f t="shared" si="209"/>
        <v>2019-06-10</v>
      </c>
    </row>
    <row r="1903" spans="1:15" x14ac:dyDescent="0.2">
      <c r="A1903" s="21" t="str">
        <f t="shared" si="203"/>
        <v>y</v>
      </c>
      <c r="B1903" s="24">
        <v>43744</v>
      </c>
      <c r="C1903" t="s">
        <v>277</v>
      </c>
      <c r="D1903" t="s">
        <v>13</v>
      </c>
      <c r="E1903" t="s">
        <v>52</v>
      </c>
      <c r="F1903" t="s">
        <v>2</v>
      </c>
      <c r="H1903" t="s">
        <v>2096</v>
      </c>
      <c r="I1903" s="22" t="str">
        <f t="shared" si="204"/>
        <v>2019-06-10</v>
      </c>
      <c r="J1903" s="23" t="str">
        <f t="shared" si="205"/>
        <v>43</v>
      </c>
      <c r="K1903" t="str">
        <f t="shared" si="206"/>
        <v>yes</v>
      </c>
      <c r="L1903">
        <v>43</v>
      </c>
      <c r="M1903" t="str">
        <f t="shared" si="207"/>
        <v>2019-06-10</v>
      </c>
      <c r="N1903" s="20">
        <f t="shared" si="208"/>
        <v>43627</v>
      </c>
      <c r="O1903" t="str">
        <f t="shared" si="209"/>
        <v>2019-06-11</v>
      </c>
    </row>
    <row r="1904" spans="1:15" x14ac:dyDescent="0.2">
      <c r="A1904" s="21" t="str">
        <f t="shared" si="203"/>
        <v>y</v>
      </c>
      <c r="B1904" s="24">
        <v>43502</v>
      </c>
      <c r="C1904" t="s">
        <v>235</v>
      </c>
      <c r="D1904" t="s">
        <v>13</v>
      </c>
      <c r="E1904" t="s">
        <v>21</v>
      </c>
      <c r="F1904" t="s">
        <v>2</v>
      </c>
      <c r="G1904" t="s">
        <v>318</v>
      </c>
      <c r="H1904" t="s">
        <v>2097</v>
      </c>
      <c r="I1904" s="22" t="str">
        <f t="shared" si="204"/>
        <v>2019-06-02</v>
      </c>
      <c r="J1904" s="23" t="str">
        <f t="shared" si="205"/>
        <v>43</v>
      </c>
      <c r="K1904" t="str">
        <f t="shared" si="206"/>
        <v>yes</v>
      </c>
      <c r="L1904">
        <v>43</v>
      </c>
      <c r="M1904" t="str">
        <f t="shared" si="207"/>
        <v>2019-06-02</v>
      </c>
      <c r="N1904" s="20">
        <f t="shared" si="208"/>
        <v>43619</v>
      </c>
      <c r="O1904" t="str">
        <f t="shared" si="209"/>
        <v>2019-06-03</v>
      </c>
    </row>
    <row r="1905" spans="1:15" x14ac:dyDescent="0.2">
      <c r="A1905" s="21" t="str">
        <f t="shared" si="203"/>
        <v>y</v>
      </c>
      <c r="B1905" s="24">
        <v>43502</v>
      </c>
      <c r="C1905" t="s">
        <v>316</v>
      </c>
      <c r="D1905" t="s">
        <v>13</v>
      </c>
      <c r="E1905" t="s">
        <v>27</v>
      </c>
      <c r="F1905" t="s">
        <v>29</v>
      </c>
      <c r="G1905" t="s">
        <v>319</v>
      </c>
      <c r="H1905" t="s">
        <v>2098</v>
      </c>
      <c r="I1905" s="22" t="str">
        <f t="shared" si="204"/>
        <v>2019-06-02</v>
      </c>
      <c r="J1905" s="23" t="str">
        <f t="shared" si="205"/>
        <v>43</v>
      </c>
      <c r="K1905" t="str">
        <f t="shared" si="206"/>
        <v>yes</v>
      </c>
      <c r="L1905">
        <v>43</v>
      </c>
      <c r="M1905" t="str">
        <f t="shared" si="207"/>
        <v>2019-06-02</v>
      </c>
      <c r="N1905" s="20" t="str">
        <f t="shared" si="208"/>
        <v>2019-06-02</v>
      </c>
      <c r="O1905" t="str">
        <f t="shared" si="209"/>
        <v>2019-06-02</v>
      </c>
    </row>
    <row r="1906" spans="1:15" x14ac:dyDescent="0.2">
      <c r="A1906" s="21" t="str">
        <f t="shared" si="203"/>
        <v>y</v>
      </c>
      <c r="B1906" s="24">
        <v>43502</v>
      </c>
      <c r="C1906" t="s">
        <v>235</v>
      </c>
      <c r="D1906" t="s">
        <v>13</v>
      </c>
      <c r="E1906" t="s">
        <v>27</v>
      </c>
      <c r="F1906" t="s">
        <v>2</v>
      </c>
      <c r="H1906" t="s">
        <v>2093</v>
      </c>
      <c r="I1906" s="22" t="str">
        <f t="shared" si="204"/>
        <v>2019-06-02</v>
      </c>
      <c r="J1906" s="23" t="str">
        <f t="shared" si="205"/>
        <v>43</v>
      </c>
      <c r="K1906" t="str">
        <f t="shared" si="206"/>
        <v>yes</v>
      </c>
      <c r="L1906">
        <v>43</v>
      </c>
      <c r="M1906" t="str">
        <f t="shared" si="207"/>
        <v>2019-06-02</v>
      </c>
      <c r="N1906" s="20">
        <f t="shared" si="208"/>
        <v>43619</v>
      </c>
      <c r="O1906" t="str">
        <f t="shared" si="209"/>
        <v>2019-06-03</v>
      </c>
    </row>
    <row r="1907" spans="1:15" x14ac:dyDescent="0.2">
      <c r="A1907" s="21" t="str">
        <f t="shared" si="203"/>
        <v>y</v>
      </c>
      <c r="B1907" s="24">
        <v>43471</v>
      </c>
      <c r="C1907" t="s">
        <v>235</v>
      </c>
      <c r="D1907" t="s">
        <v>13</v>
      </c>
      <c r="E1907" t="s">
        <v>49</v>
      </c>
      <c r="F1907" t="s">
        <v>29</v>
      </c>
      <c r="G1907" t="s">
        <v>317</v>
      </c>
      <c r="H1907" t="s">
        <v>2098</v>
      </c>
      <c r="I1907" s="22" t="str">
        <f t="shared" si="204"/>
        <v>2019-06-01</v>
      </c>
      <c r="J1907" s="23" t="str">
        <f t="shared" si="205"/>
        <v>43</v>
      </c>
      <c r="K1907" t="str">
        <f t="shared" si="206"/>
        <v>yes</v>
      </c>
      <c r="L1907">
        <v>43</v>
      </c>
      <c r="M1907" t="str">
        <f t="shared" si="207"/>
        <v>2019-06-01</v>
      </c>
      <c r="N1907" s="20" t="str">
        <f t="shared" si="208"/>
        <v>2019-06-01</v>
      </c>
      <c r="O1907" t="str">
        <f t="shared" si="209"/>
        <v>2019-06-01</v>
      </c>
    </row>
    <row r="1908" spans="1:15" x14ac:dyDescent="0.2">
      <c r="A1908" s="21" t="str">
        <f t="shared" si="203"/>
        <v>y</v>
      </c>
      <c r="B1908" s="24">
        <v>43471</v>
      </c>
      <c r="C1908" t="s">
        <v>316</v>
      </c>
      <c r="D1908" t="s">
        <v>13</v>
      </c>
      <c r="E1908" t="s">
        <v>43</v>
      </c>
      <c r="F1908" t="s">
        <v>2</v>
      </c>
      <c r="H1908" t="s">
        <v>2093</v>
      </c>
      <c r="I1908" s="22" t="str">
        <f t="shared" si="204"/>
        <v>2019-06-01</v>
      </c>
      <c r="J1908" s="23" t="str">
        <f t="shared" si="205"/>
        <v>43</v>
      </c>
      <c r="K1908" t="str">
        <f t="shared" si="206"/>
        <v>yes</v>
      </c>
      <c r="L1908">
        <v>43</v>
      </c>
      <c r="M1908" t="str">
        <f t="shared" si="207"/>
        <v>2019-06-01</v>
      </c>
      <c r="N1908" s="20">
        <f t="shared" si="208"/>
        <v>43618</v>
      </c>
      <c r="O1908" t="str">
        <f t="shared" si="209"/>
        <v>2019-06-02</v>
      </c>
    </row>
    <row r="1909" spans="1:15" x14ac:dyDescent="0.2">
      <c r="A1909" s="21" t="str">
        <f t="shared" si="203"/>
        <v>y</v>
      </c>
      <c r="B1909" s="24">
        <v>43471</v>
      </c>
      <c r="C1909" t="s">
        <v>316</v>
      </c>
      <c r="D1909" t="s">
        <v>13</v>
      </c>
      <c r="E1909" t="s">
        <v>27</v>
      </c>
      <c r="F1909" t="s">
        <v>2</v>
      </c>
      <c r="H1909" t="s">
        <v>2093</v>
      </c>
      <c r="I1909" s="22" t="str">
        <f t="shared" si="204"/>
        <v>2019-06-01</v>
      </c>
      <c r="J1909" s="23" t="str">
        <f t="shared" si="205"/>
        <v>43</v>
      </c>
      <c r="K1909" t="str">
        <f t="shared" si="206"/>
        <v>yes</v>
      </c>
      <c r="L1909">
        <v>43</v>
      </c>
      <c r="M1909" t="str">
        <f t="shared" si="207"/>
        <v>2019-06-01</v>
      </c>
      <c r="N1909" s="20">
        <f t="shared" si="208"/>
        <v>43618</v>
      </c>
      <c r="O1909" t="str">
        <f t="shared" si="209"/>
        <v>2019-06-02</v>
      </c>
    </row>
    <row r="1910" spans="1:15" x14ac:dyDescent="0.2">
      <c r="A1910" s="21" t="str">
        <f t="shared" si="203"/>
        <v>y</v>
      </c>
      <c r="B1910" s="24" t="s">
        <v>1874</v>
      </c>
      <c r="C1910" t="s">
        <v>65</v>
      </c>
      <c r="D1910" t="s">
        <v>14</v>
      </c>
      <c r="E1910" t="s">
        <v>115</v>
      </c>
      <c r="F1910" t="s">
        <v>2</v>
      </c>
      <c r="G1910" t="s">
        <v>315</v>
      </c>
      <c r="H1910" t="s">
        <v>2093</v>
      </c>
      <c r="I1910" s="22" t="str">
        <f t="shared" si="204"/>
        <v>2019-05-28</v>
      </c>
      <c r="J1910" s="23" t="str">
        <f t="shared" si="205"/>
        <v>28</v>
      </c>
      <c r="K1910" t="str">
        <f t="shared" si="206"/>
        <v>no</v>
      </c>
      <c r="L1910">
        <v>28</v>
      </c>
      <c r="M1910" t="str">
        <f t="shared" si="207"/>
        <v>2019-05-28</v>
      </c>
      <c r="N1910" s="20">
        <f t="shared" si="208"/>
        <v>43614</v>
      </c>
      <c r="O1910" t="str">
        <f t="shared" si="209"/>
        <v>2019-05-29</v>
      </c>
    </row>
    <row r="1911" spans="1:15" x14ac:dyDescent="0.2">
      <c r="A1911" s="21" t="str">
        <f t="shared" si="203"/>
        <v>y</v>
      </c>
      <c r="B1911" s="24" t="s">
        <v>1875</v>
      </c>
      <c r="C1911" t="s">
        <v>65</v>
      </c>
      <c r="D1911" t="s">
        <v>14</v>
      </c>
      <c r="E1911" t="s">
        <v>115</v>
      </c>
      <c r="F1911" t="s">
        <v>2</v>
      </c>
      <c r="G1911" t="s">
        <v>279</v>
      </c>
      <c r="H1911" t="s">
        <v>2032</v>
      </c>
      <c r="I1911" s="22" t="str">
        <f t="shared" si="204"/>
        <v>2019-05-26</v>
      </c>
      <c r="J1911" s="23" t="str">
        <f t="shared" si="205"/>
        <v>26</v>
      </c>
      <c r="K1911" t="str">
        <f t="shared" si="206"/>
        <v>no</v>
      </c>
      <c r="L1911">
        <v>26</v>
      </c>
      <c r="M1911" t="str">
        <f t="shared" si="207"/>
        <v>2019-05-26</v>
      </c>
      <c r="N1911" s="20">
        <f t="shared" si="208"/>
        <v>43612</v>
      </c>
      <c r="O1911" t="str">
        <f t="shared" si="209"/>
        <v>2019-05-27</v>
      </c>
    </row>
    <row r="1912" spans="1:15" x14ac:dyDescent="0.2">
      <c r="A1912" s="21" t="str">
        <f t="shared" si="203"/>
        <v>y</v>
      </c>
      <c r="B1912" s="24" t="s">
        <v>1876</v>
      </c>
      <c r="C1912" t="s">
        <v>302</v>
      </c>
      <c r="D1912" t="s">
        <v>13</v>
      </c>
      <c r="E1912" t="s">
        <v>27</v>
      </c>
      <c r="F1912" t="s">
        <v>29</v>
      </c>
      <c r="G1912" t="s">
        <v>314</v>
      </c>
      <c r="H1912" t="s">
        <v>2093</v>
      </c>
      <c r="I1912" s="22" t="str">
        <f t="shared" si="204"/>
        <v>2019-05-22</v>
      </c>
      <c r="J1912" s="23" t="str">
        <f t="shared" si="205"/>
        <v>22</v>
      </c>
      <c r="K1912" t="str">
        <f t="shared" si="206"/>
        <v>no</v>
      </c>
      <c r="L1912">
        <v>22</v>
      </c>
      <c r="M1912" t="str">
        <f t="shared" si="207"/>
        <v>2019-05-22</v>
      </c>
      <c r="N1912" s="20" t="str">
        <f t="shared" si="208"/>
        <v>2019-05-22</v>
      </c>
      <c r="O1912" t="str">
        <f t="shared" si="209"/>
        <v>2019-05-22</v>
      </c>
    </row>
    <row r="1913" spans="1:15" x14ac:dyDescent="0.2">
      <c r="A1913" s="21" t="str">
        <f t="shared" si="203"/>
        <v>y</v>
      </c>
      <c r="B1913" s="24" t="s">
        <v>1877</v>
      </c>
      <c r="C1913" t="s">
        <v>302</v>
      </c>
      <c r="D1913" t="s">
        <v>13</v>
      </c>
      <c r="E1913" t="s">
        <v>27</v>
      </c>
      <c r="F1913" t="s">
        <v>2</v>
      </c>
      <c r="G1913" t="s">
        <v>313</v>
      </c>
      <c r="H1913" t="s">
        <v>2093</v>
      </c>
      <c r="I1913" s="22" t="str">
        <f t="shared" si="204"/>
        <v>2019-05-21</v>
      </c>
      <c r="J1913" s="23" t="str">
        <f t="shared" si="205"/>
        <v>21</v>
      </c>
      <c r="K1913" t="str">
        <f t="shared" si="206"/>
        <v>no</v>
      </c>
      <c r="L1913">
        <v>21</v>
      </c>
      <c r="M1913" t="str">
        <f t="shared" si="207"/>
        <v>2019-05-21</v>
      </c>
      <c r="N1913" s="20">
        <f t="shared" si="208"/>
        <v>43607</v>
      </c>
      <c r="O1913" t="str">
        <f t="shared" si="209"/>
        <v>2019-05-22</v>
      </c>
    </row>
    <row r="1914" spans="1:15" x14ac:dyDescent="0.2">
      <c r="A1914" s="21" t="str">
        <f t="shared" si="203"/>
        <v>y</v>
      </c>
      <c r="B1914" s="24" t="s">
        <v>1878</v>
      </c>
      <c r="C1914" t="s">
        <v>148</v>
      </c>
      <c r="D1914" t="s">
        <v>13</v>
      </c>
      <c r="E1914" t="s">
        <v>27</v>
      </c>
      <c r="F1914" t="s">
        <v>29</v>
      </c>
      <c r="G1914" t="s">
        <v>311</v>
      </c>
      <c r="H1914" t="s">
        <v>2093</v>
      </c>
      <c r="I1914" s="22" t="str">
        <f t="shared" si="204"/>
        <v>2019-05-19</v>
      </c>
      <c r="J1914" s="23" t="str">
        <f t="shared" si="205"/>
        <v>19</v>
      </c>
      <c r="K1914" t="str">
        <f t="shared" si="206"/>
        <v>no</v>
      </c>
      <c r="L1914">
        <v>19</v>
      </c>
      <c r="M1914" t="str">
        <f t="shared" si="207"/>
        <v>2019-05-19</v>
      </c>
      <c r="N1914" s="20" t="str">
        <f t="shared" si="208"/>
        <v>2019-05-19</v>
      </c>
      <c r="O1914" t="str">
        <f t="shared" si="209"/>
        <v>2019-05-19</v>
      </c>
    </row>
    <row r="1915" spans="1:15" x14ac:dyDescent="0.2">
      <c r="A1915" s="21" t="str">
        <f t="shared" si="203"/>
        <v>y</v>
      </c>
      <c r="B1915" s="24" t="s">
        <v>1879</v>
      </c>
      <c r="C1915" t="s">
        <v>235</v>
      </c>
      <c r="D1915" t="s">
        <v>13</v>
      </c>
      <c r="E1915" t="s">
        <v>27</v>
      </c>
      <c r="F1915" t="s">
        <v>29</v>
      </c>
      <c r="G1915" t="s">
        <v>312</v>
      </c>
      <c r="H1915" t="s">
        <v>2093</v>
      </c>
      <c r="I1915" s="22" t="str">
        <f t="shared" si="204"/>
        <v>2019-05-16</v>
      </c>
      <c r="J1915" s="23" t="str">
        <f t="shared" si="205"/>
        <v>16</v>
      </c>
      <c r="K1915" t="str">
        <f t="shared" si="206"/>
        <v>no</v>
      </c>
      <c r="L1915">
        <v>16</v>
      </c>
      <c r="M1915" t="str">
        <f t="shared" si="207"/>
        <v>2019-05-16</v>
      </c>
      <c r="N1915" s="20" t="str">
        <f t="shared" si="208"/>
        <v>2019-05-16</v>
      </c>
      <c r="O1915" t="str">
        <f t="shared" si="209"/>
        <v>2019-05-16</v>
      </c>
    </row>
    <row r="1916" spans="1:15" x14ac:dyDescent="0.2">
      <c r="A1916" s="21" t="str">
        <f t="shared" si="203"/>
        <v>y</v>
      </c>
      <c r="B1916" s="24" t="s">
        <v>1880</v>
      </c>
      <c r="C1916" t="s">
        <v>309</v>
      </c>
      <c r="D1916" t="s">
        <v>13</v>
      </c>
      <c r="E1916" t="s">
        <v>27</v>
      </c>
      <c r="F1916" t="s">
        <v>29</v>
      </c>
      <c r="G1916" t="s">
        <v>310</v>
      </c>
      <c r="H1916" t="s">
        <v>2093</v>
      </c>
      <c r="I1916" s="22" t="str">
        <f t="shared" si="204"/>
        <v>2019-05-13</v>
      </c>
      <c r="J1916" s="23" t="str">
        <f t="shared" si="205"/>
        <v>13</v>
      </c>
      <c r="K1916" t="str">
        <f t="shared" si="206"/>
        <v>no</v>
      </c>
      <c r="L1916">
        <v>13</v>
      </c>
      <c r="M1916" t="str">
        <f t="shared" si="207"/>
        <v>2019-05-13</v>
      </c>
      <c r="N1916" s="20" t="str">
        <f t="shared" si="208"/>
        <v>2019-05-13</v>
      </c>
      <c r="O1916" t="str">
        <f t="shared" si="209"/>
        <v>2019-05-13</v>
      </c>
    </row>
    <row r="1917" spans="1:15" x14ac:dyDescent="0.2">
      <c r="A1917" s="21" t="str">
        <f t="shared" si="203"/>
        <v>y</v>
      </c>
      <c r="B1917" s="24">
        <v>43804</v>
      </c>
      <c r="C1917" t="s">
        <v>297</v>
      </c>
      <c r="D1917" t="s">
        <v>13</v>
      </c>
      <c r="E1917" t="s">
        <v>27</v>
      </c>
      <c r="F1917" t="s">
        <v>29</v>
      </c>
      <c r="G1917" t="s">
        <v>308</v>
      </c>
      <c r="H1917" t="s">
        <v>2093</v>
      </c>
      <c r="I1917" s="22" t="str">
        <f t="shared" si="204"/>
        <v>2019-05-12</v>
      </c>
      <c r="J1917" s="23" t="str">
        <f t="shared" si="205"/>
        <v>43</v>
      </c>
      <c r="K1917" t="str">
        <f t="shared" si="206"/>
        <v>yes</v>
      </c>
      <c r="L1917">
        <v>43</v>
      </c>
      <c r="M1917" t="str">
        <f t="shared" si="207"/>
        <v>2019-05-12</v>
      </c>
      <c r="N1917" s="20" t="str">
        <f t="shared" si="208"/>
        <v>2019-05-12</v>
      </c>
      <c r="O1917" t="str">
        <f t="shared" si="209"/>
        <v>2019-05-12</v>
      </c>
    </row>
    <row r="1918" spans="1:15" x14ac:dyDescent="0.2">
      <c r="A1918" s="21" t="str">
        <f t="shared" si="203"/>
        <v>y</v>
      </c>
      <c r="B1918" s="24">
        <v>43804</v>
      </c>
      <c r="C1918" t="s">
        <v>149</v>
      </c>
      <c r="D1918" t="s">
        <v>13</v>
      </c>
      <c r="E1918" t="s">
        <v>27</v>
      </c>
      <c r="F1918" t="s">
        <v>29</v>
      </c>
      <c r="G1918" t="s">
        <v>307</v>
      </c>
      <c r="H1918" t="s">
        <v>2093</v>
      </c>
      <c r="I1918" s="22" t="str">
        <f t="shared" si="204"/>
        <v>2019-05-12</v>
      </c>
      <c r="J1918" s="23" t="str">
        <f t="shared" si="205"/>
        <v>43</v>
      </c>
      <c r="K1918" t="str">
        <f t="shared" si="206"/>
        <v>yes</v>
      </c>
      <c r="L1918">
        <v>43</v>
      </c>
      <c r="M1918" t="str">
        <f t="shared" si="207"/>
        <v>2019-05-12</v>
      </c>
      <c r="N1918" s="20" t="str">
        <f t="shared" si="208"/>
        <v>2019-05-12</v>
      </c>
      <c r="O1918" t="str">
        <f t="shared" si="209"/>
        <v>2019-05-12</v>
      </c>
    </row>
    <row r="1919" spans="1:15" x14ac:dyDescent="0.2">
      <c r="A1919" s="21" t="str">
        <f t="shared" si="203"/>
        <v>y</v>
      </c>
      <c r="B1919" s="24">
        <v>43774</v>
      </c>
      <c r="C1919" t="s">
        <v>287</v>
      </c>
      <c r="D1919" t="s">
        <v>13</v>
      </c>
      <c r="E1919" t="s">
        <v>27</v>
      </c>
      <c r="F1919" t="s">
        <v>29</v>
      </c>
      <c r="G1919" t="s">
        <v>298</v>
      </c>
      <c r="H1919" t="s">
        <v>2093</v>
      </c>
      <c r="I1919" s="22" t="str">
        <f t="shared" si="204"/>
        <v>2019-05-11</v>
      </c>
      <c r="J1919" s="23" t="str">
        <f t="shared" si="205"/>
        <v>43</v>
      </c>
      <c r="K1919" t="str">
        <f t="shared" si="206"/>
        <v>yes</v>
      </c>
      <c r="L1919">
        <v>43</v>
      </c>
      <c r="M1919" t="str">
        <f t="shared" si="207"/>
        <v>2019-05-11</v>
      </c>
      <c r="N1919" s="20" t="str">
        <f t="shared" si="208"/>
        <v>2019-05-11</v>
      </c>
      <c r="O1919" t="str">
        <f t="shared" si="209"/>
        <v>2019-05-11</v>
      </c>
    </row>
    <row r="1920" spans="1:15" x14ac:dyDescent="0.2">
      <c r="A1920" s="21" t="str">
        <f t="shared" si="203"/>
        <v>y</v>
      </c>
      <c r="B1920" s="24">
        <v>43774</v>
      </c>
      <c r="C1920" t="s">
        <v>297</v>
      </c>
      <c r="D1920" t="s">
        <v>13</v>
      </c>
      <c r="E1920" t="s">
        <v>27</v>
      </c>
      <c r="F1920" t="s">
        <v>2</v>
      </c>
      <c r="G1920" t="s">
        <v>299</v>
      </c>
      <c r="H1920" t="s">
        <v>2099</v>
      </c>
      <c r="I1920" s="22" t="str">
        <f t="shared" si="204"/>
        <v>2019-05-11</v>
      </c>
      <c r="J1920" s="23" t="str">
        <f t="shared" si="205"/>
        <v>43</v>
      </c>
      <c r="K1920" t="str">
        <f t="shared" si="206"/>
        <v>yes</v>
      </c>
      <c r="L1920">
        <v>43</v>
      </c>
      <c r="M1920" t="str">
        <f t="shared" si="207"/>
        <v>2019-05-11</v>
      </c>
      <c r="N1920" s="20">
        <f t="shared" si="208"/>
        <v>43597</v>
      </c>
      <c r="O1920" t="str">
        <f t="shared" si="209"/>
        <v>2019-05-12</v>
      </c>
    </row>
    <row r="1921" spans="1:15" x14ac:dyDescent="0.2">
      <c r="A1921" s="21" t="str">
        <f t="shared" si="203"/>
        <v>y</v>
      </c>
      <c r="B1921" s="24">
        <v>43774</v>
      </c>
      <c r="C1921" t="s">
        <v>277</v>
      </c>
      <c r="D1921" t="s">
        <v>13</v>
      </c>
      <c r="E1921" t="s">
        <v>27</v>
      </c>
      <c r="F1921" t="s">
        <v>29</v>
      </c>
      <c r="G1921" t="s">
        <v>300</v>
      </c>
      <c r="H1921" t="s">
        <v>2093</v>
      </c>
      <c r="I1921" s="22" t="str">
        <f t="shared" si="204"/>
        <v>2019-05-11</v>
      </c>
      <c r="J1921" s="23" t="str">
        <f t="shared" si="205"/>
        <v>43</v>
      </c>
      <c r="K1921" t="str">
        <f t="shared" si="206"/>
        <v>yes</v>
      </c>
      <c r="L1921">
        <v>43</v>
      </c>
      <c r="M1921" t="str">
        <f t="shared" si="207"/>
        <v>2019-05-11</v>
      </c>
      <c r="N1921" s="20" t="str">
        <f t="shared" si="208"/>
        <v>2019-05-11</v>
      </c>
      <c r="O1921" t="str">
        <f t="shared" si="209"/>
        <v>2019-05-11</v>
      </c>
    </row>
    <row r="1922" spans="1:15" x14ac:dyDescent="0.2">
      <c r="A1922" s="21" t="str">
        <f t="shared" si="203"/>
        <v>y</v>
      </c>
      <c r="B1922" s="24">
        <v>43774</v>
      </c>
      <c r="C1922" t="s">
        <v>63</v>
      </c>
      <c r="D1922" t="s">
        <v>13</v>
      </c>
      <c r="E1922" t="s">
        <v>8</v>
      </c>
      <c r="F1922" t="s">
        <v>29</v>
      </c>
      <c r="G1922" t="s">
        <v>301</v>
      </c>
      <c r="H1922" t="s">
        <v>2026</v>
      </c>
      <c r="I1922" s="22" t="str">
        <f t="shared" si="204"/>
        <v>2019-05-11</v>
      </c>
      <c r="J1922" s="23" t="str">
        <f t="shared" si="205"/>
        <v>43</v>
      </c>
      <c r="K1922" t="str">
        <f t="shared" si="206"/>
        <v>yes</v>
      </c>
      <c r="L1922">
        <v>43</v>
      </c>
      <c r="M1922" t="str">
        <f t="shared" si="207"/>
        <v>2019-05-11</v>
      </c>
      <c r="N1922" s="20" t="str">
        <f t="shared" si="208"/>
        <v>2019-05-11</v>
      </c>
      <c r="O1922" t="str">
        <f t="shared" si="209"/>
        <v>2019-05-11</v>
      </c>
    </row>
    <row r="1923" spans="1:15" x14ac:dyDescent="0.2">
      <c r="A1923" s="21" t="str">
        <f t="shared" si="203"/>
        <v>y</v>
      </c>
      <c r="B1923" s="24">
        <v>43713</v>
      </c>
      <c r="C1923" t="s">
        <v>287</v>
      </c>
      <c r="D1923" t="s">
        <v>13</v>
      </c>
      <c r="E1923" t="s">
        <v>27</v>
      </c>
      <c r="F1923" t="s">
        <v>2</v>
      </c>
      <c r="G1923" t="s">
        <v>306</v>
      </c>
      <c r="H1923" t="s">
        <v>2093</v>
      </c>
      <c r="I1923" s="22" t="str">
        <f t="shared" si="204"/>
        <v>2019-05-09</v>
      </c>
      <c r="J1923" s="23" t="str">
        <f t="shared" si="205"/>
        <v>43</v>
      </c>
      <c r="K1923" t="str">
        <f t="shared" si="206"/>
        <v>yes</v>
      </c>
      <c r="L1923">
        <v>43</v>
      </c>
      <c r="M1923" t="str">
        <f t="shared" si="207"/>
        <v>2019-05-09</v>
      </c>
      <c r="N1923" s="20">
        <f t="shared" si="208"/>
        <v>43595</v>
      </c>
      <c r="O1923" t="str">
        <f t="shared" si="209"/>
        <v>2019-05-10</v>
      </c>
    </row>
    <row r="1924" spans="1:15" x14ac:dyDescent="0.2">
      <c r="A1924" s="21" t="str">
        <f t="shared" ref="A1924:A1985" si="210">IF(LEFT(B1924,2)&gt;12,"y","-")</f>
        <v>y</v>
      </c>
      <c r="B1924" s="24">
        <v>43713</v>
      </c>
      <c r="C1924" t="s">
        <v>297</v>
      </c>
      <c r="D1924" t="s">
        <v>13</v>
      </c>
      <c r="E1924" t="s">
        <v>4</v>
      </c>
      <c r="F1924" t="s">
        <v>29</v>
      </c>
      <c r="G1924" t="s">
        <v>305</v>
      </c>
      <c r="H1924" t="s">
        <v>2093</v>
      </c>
      <c r="I1924" s="22" t="str">
        <f t="shared" ref="I1924:I1971" si="211">IF(K1924="yes",TEXT(B1924,"YYYY-DD-MM"),TEXT(B1924,"YYYY-MM-DD"))</f>
        <v>2019-05-09</v>
      </c>
      <c r="J1924" s="23" t="str">
        <f t="shared" ref="J1924:J1971" si="212">LEFT(B1924,2)</f>
        <v>43</v>
      </c>
      <c r="K1924" t="str">
        <f t="shared" ref="K1924:K1971" si="213">IF(L1924&gt;31,"yes","no")</f>
        <v>yes</v>
      </c>
      <c r="L1924">
        <v>43</v>
      </c>
      <c r="M1924" t="str">
        <f t="shared" ref="M1924:M1971" si="214">I1924</f>
        <v>2019-05-09</v>
      </c>
      <c r="N1924" s="20" t="str">
        <f t="shared" ref="N1924:N1971" si="215">IF(F1924="DONE",M1924,M1924+1)</f>
        <v>2019-05-09</v>
      </c>
      <c r="O1924" t="str">
        <f t="shared" ref="O1924:O1971" si="216">TEXT(N1924,"YYYY-MM-DD")</f>
        <v>2019-05-09</v>
      </c>
    </row>
    <row r="1925" spans="1:15" x14ac:dyDescent="0.2">
      <c r="A1925" s="21" t="str">
        <f t="shared" si="210"/>
        <v>y</v>
      </c>
      <c r="B1925" s="24">
        <v>43713</v>
      </c>
      <c r="C1925" t="s">
        <v>277</v>
      </c>
      <c r="D1925" t="s">
        <v>13</v>
      </c>
      <c r="E1925" t="s">
        <v>4</v>
      </c>
      <c r="F1925" t="s">
        <v>29</v>
      </c>
      <c r="G1925" t="s">
        <v>304</v>
      </c>
      <c r="H1925" t="s">
        <v>2093</v>
      </c>
      <c r="I1925" s="22" t="str">
        <f t="shared" si="211"/>
        <v>2019-05-09</v>
      </c>
      <c r="J1925" s="23" t="str">
        <f t="shared" si="212"/>
        <v>43</v>
      </c>
      <c r="K1925" t="str">
        <f t="shared" si="213"/>
        <v>yes</v>
      </c>
      <c r="L1925">
        <v>43</v>
      </c>
      <c r="M1925" t="str">
        <f t="shared" si="214"/>
        <v>2019-05-09</v>
      </c>
      <c r="N1925" s="20" t="str">
        <f t="shared" si="215"/>
        <v>2019-05-09</v>
      </c>
      <c r="O1925" t="str">
        <f t="shared" si="216"/>
        <v>2019-05-09</v>
      </c>
    </row>
    <row r="1926" spans="1:15" x14ac:dyDescent="0.2">
      <c r="A1926" s="21" t="str">
        <f t="shared" si="210"/>
        <v>y</v>
      </c>
      <c r="B1926" s="24">
        <v>43713</v>
      </c>
      <c r="C1926" t="s">
        <v>277</v>
      </c>
      <c r="D1926" t="s">
        <v>13</v>
      </c>
      <c r="E1926" t="s">
        <v>27</v>
      </c>
      <c r="F1926" t="s">
        <v>2</v>
      </c>
      <c r="H1926" t="s">
        <v>2093</v>
      </c>
      <c r="I1926" s="22" t="str">
        <f t="shared" si="211"/>
        <v>2019-05-09</v>
      </c>
      <c r="J1926" s="23" t="str">
        <f t="shared" si="212"/>
        <v>43</v>
      </c>
      <c r="K1926" t="str">
        <f t="shared" si="213"/>
        <v>yes</v>
      </c>
      <c r="L1926">
        <v>43</v>
      </c>
      <c r="M1926" t="str">
        <f t="shared" si="214"/>
        <v>2019-05-09</v>
      </c>
      <c r="N1926" s="20">
        <f t="shared" si="215"/>
        <v>43595</v>
      </c>
      <c r="O1926" t="str">
        <f t="shared" si="216"/>
        <v>2019-05-10</v>
      </c>
    </row>
    <row r="1927" spans="1:15" x14ac:dyDescent="0.2">
      <c r="A1927" s="21" t="str">
        <f t="shared" si="210"/>
        <v>y</v>
      </c>
      <c r="B1927" s="24">
        <v>43713</v>
      </c>
      <c r="C1927" t="s">
        <v>302</v>
      </c>
      <c r="D1927" t="s">
        <v>13</v>
      </c>
      <c r="E1927" t="s">
        <v>27</v>
      </c>
      <c r="F1927" t="s">
        <v>2</v>
      </c>
      <c r="G1927" t="s">
        <v>303</v>
      </c>
      <c r="H1927" t="s">
        <v>2093</v>
      </c>
      <c r="I1927" s="22" t="str">
        <f t="shared" si="211"/>
        <v>2019-05-09</v>
      </c>
      <c r="J1927" s="23" t="str">
        <f t="shared" si="212"/>
        <v>43</v>
      </c>
      <c r="K1927" t="str">
        <f t="shared" si="213"/>
        <v>yes</v>
      </c>
      <c r="L1927">
        <v>43</v>
      </c>
      <c r="M1927" t="str">
        <f t="shared" si="214"/>
        <v>2019-05-09</v>
      </c>
      <c r="N1927" s="20">
        <f t="shared" si="215"/>
        <v>43595</v>
      </c>
      <c r="O1927" t="str">
        <f t="shared" si="216"/>
        <v>2019-05-10</v>
      </c>
    </row>
    <row r="1928" spans="1:15" x14ac:dyDescent="0.2">
      <c r="A1928" s="21" t="str">
        <f t="shared" si="210"/>
        <v>y</v>
      </c>
      <c r="B1928" s="24">
        <v>43682</v>
      </c>
      <c r="C1928" t="s">
        <v>287</v>
      </c>
      <c r="D1928" t="s">
        <v>13</v>
      </c>
      <c r="E1928" t="s">
        <v>27</v>
      </c>
      <c r="F1928" t="s">
        <v>29</v>
      </c>
      <c r="G1928" t="s">
        <v>296</v>
      </c>
      <c r="H1928" t="s">
        <v>2093</v>
      </c>
      <c r="I1928" s="22" t="str">
        <f t="shared" si="211"/>
        <v>2019-05-08</v>
      </c>
      <c r="J1928" s="23" t="str">
        <f t="shared" si="212"/>
        <v>43</v>
      </c>
      <c r="K1928" t="str">
        <f t="shared" si="213"/>
        <v>yes</v>
      </c>
      <c r="L1928">
        <v>43</v>
      </c>
      <c r="M1928" t="str">
        <f t="shared" si="214"/>
        <v>2019-05-08</v>
      </c>
      <c r="N1928" s="20" t="str">
        <f t="shared" si="215"/>
        <v>2019-05-08</v>
      </c>
      <c r="O1928" t="str">
        <f t="shared" si="216"/>
        <v>2019-05-08</v>
      </c>
    </row>
    <row r="1929" spans="1:15" x14ac:dyDescent="0.2">
      <c r="A1929" s="21" t="str">
        <f t="shared" si="210"/>
        <v>y</v>
      </c>
      <c r="B1929" s="24">
        <v>43682</v>
      </c>
      <c r="C1929" t="s">
        <v>123</v>
      </c>
      <c r="D1929" t="s">
        <v>13</v>
      </c>
      <c r="E1929" t="s">
        <v>21</v>
      </c>
      <c r="F1929" t="s">
        <v>29</v>
      </c>
      <c r="G1929" t="s">
        <v>295</v>
      </c>
      <c r="H1929" t="s">
        <v>2026</v>
      </c>
      <c r="I1929" s="22" t="str">
        <f t="shared" si="211"/>
        <v>2019-05-08</v>
      </c>
      <c r="J1929" s="23" t="str">
        <f t="shared" si="212"/>
        <v>43</v>
      </c>
      <c r="K1929" t="str">
        <f t="shared" si="213"/>
        <v>yes</v>
      </c>
      <c r="L1929">
        <v>43</v>
      </c>
      <c r="M1929" t="str">
        <f t="shared" si="214"/>
        <v>2019-05-08</v>
      </c>
      <c r="N1929" s="20" t="str">
        <f t="shared" si="215"/>
        <v>2019-05-08</v>
      </c>
      <c r="O1929" t="str">
        <f t="shared" si="216"/>
        <v>2019-05-08</v>
      </c>
    </row>
    <row r="1930" spans="1:15" x14ac:dyDescent="0.2">
      <c r="A1930" s="21" t="str">
        <f t="shared" si="210"/>
        <v>y</v>
      </c>
      <c r="B1930" s="24">
        <v>43651</v>
      </c>
      <c r="C1930" t="s">
        <v>287</v>
      </c>
      <c r="D1930" t="s">
        <v>13</v>
      </c>
      <c r="E1930" t="s">
        <v>27</v>
      </c>
      <c r="F1930" t="s">
        <v>2</v>
      </c>
      <c r="G1930" t="s">
        <v>292</v>
      </c>
      <c r="H1930" t="s">
        <v>2032</v>
      </c>
      <c r="I1930" s="22" t="str">
        <f t="shared" si="211"/>
        <v>2019-05-07</v>
      </c>
      <c r="J1930" s="23" t="str">
        <f t="shared" si="212"/>
        <v>43</v>
      </c>
      <c r="K1930" t="str">
        <f t="shared" si="213"/>
        <v>yes</v>
      </c>
      <c r="L1930">
        <v>43</v>
      </c>
      <c r="M1930" t="str">
        <f t="shared" si="214"/>
        <v>2019-05-07</v>
      </c>
      <c r="N1930" s="20">
        <f t="shared" si="215"/>
        <v>43593</v>
      </c>
      <c r="O1930" t="str">
        <f t="shared" si="216"/>
        <v>2019-05-08</v>
      </c>
    </row>
    <row r="1931" spans="1:15" x14ac:dyDescent="0.2">
      <c r="A1931" s="21" t="str">
        <f t="shared" si="210"/>
        <v>y</v>
      </c>
      <c r="B1931" s="24">
        <v>43651</v>
      </c>
      <c r="C1931" t="s">
        <v>149</v>
      </c>
      <c r="D1931" t="s">
        <v>13</v>
      </c>
      <c r="E1931" t="s">
        <v>27</v>
      </c>
      <c r="F1931" t="s">
        <v>2</v>
      </c>
      <c r="G1931" t="s">
        <v>294</v>
      </c>
      <c r="H1931" t="s">
        <v>2026</v>
      </c>
      <c r="I1931" s="22" t="str">
        <f t="shared" si="211"/>
        <v>2019-05-07</v>
      </c>
      <c r="J1931" s="23" t="str">
        <f t="shared" si="212"/>
        <v>43</v>
      </c>
      <c r="K1931" t="str">
        <f t="shared" si="213"/>
        <v>yes</v>
      </c>
      <c r="L1931">
        <v>43</v>
      </c>
      <c r="M1931" t="str">
        <f t="shared" si="214"/>
        <v>2019-05-07</v>
      </c>
      <c r="N1931" s="20">
        <f t="shared" si="215"/>
        <v>43593</v>
      </c>
      <c r="O1931" t="str">
        <f t="shared" si="216"/>
        <v>2019-05-08</v>
      </c>
    </row>
    <row r="1932" spans="1:15" x14ac:dyDescent="0.2">
      <c r="A1932" s="21" t="str">
        <f t="shared" si="210"/>
        <v>y</v>
      </c>
      <c r="B1932" s="24">
        <v>43590</v>
      </c>
      <c r="C1932" t="s">
        <v>163</v>
      </c>
      <c r="D1932" t="s">
        <v>13</v>
      </c>
      <c r="E1932" t="s">
        <v>21</v>
      </c>
      <c r="F1932" t="s">
        <v>29</v>
      </c>
      <c r="G1932" t="s">
        <v>293</v>
      </c>
      <c r="H1932" t="s">
        <v>2032</v>
      </c>
      <c r="I1932" s="22" t="str">
        <f t="shared" si="211"/>
        <v>2019-05-05</v>
      </c>
      <c r="J1932" s="23" t="str">
        <f t="shared" si="212"/>
        <v>43</v>
      </c>
      <c r="K1932" t="str">
        <f t="shared" si="213"/>
        <v>yes</v>
      </c>
      <c r="L1932">
        <v>43</v>
      </c>
      <c r="M1932" t="str">
        <f t="shared" si="214"/>
        <v>2019-05-05</v>
      </c>
      <c r="N1932" s="20" t="str">
        <f t="shared" si="215"/>
        <v>2019-05-05</v>
      </c>
      <c r="O1932" t="str">
        <f t="shared" si="216"/>
        <v>2019-05-05</v>
      </c>
    </row>
    <row r="1933" spans="1:15" x14ac:dyDescent="0.2">
      <c r="A1933" s="21" t="str">
        <f t="shared" si="210"/>
        <v>y</v>
      </c>
      <c r="B1933" s="24">
        <v>43590</v>
      </c>
      <c r="C1933" t="s">
        <v>287</v>
      </c>
      <c r="D1933" t="s">
        <v>13</v>
      </c>
      <c r="E1933" t="s">
        <v>27</v>
      </c>
      <c r="F1933" t="s">
        <v>2</v>
      </c>
      <c r="G1933" t="s">
        <v>292</v>
      </c>
      <c r="H1933" t="s">
        <v>2093</v>
      </c>
      <c r="I1933" s="22" t="str">
        <f t="shared" si="211"/>
        <v>2019-05-05</v>
      </c>
      <c r="J1933" s="23" t="str">
        <f t="shared" si="212"/>
        <v>43</v>
      </c>
      <c r="K1933" t="str">
        <f t="shared" si="213"/>
        <v>yes</v>
      </c>
      <c r="L1933">
        <v>43</v>
      </c>
      <c r="M1933" t="str">
        <f t="shared" si="214"/>
        <v>2019-05-05</v>
      </c>
      <c r="N1933" s="20">
        <f t="shared" si="215"/>
        <v>43591</v>
      </c>
      <c r="O1933" t="str">
        <f t="shared" si="216"/>
        <v>2019-05-06</v>
      </c>
    </row>
    <row r="1934" spans="1:15" x14ac:dyDescent="0.2">
      <c r="A1934" s="21" t="str">
        <f t="shared" si="210"/>
        <v>y</v>
      </c>
      <c r="B1934" s="24">
        <v>43560</v>
      </c>
      <c r="C1934" t="s">
        <v>287</v>
      </c>
      <c r="D1934" t="s">
        <v>13</v>
      </c>
      <c r="E1934" t="s">
        <v>27</v>
      </c>
      <c r="F1934" t="s">
        <v>2</v>
      </c>
      <c r="G1934" t="s">
        <v>289</v>
      </c>
      <c r="H1934" t="s">
        <v>2026</v>
      </c>
      <c r="I1934" s="22" t="str">
        <f t="shared" si="211"/>
        <v>2019-05-04</v>
      </c>
      <c r="J1934" s="23" t="str">
        <f t="shared" si="212"/>
        <v>43</v>
      </c>
      <c r="K1934" t="str">
        <f t="shared" si="213"/>
        <v>yes</v>
      </c>
      <c r="L1934">
        <v>43</v>
      </c>
      <c r="M1934" t="str">
        <f t="shared" si="214"/>
        <v>2019-05-04</v>
      </c>
      <c r="N1934" s="20">
        <f t="shared" si="215"/>
        <v>43590</v>
      </c>
      <c r="O1934" t="str">
        <f t="shared" si="216"/>
        <v>2019-05-05</v>
      </c>
    </row>
    <row r="1935" spans="1:15" x14ac:dyDescent="0.2">
      <c r="A1935" s="21" t="str">
        <f t="shared" si="210"/>
        <v>y</v>
      </c>
      <c r="B1935" s="24">
        <v>43501</v>
      </c>
      <c r="C1935" t="s">
        <v>277</v>
      </c>
      <c r="D1935" t="s">
        <v>13</v>
      </c>
      <c r="E1935" t="s">
        <v>27</v>
      </c>
      <c r="F1935" t="s">
        <v>29</v>
      </c>
      <c r="G1935" t="s">
        <v>291</v>
      </c>
      <c r="H1935" t="s">
        <v>2093</v>
      </c>
      <c r="I1935" s="22" t="str">
        <f t="shared" si="211"/>
        <v>2019-05-02</v>
      </c>
      <c r="J1935" s="23" t="str">
        <f t="shared" si="212"/>
        <v>43</v>
      </c>
      <c r="K1935" t="str">
        <f t="shared" si="213"/>
        <v>yes</v>
      </c>
      <c r="L1935">
        <v>43</v>
      </c>
      <c r="M1935" t="str">
        <f t="shared" si="214"/>
        <v>2019-05-02</v>
      </c>
      <c r="N1935" s="20" t="str">
        <f t="shared" si="215"/>
        <v>2019-05-02</v>
      </c>
      <c r="O1935" t="str">
        <f t="shared" si="216"/>
        <v>2019-05-02</v>
      </c>
    </row>
    <row r="1936" spans="1:15" x14ac:dyDescent="0.2">
      <c r="A1936" s="21" t="str">
        <f t="shared" si="210"/>
        <v>y</v>
      </c>
      <c r="B1936" s="24">
        <v>43501</v>
      </c>
      <c r="C1936" t="s">
        <v>287</v>
      </c>
      <c r="D1936" t="s">
        <v>13</v>
      </c>
      <c r="E1936" t="s">
        <v>27</v>
      </c>
      <c r="F1936" t="s">
        <v>2</v>
      </c>
      <c r="G1936" t="s">
        <v>289</v>
      </c>
      <c r="H1936" t="s">
        <v>2093</v>
      </c>
      <c r="I1936" s="22" t="str">
        <f t="shared" si="211"/>
        <v>2019-05-02</v>
      </c>
      <c r="J1936" s="23" t="str">
        <f t="shared" si="212"/>
        <v>43</v>
      </c>
      <c r="K1936" t="str">
        <f t="shared" si="213"/>
        <v>yes</v>
      </c>
      <c r="L1936">
        <v>43</v>
      </c>
      <c r="M1936" t="str">
        <f t="shared" si="214"/>
        <v>2019-05-02</v>
      </c>
      <c r="N1936" s="20">
        <f t="shared" si="215"/>
        <v>43588</v>
      </c>
      <c r="O1936" t="str">
        <f t="shared" si="216"/>
        <v>2019-05-03</v>
      </c>
    </row>
    <row r="1937" spans="1:15" x14ac:dyDescent="0.2">
      <c r="A1937" s="21" t="str">
        <f t="shared" si="210"/>
        <v>y</v>
      </c>
      <c r="B1937" s="24">
        <v>43470</v>
      </c>
      <c r="C1937" t="s">
        <v>277</v>
      </c>
      <c r="D1937" t="s">
        <v>13</v>
      </c>
      <c r="E1937" t="s">
        <v>27</v>
      </c>
      <c r="F1937" t="s">
        <v>29</v>
      </c>
      <c r="G1937" t="s">
        <v>290</v>
      </c>
      <c r="H1937" t="s">
        <v>2026</v>
      </c>
      <c r="I1937" s="22" t="str">
        <f t="shared" si="211"/>
        <v>2019-05-01</v>
      </c>
      <c r="J1937" s="23" t="str">
        <f t="shared" si="212"/>
        <v>43</v>
      </c>
      <c r="K1937" t="str">
        <f t="shared" si="213"/>
        <v>yes</v>
      </c>
      <c r="L1937">
        <v>43</v>
      </c>
      <c r="M1937" t="str">
        <f t="shared" si="214"/>
        <v>2019-05-01</v>
      </c>
      <c r="N1937" s="20" t="str">
        <f t="shared" si="215"/>
        <v>2019-05-01</v>
      </c>
      <c r="O1937" t="str">
        <f t="shared" si="216"/>
        <v>2019-05-01</v>
      </c>
    </row>
    <row r="1938" spans="1:15" x14ac:dyDescent="0.2">
      <c r="A1938" s="21" t="str">
        <f t="shared" si="210"/>
        <v>y</v>
      </c>
      <c r="B1938" s="24">
        <v>43470</v>
      </c>
      <c r="C1938" t="s">
        <v>287</v>
      </c>
      <c r="D1938" t="s">
        <v>13</v>
      </c>
      <c r="E1938" t="s">
        <v>4</v>
      </c>
      <c r="F1938" t="s">
        <v>29</v>
      </c>
      <c r="G1938" t="s">
        <v>288</v>
      </c>
      <c r="H1938" t="s">
        <v>2093</v>
      </c>
      <c r="I1938" s="22" t="str">
        <f t="shared" si="211"/>
        <v>2019-05-01</v>
      </c>
      <c r="J1938" s="23" t="str">
        <f t="shared" si="212"/>
        <v>43</v>
      </c>
      <c r="K1938" t="str">
        <f t="shared" si="213"/>
        <v>yes</v>
      </c>
      <c r="L1938">
        <v>43</v>
      </c>
      <c r="M1938" t="str">
        <f t="shared" si="214"/>
        <v>2019-05-01</v>
      </c>
      <c r="N1938" s="20" t="str">
        <f t="shared" si="215"/>
        <v>2019-05-01</v>
      </c>
      <c r="O1938" t="str">
        <f t="shared" si="216"/>
        <v>2019-05-01</v>
      </c>
    </row>
    <row r="1939" spans="1:15" x14ac:dyDescent="0.2">
      <c r="A1939" s="21" t="str">
        <f t="shared" si="210"/>
        <v>y</v>
      </c>
      <c r="B1939" s="24">
        <v>43470</v>
      </c>
      <c r="C1939" t="s">
        <v>287</v>
      </c>
      <c r="D1939" t="s">
        <v>13</v>
      </c>
      <c r="E1939" t="s">
        <v>27</v>
      </c>
      <c r="F1939" t="s">
        <v>2</v>
      </c>
      <c r="G1939" t="s">
        <v>289</v>
      </c>
      <c r="H1939" t="s">
        <v>2093</v>
      </c>
      <c r="I1939" s="22" t="str">
        <f t="shared" si="211"/>
        <v>2019-05-01</v>
      </c>
      <c r="J1939" s="23" t="str">
        <f t="shared" si="212"/>
        <v>43</v>
      </c>
      <c r="K1939" t="str">
        <f t="shared" si="213"/>
        <v>yes</v>
      </c>
      <c r="L1939">
        <v>43</v>
      </c>
      <c r="M1939" t="str">
        <f t="shared" si="214"/>
        <v>2019-05-01</v>
      </c>
      <c r="N1939" s="20">
        <f t="shared" si="215"/>
        <v>43587</v>
      </c>
      <c r="O1939" t="str">
        <f t="shared" si="216"/>
        <v>2019-05-02</v>
      </c>
    </row>
    <row r="1940" spans="1:15" x14ac:dyDescent="0.2">
      <c r="A1940" s="21" t="str">
        <f t="shared" si="210"/>
        <v>y</v>
      </c>
      <c r="B1940" s="24" t="s">
        <v>1881</v>
      </c>
      <c r="C1940" t="s">
        <v>65</v>
      </c>
      <c r="D1940" t="s">
        <v>14</v>
      </c>
      <c r="E1940" t="s">
        <v>115</v>
      </c>
      <c r="F1940" t="s">
        <v>2</v>
      </c>
      <c r="G1940" t="s">
        <v>279</v>
      </c>
      <c r="H1940" t="s">
        <v>2026</v>
      </c>
      <c r="I1940" s="22" t="str">
        <f t="shared" si="211"/>
        <v>2019-04-29</v>
      </c>
      <c r="J1940" s="23" t="str">
        <f t="shared" si="212"/>
        <v>29</v>
      </c>
      <c r="K1940" t="str">
        <f t="shared" si="213"/>
        <v>no</v>
      </c>
      <c r="L1940">
        <v>29</v>
      </c>
      <c r="M1940" t="str">
        <f t="shared" si="214"/>
        <v>2019-04-29</v>
      </c>
      <c r="N1940" s="20">
        <f t="shared" si="215"/>
        <v>43585</v>
      </c>
      <c r="O1940" t="str">
        <f t="shared" si="216"/>
        <v>2019-04-30</v>
      </c>
    </row>
    <row r="1941" spans="1:15" x14ac:dyDescent="0.2">
      <c r="A1941" s="21" t="str">
        <f t="shared" si="210"/>
        <v>y</v>
      </c>
      <c r="B1941" s="24" t="s">
        <v>1881</v>
      </c>
      <c r="C1941" t="s">
        <v>263</v>
      </c>
      <c r="D1941" t="s">
        <v>14</v>
      </c>
      <c r="E1941" t="s">
        <v>34</v>
      </c>
      <c r="F1941" t="s">
        <v>2</v>
      </c>
      <c r="G1941" t="s">
        <v>286</v>
      </c>
      <c r="H1941" t="s">
        <v>2026</v>
      </c>
      <c r="I1941" s="22" t="str">
        <f t="shared" si="211"/>
        <v>2019-04-29</v>
      </c>
      <c r="J1941" s="23" t="str">
        <f t="shared" si="212"/>
        <v>29</v>
      </c>
      <c r="K1941" t="str">
        <f t="shared" si="213"/>
        <v>no</v>
      </c>
      <c r="L1941">
        <v>29</v>
      </c>
      <c r="M1941" t="str">
        <f t="shared" si="214"/>
        <v>2019-04-29</v>
      </c>
      <c r="N1941" s="20">
        <f t="shared" si="215"/>
        <v>43585</v>
      </c>
      <c r="O1941" t="str">
        <f t="shared" si="216"/>
        <v>2019-04-30</v>
      </c>
    </row>
    <row r="1942" spans="1:15" x14ac:dyDescent="0.2">
      <c r="A1942" s="21" t="str">
        <f t="shared" si="210"/>
        <v>y</v>
      </c>
      <c r="B1942" s="24" t="s">
        <v>1882</v>
      </c>
      <c r="C1942" t="s">
        <v>65</v>
      </c>
      <c r="D1942" t="s">
        <v>14</v>
      </c>
      <c r="E1942" t="s">
        <v>115</v>
      </c>
      <c r="F1942" t="s">
        <v>2</v>
      </c>
      <c r="G1942" t="s">
        <v>279</v>
      </c>
      <c r="H1942" t="s">
        <v>2026</v>
      </c>
      <c r="I1942" s="22" t="str">
        <f t="shared" si="211"/>
        <v>2019-04-28</v>
      </c>
      <c r="J1942" s="23" t="str">
        <f t="shared" si="212"/>
        <v>28</v>
      </c>
      <c r="K1942" t="str">
        <f t="shared" si="213"/>
        <v>no</v>
      </c>
      <c r="L1942">
        <v>28</v>
      </c>
      <c r="M1942" t="str">
        <f t="shared" si="214"/>
        <v>2019-04-28</v>
      </c>
      <c r="N1942" s="20">
        <f t="shared" si="215"/>
        <v>43584</v>
      </c>
      <c r="O1942" t="str">
        <f t="shared" si="216"/>
        <v>2019-04-29</v>
      </c>
    </row>
    <row r="1943" spans="1:15" x14ac:dyDescent="0.2">
      <c r="A1943" s="21" t="str">
        <f t="shared" si="210"/>
        <v>y</v>
      </c>
      <c r="B1943" s="24" t="s">
        <v>1882</v>
      </c>
      <c r="C1943" t="s">
        <v>263</v>
      </c>
      <c r="D1943" t="s">
        <v>14</v>
      </c>
      <c r="E1943" t="s">
        <v>34</v>
      </c>
      <c r="F1943" t="s">
        <v>2</v>
      </c>
      <c r="G1943" t="s">
        <v>286</v>
      </c>
      <c r="H1943" t="s">
        <v>2093</v>
      </c>
      <c r="I1943" s="22" t="str">
        <f t="shared" si="211"/>
        <v>2019-04-28</v>
      </c>
      <c r="J1943" s="23" t="str">
        <f t="shared" si="212"/>
        <v>28</v>
      </c>
      <c r="K1943" t="str">
        <f t="shared" si="213"/>
        <v>no</v>
      </c>
      <c r="L1943">
        <v>28</v>
      </c>
      <c r="M1943" t="str">
        <f t="shared" si="214"/>
        <v>2019-04-28</v>
      </c>
      <c r="N1943" s="20">
        <f t="shared" si="215"/>
        <v>43584</v>
      </c>
      <c r="O1943" t="str">
        <f t="shared" si="216"/>
        <v>2019-04-29</v>
      </c>
    </row>
    <row r="1944" spans="1:15" x14ac:dyDescent="0.2">
      <c r="A1944" s="21" t="str">
        <f t="shared" si="210"/>
        <v>y</v>
      </c>
      <c r="B1944" s="24" t="s">
        <v>1883</v>
      </c>
      <c r="C1944" t="s">
        <v>277</v>
      </c>
      <c r="D1944" t="s">
        <v>13</v>
      </c>
      <c r="E1944" t="s">
        <v>27</v>
      </c>
      <c r="F1944" t="s">
        <v>29</v>
      </c>
      <c r="G1944" t="s">
        <v>284</v>
      </c>
      <c r="H1944" t="s">
        <v>2026</v>
      </c>
      <c r="I1944" s="22" t="str">
        <f t="shared" si="211"/>
        <v>2019-04-27</v>
      </c>
      <c r="J1944" s="23" t="str">
        <f t="shared" si="212"/>
        <v>27</v>
      </c>
      <c r="K1944" t="str">
        <f t="shared" si="213"/>
        <v>no</v>
      </c>
      <c r="L1944">
        <v>27</v>
      </c>
      <c r="M1944" t="str">
        <f t="shared" si="214"/>
        <v>2019-04-27</v>
      </c>
      <c r="N1944" s="20" t="str">
        <f t="shared" si="215"/>
        <v>2019-04-27</v>
      </c>
      <c r="O1944" t="str">
        <f t="shared" si="216"/>
        <v>2019-04-27</v>
      </c>
    </row>
    <row r="1945" spans="1:15" x14ac:dyDescent="0.2">
      <c r="A1945" s="21" t="str">
        <f t="shared" si="210"/>
        <v>y</v>
      </c>
      <c r="B1945" s="24" t="s">
        <v>1883</v>
      </c>
      <c r="C1945" t="s">
        <v>148</v>
      </c>
      <c r="D1945" t="s">
        <v>13</v>
      </c>
      <c r="E1945" t="s">
        <v>27</v>
      </c>
      <c r="F1945" t="s">
        <v>29</v>
      </c>
      <c r="G1945" t="s">
        <v>285</v>
      </c>
      <c r="H1945" t="s">
        <v>2093</v>
      </c>
      <c r="I1945" s="22" t="str">
        <f t="shared" si="211"/>
        <v>2019-04-27</v>
      </c>
      <c r="J1945" s="23" t="str">
        <f t="shared" si="212"/>
        <v>27</v>
      </c>
      <c r="K1945" t="str">
        <f t="shared" si="213"/>
        <v>no</v>
      </c>
      <c r="L1945">
        <v>27</v>
      </c>
      <c r="M1945" t="str">
        <f t="shared" si="214"/>
        <v>2019-04-27</v>
      </c>
      <c r="N1945" s="20" t="str">
        <f t="shared" si="215"/>
        <v>2019-04-27</v>
      </c>
      <c r="O1945" t="str">
        <f t="shared" si="216"/>
        <v>2019-04-27</v>
      </c>
    </row>
    <row r="1946" spans="1:15" x14ac:dyDescent="0.2">
      <c r="A1946" s="21" t="str">
        <f t="shared" si="210"/>
        <v>y</v>
      </c>
      <c r="B1946" s="24" t="s">
        <v>1883</v>
      </c>
      <c r="C1946" t="s">
        <v>65</v>
      </c>
      <c r="D1946" t="s">
        <v>14</v>
      </c>
      <c r="E1946" t="s">
        <v>115</v>
      </c>
      <c r="F1946" t="s">
        <v>2</v>
      </c>
      <c r="G1946" t="s">
        <v>279</v>
      </c>
      <c r="H1946" t="s">
        <v>2093</v>
      </c>
      <c r="I1946" s="22" t="str">
        <f t="shared" si="211"/>
        <v>2019-04-27</v>
      </c>
      <c r="J1946" s="23" t="str">
        <f t="shared" si="212"/>
        <v>27</v>
      </c>
      <c r="K1946" t="str">
        <f t="shared" si="213"/>
        <v>no</v>
      </c>
      <c r="L1946">
        <v>27</v>
      </c>
      <c r="M1946" t="str">
        <f t="shared" si="214"/>
        <v>2019-04-27</v>
      </c>
      <c r="N1946" s="20">
        <f t="shared" si="215"/>
        <v>43583</v>
      </c>
      <c r="O1946" t="str">
        <f t="shared" si="216"/>
        <v>2019-04-28</v>
      </c>
    </row>
    <row r="1947" spans="1:15" x14ac:dyDescent="0.2">
      <c r="A1947" s="21" t="str">
        <f t="shared" si="210"/>
        <v>y</v>
      </c>
      <c r="B1947" s="24" t="s">
        <v>1884</v>
      </c>
      <c r="C1947" t="s">
        <v>277</v>
      </c>
      <c r="D1947" t="s">
        <v>13</v>
      </c>
      <c r="E1947" t="s">
        <v>4</v>
      </c>
      <c r="F1947" t="s">
        <v>29</v>
      </c>
      <c r="G1947" t="s">
        <v>137</v>
      </c>
      <c r="H1947" t="s">
        <v>2032</v>
      </c>
      <c r="I1947" s="22" t="str">
        <f t="shared" si="211"/>
        <v>2019-04-25</v>
      </c>
      <c r="J1947" s="23" t="str">
        <f t="shared" si="212"/>
        <v>25</v>
      </c>
      <c r="K1947" t="str">
        <f t="shared" si="213"/>
        <v>no</v>
      </c>
      <c r="L1947">
        <v>25</v>
      </c>
      <c r="M1947" t="str">
        <f t="shared" si="214"/>
        <v>2019-04-25</v>
      </c>
      <c r="N1947" s="20" t="str">
        <f t="shared" si="215"/>
        <v>2019-04-25</v>
      </c>
      <c r="O1947" t="str">
        <f t="shared" si="216"/>
        <v>2019-04-25</v>
      </c>
    </row>
    <row r="1948" spans="1:15" x14ac:dyDescent="0.2">
      <c r="A1948" s="21" t="str">
        <f t="shared" si="210"/>
        <v>y</v>
      </c>
      <c r="B1948" s="24" t="s">
        <v>1884</v>
      </c>
      <c r="C1948" t="s">
        <v>277</v>
      </c>
      <c r="D1948" t="s">
        <v>13</v>
      </c>
      <c r="E1948" t="s">
        <v>43</v>
      </c>
      <c r="F1948" t="s">
        <v>2</v>
      </c>
      <c r="G1948" t="s">
        <v>280</v>
      </c>
      <c r="H1948" t="s">
        <v>2093</v>
      </c>
      <c r="I1948" s="22" t="str">
        <f t="shared" si="211"/>
        <v>2019-04-25</v>
      </c>
      <c r="J1948" s="23" t="str">
        <f t="shared" si="212"/>
        <v>25</v>
      </c>
      <c r="K1948" t="str">
        <f t="shared" si="213"/>
        <v>no</v>
      </c>
      <c r="L1948">
        <v>25</v>
      </c>
      <c r="M1948" t="str">
        <f t="shared" si="214"/>
        <v>2019-04-25</v>
      </c>
      <c r="N1948" s="20">
        <f t="shared" si="215"/>
        <v>43581</v>
      </c>
      <c r="O1948" t="str">
        <f t="shared" si="216"/>
        <v>2019-04-26</v>
      </c>
    </row>
    <row r="1949" spans="1:15" x14ac:dyDescent="0.2">
      <c r="A1949" s="21" t="str">
        <f t="shared" si="210"/>
        <v>y</v>
      </c>
      <c r="B1949" s="24" t="s">
        <v>1884</v>
      </c>
      <c r="C1949" t="s">
        <v>65</v>
      </c>
      <c r="D1949" t="s">
        <v>14</v>
      </c>
      <c r="E1949" t="s">
        <v>115</v>
      </c>
      <c r="F1949" t="s">
        <v>2</v>
      </c>
      <c r="G1949" t="s">
        <v>279</v>
      </c>
      <c r="H1949" t="s">
        <v>2093</v>
      </c>
      <c r="I1949" s="22" t="str">
        <f t="shared" si="211"/>
        <v>2019-04-25</v>
      </c>
      <c r="J1949" s="23" t="str">
        <f t="shared" si="212"/>
        <v>25</v>
      </c>
      <c r="K1949" t="str">
        <f t="shared" si="213"/>
        <v>no</v>
      </c>
      <c r="L1949">
        <v>25</v>
      </c>
      <c r="M1949" t="str">
        <f t="shared" si="214"/>
        <v>2019-04-25</v>
      </c>
      <c r="N1949" s="20">
        <f t="shared" si="215"/>
        <v>43581</v>
      </c>
      <c r="O1949" t="str">
        <f t="shared" si="216"/>
        <v>2019-04-26</v>
      </c>
    </row>
    <row r="1950" spans="1:15" x14ac:dyDescent="0.2">
      <c r="A1950" s="21" t="str">
        <f t="shared" si="210"/>
        <v>y</v>
      </c>
      <c r="B1950" s="24" t="s">
        <v>1885</v>
      </c>
      <c r="C1950" t="s">
        <v>277</v>
      </c>
      <c r="D1950" t="s">
        <v>13</v>
      </c>
      <c r="E1950" t="s">
        <v>43</v>
      </c>
      <c r="F1950" t="s">
        <v>2</v>
      </c>
      <c r="G1950" t="s">
        <v>281</v>
      </c>
      <c r="H1950" t="s">
        <v>2093</v>
      </c>
      <c r="I1950" s="22" t="str">
        <f t="shared" si="211"/>
        <v>2019-04-24</v>
      </c>
      <c r="J1950" s="23" t="str">
        <f t="shared" si="212"/>
        <v>24</v>
      </c>
      <c r="K1950" t="str">
        <f t="shared" si="213"/>
        <v>no</v>
      </c>
      <c r="L1950">
        <v>24</v>
      </c>
      <c r="M1950" t="str">
        <f t="shared" si="214"/>
        <v>2019-04-24</v>
      </c>
      <c r="N1950" s="20">
        <f t="shared" si="215"/>
        <v>43580</v>
      </c>
      <c r="O1950" t="str">
        <f t="shared" si="216"/>
        <v>2019-04-25</v>
      </c>
    </row>
    <row r="1951" spans="1:15" x14ac:dyDescent="0.2">
      <c r="A1951" s="21" t="str">
        <f t="shared" si="210"/>
        <v>y</v>
      </c>
      <c r="B1951" s="24" t="s">
        <v>1885</v>
      </c>
      <c r="C1951" t="s">
        <v>65</v>
      </c>
      <c r="D1951" t="s">
        <v>14</v>
      </c>
      <c r="E1951" t="s">
        <v>115</v>
      </c>
      <c r="F1951" t="s">
        <v>2</v>
      </c>
      <c r="G1951" t="s">
        <v>279</v>
      </c>
      <c r="H1951" t="s">
        <v>2093</v>
      </c>
      <c r="I1951" s="22" t="str">
        <f t="shared" si="211"/>
        <v>2019-04-24</v>
      </c>
      <c r="J1951" s="23" t="str">
        <f t="shared" si="212"/>
        <v>24</v>
      </c>
      <c r="K1951" t="str">
        <f t="shared" si="213"/>
        <v>no</v>
      </c>
      <c r="L1951">
        <v>24</v>
      </c>
      <c r="M1951" t="str">
        <f t="shared" si="214"/>
        <v>2019-04-24</v>
      </c>
      <c r="N1951" s="20">
        <f t="shared" si="215"/>
        <v>43580</v>
      </c>
      <c r="O1951" t="str">
        <f t="shared" si="216"/>
        <v>2019-04-25</v>
      </c>
    </row>
    <row r="1952" spans="1:15" x14ac:dyDescent="0.2">
      <c r="A1952" s="21" t="str">
        <f t="shared" si="210"/>
        <v>y</v>
      </c>
      <c r="B1952" s="24" t="s">
        <v>1885</v>
      </c>
      <c r="C1952" t="s">
        <v>38</v>
      </c>
      <c r="D1952" t="s">
        <v>13</v>
      </c>
      <c r="E1952" t="s">
        <v>4</v>
      </c>
      <c r="F1952" t="s">
        <v>29</v>
      </c>
      <c r="G1952" t="s">
        <v>282</v>
      </c>
      <c r="H1952" t="s">
        <v>2032</v>
      </c>
      <c r="I1952" s="22" t="str">
        <f t="shared" si="211"/>
        <v>2019-04-24</v>
      </c>
      <c r="J1952" s="23" t="str">
        <f t="shared" si="212"/>
        <v>24</v>
      </c>
      <c r="K1952" t="str">
        <f t="shared" si="213"/>
        <v>no</v>
      </c>
      <c r="L1952">
        <v>24</v>
      </c>
      <c r="M1952" t="str">
        <f t="shared" si="214"/>
        <v>2019-04-24</v>
      </c>
      <c r="N1952" s="20" t="str">
        <f t="shared" si="215"/>
        <v>2019-04-24</v>
      </c>
      <c r="O1952" t="str">
        <f t="shared" si="216"/>
        <v>2019-04-24</v>
      </c>
    </row>
    <row r="1953" spans="1:15" x14ac:dyDescent="0.2">
      <c r="A1953" s="21" t="str">
        <f t="shared" si="210"/>
        <v>y</v>
      </c>
      <c r="B1953" s="24" t="s">
        <v>1885</v>
      </c>
      <c r="C1953" t="s">
        <v>65</v>
      </c>
      <c r="D1953" t="s">
        <v>14</v>
      </c>
      <c r="E1953" t="s">
        <v>115</v>
      </c>
      <c r="F1953" t="s">
        <v>29</v>
      </c>
      <c r="G1953" t="s">
        <v>283</v>
      </c>
      <c r="H1953" t="s">
        <v>2093</v>
      </c>
      <c r="I1953" s="22" t="str">
        <f t="shared" si="211"/>
        <v>2019-04-24</v>
      </c>
      <c r="J1953" s="23" t="str">
        <f t="shared" si="212"/>
        <v>24</v>
      </c>
      <c r="K1953" t="str">
        <f t="shared" si="213"/>
        <v>no</v>
      </c>
      <c r="L1953">
        <v>24</v>
      </c>
      <c r="M1953" t="str">
        <f t="shared" si="214"/>
        <v>2019-04-24</v>
      </c>
      <c r="N1953" s="20" t="str">
        <f t="shared" si="215"/>
        <v>2019-04-24</v>
      </c>
      <c r="O1953" t="str">
        <f t="shared" si="216"/>
        <v>2019-04-24</v>
      </c>
    </row>
    <row r="1954" spans="1:15" x14ac:dyDescent="0.2">
      <c r="A1954" s="21" t="str">
        <f t="shared" si="210"/>
        <v>y</v>
      </c>
      <c r="B1954" s="24" t="s">
        <v>1886</v>
      </c>
      <c r="C1954" t="s">
        <v>277</v>
      </c>
      <c r="D1954" t="s">
        <v>13</v>
      </c>
      <c r="E1954" t="s">
        <v>4</v>
      </c>
      <c r="F1954" t="s">
        <v>29</v>
      </c>
      <c r="G1954" t="s">
        <v>278</v>
      </c>
      <c r="H1954" t="s">
        <v>2032</v>
      </c>
      <c r="I1954" s="22" t="str">
        <f t="shared" si="211"/>
        <v>2019-04-22</v>
      </c>
      <c r="J1954" s="23" t="str">
        <f t="shared" si="212"/>
        <v>22</v>
      </c>
      <c r="K1954" t="str">
        <f t="shared" si="213"/>
        <v>no</v>
      </c>
      <c r="L1954">
        <v>22</v>
      </c>
      <c r="M1954" t="str">
        <f t="shared" si="214"/>
        <v>2019-04-22</v>
      </c>
      <c r="N1954" s="20" t="str">
        <f t="shared" si="215"/>
        <v>2019-04-22</v>
      </c>
      <c r="O1954" t="str">
        <f t="shared" si="216"/>
        <v>2019-04-22</v>
      </c>
    </row>
    <row r="1955" spans="1:15" x14ac:dyDescent="0.2">
      <c r="A1955" s="21" t="str">
        <f t="shared" si="210"/>
        <v>y</v>
      </c>
      <c r="B1955" s="24" t="s">
        <v>1886</v>
      </c>
      <c r="C1955" t="s">
        <v>65</v>
      </c>
      <c r="D1955" t="s">
        <v>14</v>
      </c>
      <c r="E1955" t="s">
        <v>115</v>
      </c>
      <c r="F1955" t="s">
        <v>2</v>
      </c>
      <c r="G1955" t="s">
        <v>279</v>
      </c>
      <c r="H1955" t="s">
        <v>2093</v>
      </c>
      <c r="I1955" s="22" t="str">
        <f t="shared" si="211"/>
        <v>2019-04-22</v>
      </c>
      <c r="J1955" s="23" t="str">
        <f t="shared" si="212"/>
        <v>22</v>
      </c>
      <c r="K1955" t="str">
        <f t="shared" si="213"/>
        <v>no</v>
      </c>
      <c r="L1955">
        <v>22</v>
      </c>
      <c r="M1955" t="str">
        <f t="shared" si="214"/>
        <v>2019-04-22</v>
      </c>
      <c r="N1955" s="20">
        <f t="shared" si="215"/>
        <v>43578</v>
      </c>
      <c r="O1955" t="str">
        <f t="shared" si="216"/>
        <v>2019-04-23</v>
      </c>
    </row>
    <row r="1956" spans="1:15" x14ac:dyDescent="0.2">
      <c r="A1956" s="21" t="str">
        <f t="shared" si="210"/>
        <v>y</v>
      </c>
      <c r="B1956" s="24" t="s">
        <v>1887</v>
      </c>
      <c r="C1956" t="s">
        <v>271</v>
      </c>
      <c r="D1956" t="s">
        <v>13</v>
      </c>
      <c r="E1956" t="s">
        <v>43</v>
      </c>
      <c r="F1956" t="s">
        <v>2</v>
      </c>
      <c r="G1956" t="s">
        <v>273</v>
      </c>
      <c r="H1956" t="s">
        <v>2032</v>
      </c>
      <c r="I1956" s="22" t="str">
        <f t="shared" si="211"/>
        <v>2019-04-18</v>
      </c>
      <c r="J1956" s="23" t="str">
        <f t="shared" si="212"/>
        <v>18</v>
      </c>
      <c r="K1956" t="str">
        <f t="shared" si="213"/>
        <v>no</v>
      </c>
      <c r="L1956">
        <v>18</v>
      </c>
      <c r="M1956" t="str">
        <f t="shared" si="214"/>
        <v>2019-04-18</v>
      </c>
      <c r="N1956" s="20">
        <f t="shared" si="215"/>
        <v>43574</v>
      </c>
      <c r="O1956" t="str">
        <f t="shared" si="216"/>
        <v>2019-04-19</v>
      </c>
    </row>
    <row r="1957" spans="1:15" x14ac:dyDescent="0.2">
      <c r="A1957" s="21" t="str">
        <f t="shared" si="210"/>
        <v>y</v>
      </c>
      <c r="B1957" s="24" t="s">
        <v>1887</v>
      </c>
      <c r="C1957" t="s">
        <v>38</v>
      </c>
      <c r="D1957" t="s">
        <v>13</v>
      </c>
      <c r="E1957" t="s">
        <v>64</v>
      </c>
      <c r="F1957" t="s">
        <v>2</v>
      </c>
      <c r="G1957" t="s">
        <v>274</v>
      </c>
      <c r="H1957" t="s">
        <v>2093</v>
      </c>
      <c r="I1957" s="22" t="str">
        <f t="shared" si="211"/>
        <v>2019-04-18</v>
      </c>
      <c r="J1957" s="23" t="str">
        <f t="shared" si="212"/>
        <v>18</v>
      </c>
      <c r="K1957" t="str">
        <f t="shared" si="213"/>
        <v>no</v>
      </c>
      <c r="L1957">
        <v>18</v>
      </c>
      <c r="M1957" t="str">
        <f t="shared" si="214"/>
        <v>2019-04-18</v>
      </c>
      <c r="N1957" s="20">
        <f t="shared" si="215"/>
        <v>43574</v>
      </c>
      <c r="O1957" t="str">
        <f t="shared" si="216"/>
        <v>2019-04-19</v>
      </c>
    </row>
    <row r="1958" spans="1:15" x14ac:dyDescent="0.2">
      <c r="A1958" s="21" t="str">
        <f t="shared" si="210"/>
        <v>y</v>
      </c>
      <c r="B1958" s="24" t="s">
        <v>1888</v>
      </c>
      <c r="C1958" t="s">
        <v>270</v>
      </c>
      <c r="D1958" t="s">
        <v>13</v>
      </c>
      <c r="E1958" t="s">
        <v>27</v>
      </c>
      <c r="F1958" t="s">
        <v>29</v>
      </c>
      <c r="G1958" t="s">
        <v>272</v>
      </c>
      <c r="H1958" t="s">
        <v>2032</v>
      </c>
      <c r="I1958" s="22" t="str">
        <f t="shared" si="211"/>
        <v>2019-04-17</v>
      </c>
      <c r="J1958" s="23" t="str">
        <f t="shared" si="212"/>
        <v>17</v>
      </c>
      <c r="K1958" t="str">
        <f t="shared" si="213"/>
        <v>no</v>
      </c>
      <c r="L1958">
        <v>17</v>
      </c>
      <c r="M1958" t="str">
        <f t="shared" si="214"/>
        <v>2019-04-17</v>
      </c>
      <c r="N1958" s="20" t="str">
        <f t="shared" si="215"/>
        <v>2019-04-17</v>
      </c>
      <c r="O1958" t="str">
        <f t="shared" si="216"/>
        <v>2019-04-17</v>
      </c>
    </row>
    <row r="1959" spans="1:15" x14ac:dyDescent="0.2">
      <c r="A1959" s="21" t="str">
        <f t="shared" si="210"/>
        <v>y</v>
      </c>
      <c r="B1959" s="24" t="s">
        <v>1888</v>
      </c>
      <c r="C1959" t="s">
        <v>271</v>
      </c>
      <c r="D1959" t="s">
        <v>13</v>
      </c>
      <c r="E1959" t="s">
        <v>43</v>
      </c>
      <c r="F1959" t="s">
        <v>2</v>
      </c>
      <c r="G1959" t="s">
        <v>273</v>
      </c>
      <c r="H1959" t="s">
        <v>2032</v>
      </c>
      <c r="I1959" s="22" t="str">
        <f t="shared" si="211"/>
        <v>2019-04-17</v>
      </c>
      <c r="J1959" s="23" t="str">
        <f t="shared" si="212"/>
        <v>17</v>
      </c>
      <c r="K1959" t="str">
        <f t="shared" si="213"/>
        <v>no</v>
      </c>
      <c r="L1959">
        <v>17</v>
      </c>
      <c r="M1959" t="str">
        <f t="shared" si="214"/>
        <v>2019-04-17</v>
      </c>
      <c r="N1959" s="20">
        <f t="shared" si="215"/>
        <v>43573</v>
      </c>
      <c r="O1959" t="str">
        <f t="shared" si="216"/>
        <v>2019-04-18</v>
      </c>
    </row>
    <row r="1960" spans="1:15" x14ac:dyDescent="0.2">
      <c r="A1960" s="21" t="str">
        <f t="shared" si="210"/>
        <v>y</v>
      </c>
      <c r="B1960" s="24" t="s">
        <v>1888</v>
      </c>
      <c r="C1960" t="s">
        <v>38</v>
      </c>
      <c r="D1960" t="s">
        <v>13</v>
      </c>
      <c r="E1960" t="s">
        <v>64</v>
      </c>
      <c r="F1960" t="s">
        <v>2</v>
      </c>
      <c r="G1960" t="s">
        <v>274</v>
      </c>
      <c r="H1960" t="s">
        <v>2032</v>
      </c>
      <c r="I1960" s="22" t="str">
        <f t="shared" si="211"/>
        <v>2019-04-17</v>
      </c>
      <c r="J1960" s="23" t="str">
        <f t="shared" si="212"/>
        <v>17</v>
      </c>
      <c r="K1960" t="str">
        <f t="shared" si="213"/>
        <v>no</v>
      </c>
      <c r="L1960">
        <v>17</v>
      </c>
      <c r="M1960" t="str">
        <f t="shared" si="214"/>
        <v>2019-04-17</v>
      </c>
      <c r="N1960" s="20">
        <f t="shared" si="215"/>
        <v>43573</v>
      </c>
      <c r="O1960" t="str">
        <f t="shared" si="216"/>
        <v>2019-04-18</v>
      </c>
    </row>
    <row r="1961" spans="1:15" x14ac:dyDescent="0.2">
      <c r="A1961" s="21" t="str">
        <f t="shared" si="210"/>
        <v>y</v>
      </c>
      <c r="B1961" s="24" t="s">
        <v>1889</v>
      </c>
      <c r="C1961" t="s">
        <v>270</v>
      </c>
      <c r="D1961" t="s">
        <v>13</v>
      </c>
      <c r="E1961" t="s">
        <v>27</v>
      </c>
      <c r="F1961" t="s">
        <v>2</v>
      </c>
      <c r="G1961" t="s">
        <v>275</v>
      </c>
      <c r="H1961" t="s">
        <v>2032</v>
      </c>
      <c r="I1961" s="22" t="str">
        <f t="shared" si="211"/>
        <v>2019-04-16</v>
      </c>
      <c r="J1961" s="23" t="str">
        <f t="shared" si="212"/>
        <v>16</v>
      </c>
      <c r="K1961" t="str">
        <f t="shared" si="213"/>
        <v>no</v>
      </c>
      <c r="L1961">
        <v>16</v>
      </c>
      <c r="M1961" t="str">
        <f t="shared" si="214"/>
        <v>2019-04-16</v>
      </c>
      <c r="N1961" s="20">
        <f t="shared" si="215"/>
        <v>43572</v>
      </c>
      <c r="O1961" t="str">
        <f t="shared" si="216"/>
        <v>2019-04-17</v>
      </c>
    </row>
    <row r="1962" spans="1:15" x14ac:dyDescent="0.2">
      <c r="A1962" s="21" t="str">
        <f t="shared" si="210"/>
        <v>y</v>
      </c>
      <c r="B1962" s="24" t="s">
        <v>1889</v>
      </c>
      <c r="C1962" t="s">
        <v>271</v>
      </c>
      <c r="D1962" t="s">
        <v>13</v>
      </c>
      <c r="E1962" t="s">
        <v>43</v>
      </c>
      <c r="F1962" t="s">
        <v>2</v>
      </c>
      <c r="G1962" t="s">
        <v>276</v>
      </c>
      <c r="H1962" t="s">
        <v>2032</v>
      </c>
      <c r="I1962" s="22" t="str">
        <f t="shared" si="211"/>
        <v>2019-04-16</v>
      </c>
      <c r="J1962" s="23" t="str">
        <f t="shared" si="212"/>
        <v>16</v>
      </c>
      <c r="K1962" t="str">
        <f t="shared" si="213"/>
        <v>no</v>
      </c>
      <c r="L1962">
        <v>16</v>
      </c>
      <c r="M1962" t="str">
        <f t="shared" si="214"/>
        <v>2019-04-16</v>
      </c>
      <c r="N1962" s="20">
        <f t="shared" si="215"/>
        <v>43572</v>
      </c>
      <c r="O1962" t="str">
        <f t="shared" si="216"/>
        <v>2019-04-17</v>
      </c>
    </row>
    <row r="1963" spans="1:15" x14ac:dyDescent="0.2">
      <c r="A1963" s="21" t="str">
        <f t="shared" si="210"/>
        <v>y</v>
      </c>
      <c r="B1963" s="24" t="s">
        <v>1889</v>
      </c>
      <c r="C1963" t="s">
        <v>38</v>
      </c>
      <c r="D1963" t="s">
        <v>13</v>
      </c>
      <c r="E1963" t="s">
        <v>64</v>
      </c>
      <c r="F1963" t="s">
        <v>2</v>
      </c>
      <c r="G1963" t="s">
        <v>274</v>
      </c>
      <c r="H1963" t="s">
        <v>2032</v>
      </c>
      <c r="I1963" s="22" t="str">
        <f t="shared" si="211"/>
        <v>2019-04-16</v>
      </c>
      <c r="J1963" s="23" t="str">
        <f t="shared" si="212"/>
        <v>16</v>
      </c>
      <c r="K1963" t="str">
        <f t="shared" si="213"/>
        <v>no</v>
      </c>
      <c r="L1963">
        <v>16</v>
      </c>
      <c r="M1963" t="str">
        <f t="shared" si="214"/>
        <v>2019-04-16</v>
      </c>
      <c r="N1963" s="20">
        <f t="shared" si="215"/>
        <v>43572</v>
      </c>
      <c r="O1963" t="str">
        <f t="shared" si="216"/>
        <v>2019-04-17</v>
      </c>
    </row>
    <row r="1964" spans="1:15" x14ac:dyDescent="0.2">
      <c r="A1964" s="21" t="str">
        <f t="shared" si="210"/>
        <v>y</v>
      </c>
      <c r="B1964" s="24" t="s">
        <v>1890</v>
      </c>
      <c r="C1964" t="s">
        <v>123</v>
      </c>
      <c r="D1964" t="s">
        <v>13</v>
      </c>
      <c r="E1964" t="s">
        <v>21</v>
      </c>
      <c r="F1964" t="s">
        <v>29</v>
      </c>
      <c r="G1964" t="s">
        <v>268</v>
      </c>
      <c r="H1964" t="s">
        <v>2032</v>
      </c>
      <c r="I1964" s="22" t="str">
        <f t="shared" si="211"/>
        <v>2019-04-15</v>
      </c>
      <c r="J1964" s="23" t="str">
        <f t="shared" si="212"/>
        <v>15</v>
      </c>
      <c r="K1964" t="str">
        <f t="shared" si="213"/>
        <v>no</v>
      </c>
      <c r="L1964">
        <v>15</v>
      </c>
      <c r="M1964" t="str">
        <f t="shared" si="214"/>
        <v>2019-04-15</v>
      </c>
      <c r="N1964" s="20" t="str">
        <f t="shared" si="215"/>
        <v>2019-04-15</v>
      </c>
      <c r="O1964" t="str">
        <f t="shared" si="216"/>
        <v>2019-04-15</v>
      </c>
    </row>
    <row r="1965" spans="1:15" x14ac:dyDescent="0.2">
      <c r="A1965" s="21" t="str">
        <f t="shared" si="210"/>
        <v>y</v>
      </c>
      <c r="B1965" s="24" t="s">
        <v>1890</v>
      </c>
      <c r="C1965" t="s">
        <v>151</v>
      </c>
      <c r="D1965" t="s">
        <v>13</v>
      </c>
      <c r="E1965" t="s">
        <v>27</v>
      </c>
      <c r="F1965" t="s">
        <v>29</v>
      </c>
      <c r="G1965" t="s">
        <v>267</v>
      </c>
      <c r="H1965" t="s">
        <v>2032</v>
      </c>
      <c r="I1965" s="22" t="str">
        <f t="shared" si="211"/>
        <v>2019-04-15</v>
      </c>
      <c r="J1965" s="23" t="str">
        <f t="shared" si="212"/>
        <v>15</v>
      </c>
      <c r="K1965" t="str">
        <f t="shared" si="213"/>
        <v>no</v>
      </c>
      <c r="L1965">
        <v>15</v>
      </c>
      <c r="M1965" t="str">
        <f t="shared" si="214"/>
        <v>2019-04-15</v>
      </c>
      <c r="N1965" s="20" t="str">
        <f t="shared" si="215"/>
        <v>2019-04-15</v>
      </c>
      <c r="O1965" t="str">
        <f t="shared" si="216"/>
        <v>2019-04-15</v>
      </c>
    </row>
    <row r="1966" spans="1:15" x14ac:dyDescent="0.2">
      <c r="A1966" s="21" t="str">
        <f t="shared" si="210"/>
        <v>y</v>
      </c>
      <c r="B1966" s="24" t="s">
        <v>1890</v>
      </c>
      <c r="C1966" t="s">
        <v>123</v>
      </c>
      <c r="D1966" t="s">
        <v>13</v>
      </c>
      <c r="E1966" t="s">
        <v>27</v>
      </c>
      <c r="F1966" t="s">
        <v>29</v>
      </c>
      <c r="G1966" t="s">
        <v>269</v>
      </c>
      <c r="H1966" t="s">
        <v>2026</v>
      </c>
      <c r="I1966" s="22" t="str">
        <f t="shared" si="211"/>
        <v>2019-04-15</v>
      </c>
      <c r="J1966" s="23" t="str">
        <f t="shared" si="212"/>
        <v>15</v>
      </c>
      <c r="K1966" t="str">
        <f t="shared" si="213"/>
        <v>no</v>
      </c>
      <c r="L1966">
        <v>15</v>
      </c>
      <c r="M1966" t="str">
        <f t="shared" si="214"/>
        <v>2019-04-15</v>
      </c>
      <c r="N1966" s="20" t="str">
        <f t="shared" si="215"/>
        <v>2019-04-15</v>
      </c>
      <c r="O1966" t="str">
        <f t="shared" si="216"/>
        <v>2019-04-15</v>
      </c>
    </row>
    <row r="1967" spans="1:15" x14ac:dyDescent="0.2">
      <c r="A1967" s="21" t="str">
        <f t="shared" si="210"/>
        <v>y</v>
      </c>
      <c r="B1967" s="24" t="s">
        <v>1891</v>
      </c>
      <c r="C1967" t="s">
        <v>263</v>
      </c>
      <c r="D1967" t="s">
        <v>14</v>
      </c>
      <c r="E1967" t="s">
        <v>27</v>
      </c>
      <c r="F1967" t="s">
        <v>29</v>
      </c>
      <c r="G1967" t="s">
        <v>264</v>
      </c>
      <c r="H1967" t="s">
        <v>2026</v>
      </c>
      <c r="I1967" s="22" t="str">
        <f t="shared" si="211"/>
        <v>2019-04-14</v>
      </c>
      <c r="J1967" s="23" t="str">
        <f t="shared" si="212"/>
        <v>14</v>
      </c>
      <c r="K1967" t="str">
        <f t="shared" si="213"/>
        <v>no</v>
      </c>
      <c r="L1967">
        <v>14</v>
      </c>
      <c r="M1967" t="str">
        <f t="shared" si="214"/>
        <v>2019-04-14</v>
      </c>
      <c r="N1967" s="20" t="str">
        <f t="shared" si="215"/>
        <v>2019-04-14</v>
      </c>
      <c r="O1967" t="str">
        <f t="shared" si="216"/>
        <v>2019-04-14</v>
      </c>
    </row>
    <row r="1968" spans="1:15" x14ac:dyDescent="0.2">
      <c r="A1968" s="21" t="str">
        <f t="shared" si="210"/>
        <v>y</v>
      </c>
      <c r="B1968" s="24" t="s">
        <v>1891</v>
      </c>
      <c r="C1968" t="s">
        <v>123</v>
      </c>
      <c r="D1968" t="s">
        <v>13</v>
      </c>
      <c r="E1968" t="s">
        <v>49</v>
      </c>
      <c r="F1968" t="s">
        <v>29</v>
      </c>
      <c r="G1968" t="s">
        <v>265</v>
      </c>
      <c r="H1968" t="s">
        <v>2100</v>
      </c>
      <c r="I1968" s="22" t="str">
        <f t="shared" si="211"/>
        <v>2019-04-14</v>
      </c>
      <c r="J1968" s="23" t="str">
        <f t="shared" si="212"/>
        <v>14</v>
      </c>
      <c r="K1968" t="str">
        <f t="shared" si="213"/>
        <v>no</v>
      </c>
      <c r="L1968">
        <v>14</v>
      </c>
      <c r="M1968" t="str">
        <f t="shared" si="214"/>
        <v>2019-04-14</v>
      </c>
      <c r="N1968" s="20" t="str">
        <f t="shared" si="215"/>
        <v>2019-04-14</v>
      </c>
      <c r="O1968" t="str">
        <f t="shared" si="216"/>
        <v>2019-04-14</v>
      </c>
    </row>
    <row r="1969" spans="1:15" x14ac:dyDescent="0.2">
      <c r="A1969" s="21" t="str">
        <f t="shared" si="210"/>
        <v>y</v>
      </c>
      <c r="B1969" s="24" t="s">
        <v>1891</v>
      </c>
      <c r="C1969" t="s">
        <v>151</v>
      </c>
      <c r="D1969" t="s">
        <v>13</v>
      </c>
      <c r="E1969" t="s">
        <v>4</v>
      </c>
      <c r="F1969" t="s">
        <v>29</v>
      </c>
      <c r="G1969" t="s">
        <v>266</v>
      </c>
      <c r="H1969" t="s">
        <v>2032</v>
      </c>
      <c r="I1969" s="22" t="str">
        <f t="shared" si="211"/>
        <v>2019-04-14</v>
      </c>
      <c r="J1969" s="23" t="str">
        <f t="shared" si="212"/>
        <v>14</v>
      </c>
      <c r="K1969" t="str">
        <f t="shared" si="213"/>
        <v>no</v>
      </c>
      <c r="L1969">
        <v>14</v>
      </c>
      <c r="M1969" t="str">
        <f t="shared" si="214"/>
        <v>2019-04-14</v>
      </c>
      <c r="N1969" s="20" t="str">
        <f t="shared" si="215"/>
        <v>2019-04-14</v>
      </c>
      <c r="O1969" t="str">
        <f t="shared" si="216"/>
        <v>2019-04-14</v>
      </c>
    </row>
    <row r="1970" spans="1:15" x14ac:dyDescent="0.2">
      <c r="A1970" s="21" t="str">
        <f t="shared" si="210"/>
        <v>y</v>
      </c>
      <c r="B1970" s="24">
        <v>43650</v>
      </c>
      <c r="C1970" t="s">
        <v>262</v>
      </c>
      <c r="D1970" t="s">
        <v>18</v>
      </c>
      <c r="E1970" t="s">
        <v>43</v>
      </c>
      <c r="F1970" t="s">
        <v>2</v>
      </c>
      <c r="H1970" t="s">
        <v>2032</v>
      </c>
      <c r="I1970" s="22" t="str">
        <f t="shared" si="211"/>
        <v>2019-04-07</v>
      </c>
      <c r="J1970" s="23" t="str">
        <f t="shared" si="212"/>
        <v>43</v>
      </c>
      <c r="K1970" t="str">
        <f t="shared" si="213"/>
        <v>yes</v>
      </c>
      <c r="L1970">
        <v>43</v>
      </c>
      <c r="M1970" t="str">
        <f t="shared" si="214"/>
        <v>2019-04-07</v>
      </c>
      <c r="N1970" s="20">
        <f t="shared" si="215"/>
        <v>43563</v>
      </c>
      <c r="O1970" t="str">
        <f t="shared" si="216"/>
        <v>2019-04-08</v>
      </c>
    </row>
    <row r="1971" spans="1:15" x14ac:dyDescent="0.2">
      <c r="A1971" s="21" t="str">
        <f t="shared" si="210"/>
        <v>y</v>
      </c>
      <c r="B1971" s="24">
        <v>43500</v>
      </c>
      <c r="C1971" t="s">
        <v>63</v>
      </c>
      <c r="D1971" t="s">
        <v>13</v>
      </c>
      <c r="E1971" t="s">
        <v>8</v>
      </c>
      <c r="F1971" t="s">
        <v>29</v>
      </c>
      <c r="G1971" t="s">
        <v>257</v>
      </c>
      <c r="H1971" t="s">
        <v>2097</v>
      </c>
      <c r="I1971" s="22" t="str">
        <f t="shared" si="211"/>
        <v>2019-04-02</v>
      </c>
      <c r="J1971" s="23" t="str">
        <f t="shared" si="212"/>
        <v>43</v>
      </c>
      <c r="K1971" t="str">
        <f t="shared" si="213"/>
        <v>yes</v>
      </c>
      <c r="L1971">
        <v>43</v>
      </c>
      <c r="M1971" t="str">
        <f t="shared" si="214"/>
        <v>2019-04-02</v>
      </c>
      <c r="N1971" s="20" t="str">
        <f t="shared" si="215"/>
        <v>2019-04-02</v>
      </c>
      <c r="O1971" t="str">
        <f t="shared" si="216"/>
        <v>2019-04-02</v>
      </c>
    </row>
    <row r="1972" spans="1:15" x14ac:dyDescent="0.2">
      <c r="A1972" s="21" t="str">
        <f t="shared" si="210"/>
        <v>y</v>
      </c>
      <c r="B1972" s="24" t="s">
        <v>1892</v>
      </c>
      <c r="C1972" t="s">
        <v>63</v>
      </c>
      <c r="D1972" t="s">
        <v>13</v>
      </c>
      <c r="E1972" t="s">
        <v>8</v>
      </c>
      <c r="F1972" t="s">
        <v>29</v>
      </c>
      <c r="G1972" t="s">
        <v>257</v>
      </c>
      <c r="H1972" t="s">
        <v>2026</v>
      </c>
      <c r="I1972" s="22" t="str">
        <f t="shared" ref="I1972:I2003" si="217">IF(K1972="yes",TEXT(B1972,"YYYY-DD-MM"),TEXT(B1972,"YYYY-MM-DD"))</f>
        <v>2019-03-31</v>
      </c>
      <c r="J1972" s="23" t="str">
        <f t="shared" ref="J1972:J2003" si="218">LEFT(B1972,2)</f>
        <v>31</v>
      </c>
      <c r="K1972" t="str">
        <f t="shared" ref="K1972:K2003" si="219">IF(L1972&gt;31,"yes","no")</f>
        <v>no</v>
      </c>
      <c r="L1972">
        <v>31</v>
      </c>
      <c r="M1972" t="str">
        <f t="shared" ref="M1972:M1985" si="220">I1972</f>
        <v>2019-03-31</v>
      </c>
      <c r="N1972" s="20" t="str">
        <f t="shared" ref="N1972:N2003" si="221">IF(F1972="DONE",M1972,M1972+1)</f>
        <v>2019-03-31</v>
      </c>
      <c r="O1972" t="str">
        <f t="shared" ref="O1972:O2003" si="222">TEXT(N1972,"YYYY-MM-DD")</f>
        <v>2019-03-31</v>
      </c>
    </row>
    <row r="1973" spans="1:15" x14ac:dyDescent="0.2">
      <c r="A1973" s="21" t="str">
        <f t="shared" si="210"/>
        <v>y</v>
      </c>
      <c r="B1973" s="24" t="s">
        <v>1893</v>
      </c>
      <c r="C1973" t="s">
        <v>220</v>
      </c>
      <c r="D1973" t="s">
        <v>13</v>
      </c>
      <c r="E1973" t="s">
        <v>34</v>
      </c>
      <c r="F1973" t="s">
        <v>2</v>
      </c>
      <c r="H1973" t="s">
        <v>2032</v>
      </c>
      <c r="I1973" s="22" t="str">
        <f t="shared" si="217"/>
        <v>2019-03-28</v>
      </c>
      <c r="J1973" s="23" t="str">
        <f t="shared" si="218"/>
        <v>28</v>
      </c>
      <c r="K1973" t="str">
        <f t="shared" si="219"/>
        <v>no</v>
      </c>
      <c r="L1973">
        <v>28</v>
      </c>
      <c r="M1973" t="str">
        <f t="shared" si="220"/>
        <v>2019-03-28</v>
      </c>
      <c r="N1973" s="20">
        <f t="shared" si="221"/>
        <v>43553</v>
      </c>
      <c r="O1973" t="str">
        <f t="shared" si="222"/>
        <v>2019-03-29</v>
      </c>
    </row>
    <row r="1974" spans="1:15" x14ac:dyDescent="0.2">
      <c r="A1974" s="21" t="str">
        <f t="shared" si="210"/>
        <v>y</v>
      </c>
      <c r="B1974" s="24" t="s">
        <v>1894</v>
      </c>
      <c r="C1974" t="s">
        <v>220</v>
      </c>
      <c r="D1974" t="s">
        <v>13</v>
      </c>
      <c r="E1974" t="s">
        <v>34</v>
      </c>
      <c r="F1974" t="s">
        <v>2</v>
      </c>
      <c r="H1974" t="s">
        <v>2100</v>
      </c>
      <c r="I1974" s="22" t="str">
        <f t="shared" si="217"/>
        <v>2019-03-27</v>
      </c>
      <c r="J1974" s="23" t="str">
        <f t="shared" si="218"/>
        <v>27</v>
      </c>
      <c r="K1974" t="str">
        <f t="shared" si="219"/>
        <v>no</v>
      </c>
      <c r="L1974">
        <v>27</v>
      </c>
      <c r="M1974" t="str">
        <f t="shared" si="220"/>
        <v>2019-03-27</v>
      </c>
      <c r="N1974" s="20">
        <f t="shared" si="221"/>
        <v>43552</v>
      </c>
      <c r="O1974" t="str">
        <f t="shared" si="222"/>
        <v>2019-03-28</v>
      </c>
    </row>
    <row r="1975" spans="1:15" x14ac:dyDescent="0.2">
      <c r="A1975" s="21" t="str">
        <f t="shared" si="210"/>
        <v>y</v>
      </c>
      <c r="B1975" s="24" t="s">
        <v>1895</v>
      </c>
      <c r="C1975" t="s">
        <v>220</v>
      </c>
      <c r="D1975" t="s">
        <v>13</v>
      </c>
      <c r="E1975" t="s">
        <v>34</v>
      </c>
      <c r="F1975" t="s">
        <v>2</v>
      </c>
      <c r="H1975" t="s">
        <v>2032</v>
      </c>
      <c r="I1975" s="22" t="str">
        <f t="shared" si="217"/>
        <v>2019-03-26</v>
      </c>
      <c r="J1975" s="23" t="str">
        <f t="shared" si="218"/>
        <v>26</v>
      </c>
      <c r="K1975" t="str">
        <f t="shared" si="219"/>
        <v>no</v>
      </c>
      <c r="L1975">
        <v>26</v>
      </c>
      <c r="M1975" t="str">
        <f t="shared" si="220"/>
        <v>2019-03-26</v>
      </c>
      <c r="N1975" s="20">
        <f t="shared" si="221"/>
        <v>43551</v>
      </c>
      <c r="O1975" t="str">
        <f t="shared" si="222"/>
        <v>2019-03-27</v>
      </c>
    </row>
    <row r="1976" spans="1:15" x14ac:dyDescent="0.2">
      <c r="A1976" s="21" t="str">
        <f t="shared" si="210"/>
        <v>y</v>
      </c>
      <c r="B1976" s="24" t="s">
        <v>1896</v>
      </c>
      <c r="C1976" t="s">
        <v>32</v>
      </c>
      <c r="D1976" t="s">
        <v>13</v>
      </c>
      <c r="E1976" t="s">
        <v>21</v>
      </c>
      <c r="F1976" t="s">
        <v>29</v>
      </c>
      <c r="G1976" t="s">
        <v>259</v>
      </c>
      <c r="H1976" t="s">
        <v>2032</v>
      </c>
      <c r="I1976" s="22" t="str">
        <f t="shared" si="217"/>
        <v>2019-03-25</v>
      </c>
      <c r="J1976" s="23" t="str">
        <f t="shared" si="218"/>
        <v>25</v>
      </c>
      <c r="K1976" t="str">
        <f t="shared" si="219"/>
        <v>no</v>
      </c>
      <c r="L1976">
        <v>25</v>
      </c>
      <c r="M1976" t="str">
        <f t="shared" si="220"/>
        <v>2019-03-25</v>
      </c>
      <c r="N1976" s="20" t="str">
        <f t="shared" si="221"/>
        <v>2019-03-25</v>
      </c>
      <c r="O1976" t="str">
        <f t="shared" si="222"/>
        <v>2019-03-25</v>
      </c>
    </row>
    <row r="1977" spans="1:15" x14ac:dyDescent="0.2">
      <c r="A1977" s="21" t="str">
        <f t="shared" si="210"/>
        <v>y</v>
      </c>
      <c r="B1977" s="24" t="s">
        <v>1896</v>
      </c>
      <c r="C1977" t="s">
        <v>220</v>
      </c>
      <c r="D1977" t="s">
        <v>13</v>
      </c>
      <c r="E1977" t="s">
        <v>34</v>
      </c>
      <c r="F1977" t="s">
        <v>2</v>
      </c>
      <c r="H1977" t="s">
        <v>2100</v>
      </c>
      <c r="I1977" s="22" t="str">
        <f t="shared" si="217"/>
        <v>2019-03-25</v>
      </c>
      <c r="J1977" s="23" t="str">
        <f t="shared" si="218"/>
        <v>25</v>
      </c>
      <c r="K1977" t="str">
        <f t="shared" si="219"/>
        <v>no</v>
      </c>
      <c r="L1977">
        <v>25</v>
      </c>
      <c r="M1977" t="str">
        <f t="shared" si="220"/>
        <v>2019-03-25</v>
      </c>
      <c r="N1977" s="20">
        <f t="shared" si="221"/>
        <v>43550</v>
      </c>
      <c r="O1977" t="str">
        <f t="shared" si="222"/>
        <v>2019-03-26</v>
      </c>
    </row>
    <row r="1978" spans="1:15" x14ac:dyDescent="0.2">
      <c r="A1978" s="21" t="str">
        <f t="shared" si="210"/>
        <v>y</v>
      </c>
      <c r="B1978" s="24" t="s">
        <v>1896</v>
      </c>
      <c r="C1978" t="s">
        <v>65</v>
      </c>
      <c r="D1978" t="s">
        <v>14</v>
      </c>
      <c r="E1978" t="s">
        <v>115</v>
      </c>
      <c r="F1978" t="s">
        <v>29</v>
      </c>
      <c r="G1978" t="s">
        <v>260</v>
      </c>
      <c r="H1978" t="s">
        <v>2100</v>
      </c>
      <c r="I1978" s="22" t="str">
        <f t="shared" si="217"/>
        <v>2019-03-25</v>
      </c>
      <c r="J1978" s="23" t="str">
        <f t="shared" si="218"/>
        <v>25</v>
      </c>
      <c r="K1978" t="str">
        <f t="shared" si="219"/>
        <v>no</v>
      </c>
      <c r="L1978">
        <v>25</v>
      </c>
      <c r="M1978" t="str">
        <f t="shared" si="220"/>
        <v>2019-03-25</v>
      </c>
      <c r="N1978" s="20" t="str">
        <f t="shared" si="221"/>
        <v>2019-03-25</v>
      </c>
      <c r="O1978" t="str">
        <f t="shared" si="222"/>
        <v>2019-03-25</v>
      </c>
    </row>
    <row r="1979" spans="1:15" x14ac:dyDescent="0.2">
      <c r="A1979" s="21" t="str">
        <f t="shared" si="210"/>
        <v>y</v>
      </c>
      <c r="B1979" s="24" t="s">
        <v>1896</v>
      </c>
      <c r="C1979" t="s">
        <v>65</v>
      </c>
      <c r="D1979" t="s">
        <v>14</v>
      </c>
      <c r="E1979" t="s">
        <v>8</v>
      </c>
      <c r="F1979" t="s">
        <v>29</v>
      </c>
      <c r="G1979" t="s">
        <v>261</v>
      </c>
      <c r="H1979" t="s">
        <v>2032</v>
      </c>
      <c r="I1979" s="22" t="str">
        <f t="shared" si="217"/>
        <v>2019-03-25</v>
      </c>
      <c r="J1979" s="23" t="str">
        <f t="shared" si="218"/>
        <v>25</v>
      </c>
      <c r="K1979" t="str">
        <f t="shared" si="219"/>
        <v>no</v>
      </c>
      <c r="L1979">
        <v>25</v>
      </c>
      <c r="M1979" t="str">
        <f t="shared" si="220"/>
        <v>2019-03-25</v>
      </c>
      <c r="N1979" s="20" t="str">
        <f t="shared" si="221"/>
        <v>2019-03-25</v>
      </c>
      <c r="O1979" t="str">
        <f t="shared" si="222"/>
        <v>2019-03-25</v>
      </c>
    </row>
    <row r="1980" spans="1:15" x14ac:dyDescent="0.2">
      <c r="A1980" s="21" t="str">
        <f t="shared" si="210"/>
        <v>y</v>
      </c>
      <c r="B1980" s="24" t="s">
        <v>1897</v>
      </c>
      <c r="C1980" t="s">
        <v>63</v>
      </c>
      <c r="D1980" t="s">
        <v>13</v>
      </c>
      <c r="E1980" t="s">
        <v>8</v>
      </c>
      <c r="F1980" t="s">
        <v>29</v>
      </c>
      <c r="G1980" t="s">
        <v>257</v>
      </c>
      <c r="H1980" t="s">
        <v>2087</v>
      </c>
      <c r="I1980" s="22" t="str">
        <f t="shared" si="217"/>
        <v>2019-03-24</v>
      </c>
      <c r="J1980" s="23" t="str">
        <f t="shared" si="218"/>
        <v>24</v>
      </c>
      <c r="K1980" t="str">
        <f t="shared" si="219"/>
        <v>no</v>
      </c>
      <c r="L1980">
        <v>24</v>
      </c>
      <c r="M1980" t="str">
        <f t="shared" si="220"/>
        <v>2019-03-24</v>
      </c>
      <c r="N1980" s="20" t="str">
        <f t="shared" si="221"/>
        <v>2019-03-24</v>
      </c>
      <c r="O1980" t="str">
        <f t="shared" si="222"/>
        <v>2019-03-24</v>
      </c>
    </row>
    <row r="1981" spans="1:15" x14ac:dyDescent="0.2">
      <c r="A1981" s="21" t="str">
        <f t="shared" si="210"/>
        <v>y</v>
      </c>
      <c r="B1981" s="24" t="s">
        <v>1897</v>
      </c>
      <c r="C1981" t="s">
        <v>220</v>
      </c>
      <c r="D1981" t="s">
        <v>13</v>
      </c>
      <c r="E1981" t="s">
        <v>34</v>
      </c>
      <c r="F1981" t="s">
        <v>2</v>
      </c>
      <c r="H1981" t="s">
        <v>2087</v>
      </c>
      <c r="I1981" s="22" t="str">
        <f t="shared" si="217"/>
        <v>2019-03-24</v>
      </c>
      <c r="J1981" s="23" t="str">
        <f t="shared" si="218"/>
        <v>24</v>
      </c>
      <c r="K1981" t="str">
        <f t="shared" si="219"/>
        <v>no</v>
      </c>
      <c r="L1981">
        <v>24</v>
      </c>
      <c r="M1981" t="str">
        <f t="shared" si="220"/>
        <v>2019-03-24</v>
      </c>
      <c r="N1981" s="20">
        <f t="shared" si="221"/>
        <v>43549</v>
      </c>
      <c r="O1981" t="str">
        <f t="shared" si="222"/>
        <v>2019-03-25</v>
      </c>
    </row>
    <row r="1982" spans="1:15" x14ac:dyDescent="0.2">
      <c r="A1982" s="21" t="str">
        <f t="shared" si="210"/>
        <v>y</v>
      </c>
      <c r="B1982" s="24" t="s">
        <v>1897</v>
      </c>
      <c r="C1982" t="s">
        <v>128</v>
      </c>
      <c r="D1982" t="s">
        <v>15</v>
      </c>
      <c r="E1982" t="s">
        <v>8</v>
      </c>
      <c r="F1982" t="s">
        <v>29</v>
      </c>
      <c r="G1982" t="s">
        <v>258</v>
      </c>
      <c r="H1982" t="s">
        <v>2097</v>
      </c>
      <c r="I1982" s="22" t="str">
        <f t="shared" si="217"/>
        <v>2019-03-24</v>
      </c>
      <c r="J1982" s="23" t="str">
        <f t="shared" si="218"/>
        <v>24</v>
      </c>
      <c r="K1982" t="str">
        <f t="shared" si="219"/>
        <v>no</v>
      </c>
      <c r="L1982">
        <v>24</v>
      </c>
      <c r="M1982" t="str">
        <f t="shared" si="220"/>
        <v>2019-03-24</v>
      </c>
      <c r="N1982" s="20" t="str">
        <f t="shared" si="221"/>
        <v>2019-03-24</v>
      </c>
      <c r="O1982" t="str">
        <f t="shared" si="222"/>
        <v>2019-03-24</v>
      </c>
    </row>
    <row r="1983" spans="1:15" x14ac:dyDescent="0.2">
      <c r="A1983" s="21" t="str">
        <f t="shared" si="210"/>
        <v>y</v>
      </c>
      <c r="B1983" s="24" t="s">
        <v>1897</v>
      </c>
      <c r="C1983" t="s">
        <v>65</v>
      </c>
      <c r="D1983" t="s">
        <v>14</v>
      </c>
      <c r="E1983" t="s">
        <v>115</v>
      </c>
      <c r="F1983" t="s">
        <v>2</v>
      </c>
      <c r="H1983" t="s">
        <v>2100</v>
      </c>
      <c r="I1983" s="22" t="str">
        <f t="shared" si="217"/>
        <v>2019-03-24</v>
      </c>
      <c r="J1983" s="23" t="str">
        <f t="shared" si="218"/>
        <v>24</v>
      </c>
      <c r="K1983" t="str">
        <f t="shared" si="219"/>
        <v>no</v>
      </c>
      <c r="L1983">
        <v>24</v>
      </c>
      <c r="M1983" t="str">
        <f t="shared" si="220"/>
        <v>2019-03-24</v>
      </c>
      <c r="N1983" s="20">
        <f t="shared" si="221"/>
        <v>43549</v>
      </c>
      <c r="O1983" t="str">
        <f t="shared" si="222"/>
        <v>2019-03-25</v>
      </c>
    </row>
    <row r="1984" spans="1:15" x14ac:dyDescent="0.2">
      <c r="A1984" s="21" t="str">
        <f t="shared" si="210"/>
        <v>y</v>
      </c>
      <c r="B1984" s="24" t="s">
        <v>1897</v>
      </c>
      <c r="C1984" t="s">
        <v>65</v>
      </c>
      <c r="D1984" t="s">
        <v>14</v>
      </c>
      <c r="E1984" t="s">
        <v>8</v>
      </c>
      <c r="F1984" t="s">
        <v>2</v>
      </c>
      <c r="H1984" t="s">
        <v>2097</v>
      </c>
      <c r="I1984" s="22" t="str">
        <f t="shared" si="217"/>
        <v>2019-03-24</v>
      </c>
      <c r="J1984" s="23" t="str">
        <f t="shared" si="218"/>
        <v>24</v>
      </c>
      <c r="K1984" t="str">
        <f t="shared" si="219"/>
        <v>no</v>
      </c>
      <c r="L1984">
        <v>24</v>
      </c>
      <c r="M1984" t="str">
        <f t="shared" si="220"/>
        <v>2019-03-24</v>
      </c>
      <c r="N1984" s="20">
        <f t="shared" si="221"/>
        <v>43549</v>
      </c>
      <c r="O1984" t="str">
        <f t="shared" si="222"/>
        <v>2019-03-25</v>
      </c>
    </row>
    <row r="1985" spans="1:15" x14ac:dyDescent="0.2">
      <c r="A1985" s="21" t="str">
        <f t="shared" si="210"/>
        <v>y</v>
      </c>
      <c r="B1985" s="24" t="s">
        <v>1898</v>
      </c>
      <c r="C1985" t="s">
        <v>65</v>
      </c>
      <c r="D1985" t="s">
        <v>14</v>
      </c>
      <c r="E1985" t="s">
        <v>115</v>
      </c>
      <c r="F1985" t="s">
        <v>2</v>
      </c>
      <c r="H1985" t="s">
        <v>2100</v>
      </c>
      <c r="I1985" s="22" t="str">
        <f t="shared" si="217"/>
        <v>2019-03-21</v>
      </c>
      <c r="J1985" s="23" t="str">
        <f t="shared" si="218"/>
        <v>21</v>
      </c>
      <c r="K1985" t="str">
        <f t="shared" si="219"/>
        <v>no</v>
      </c>
      <c r="L1985">
        <v>21</v>
      </c>
      <c r="M1985" t="str">
        <f t="shared" si="220"/>
        <v>2019-03-21</v>
      </c>
      <c r="N1985" s="20">
        <f t="shared" si="221"/>
        <v>43546</v>
      </c>
      <c r="O1985" t="str">
        <f t="shared" si="222"/>
        <v>2019-03-22</v>
      </c>
    </row>
    <row r="1986" spans="1:15" x14ac:dyDescent="0.2">
      <c r="A1986" s="21" t="str">
        <f t="shared" ref="A1986:A2049" si="223">IF(LEFT(B1986,2)&gt;12,"y","-")</f>
        <v>y</v>
      </c>
      <c r="B1986" s="24" t="s">
        <v>1899</v>
      </c>
      <c r="C1986" t="s">
        <v>63</v>
      </c>
      <c r="D1986" t="s">
        <v>13</v>
      </c>
      <c r="E1986" t="s">
        <v>8</v>
      </c>
      <c r="F1986" t="s">
        <v>29</v>
      </c>
      <c r="G1986" t="s">
        <v>255</v>
      </c>
      <c r="H1986" t="s">
        <v>2097</v>
      </c>
      <c r="I1986" s="22" t="str">
        <f t="shared" si="217"/>
        <v>2019-03-20</v>
      </c>
      <c r="J1986" s="23" t="str">
        <f t="shared" si="218"/>
        <v>20</v>
      </c>
      <c r="K1986" t="str">
        <f t="shared" si="219"/>
        <v>no</v>
      </c>
      <c r="L1986">
        <v>20</v>
      </c>
      <c r="M1986" t="str">
        <f t="shared" ref="M1986:M2049" si="224">I1986</f>
        <v>2019-03-20</v>
      </c>
      <c r="N1986" s="20" t="str">
        <f t="shared" si="221"/>
        <v>2019-03-20</v>
      </c>
      <c r="O1986" t="str">
        <f t="shared" si="222"/>
        <v>2019-03-20</v>
      </c>
    </row>
    <row r="1987" spans="1:15" x14ac:dyDescent="0.2">
      <c r="A1987" s="21" t="str">
        <f t="shared" si="223"/>
        <v>y</v>
      </c>
      <c r="B1987" s="24" t="s">
        <v>1899</v>
      </c>
      <c r="C1987" t="s">
        <v>32</v>
      </c>
      <c r="D1987" t="s">
        <v>13</v>
      </c>
      <c r="E1987" t="s">
        <v>8</v>
      </c>
      <c r="F1987" t="s">
        <v>29</v>
      </c>
      <c r="G1987" t="s">
        <v>256</v>
      </c>
      <c r="H1987" t="s">
        <v>2097</v>
      </c>
      <c r="I1987" s="22" t="str">
        <f t="shared" si="217"/>
        <v>2019-03-20</v>
      </c>
      <c r="J1987" s="23" t="str">
        <f t="shared" si="218"/>
        <v>20</v>
      </c>
      <c r="K1987" t="str">
        <f t="shared" si="219"/>
        <v>no</v>
      </c>
      <c r="L1987">
        <v>20</v>
      </c>
      <c r="M1987" t="str">
        <f t="shared" si="224"/>
        <v>2019-03-20</v>
      </c>
      <c r="N1987" s="20" t="str">
        <f t="shared" si="221"/>
        <v>2019-03-20</v>
      </c>
      <c r="O1987" t="str">
        <f t="shared" si="222"/>
        <v>2019-03-20</v>
      </c>
    </row>
    <row r="1988" spans="1:15" x14ac:dyDescent="0.2">
      <c r="A1988" s="21" t="str">
        <f t="shared" si="223"/>
        <v>y</v>
      </c>
      <c r="B1988" s="24" t="s">
        <v>1900</v>
      </c>
      <c r="C1988" t="s">
        <v>63</v>
      </c>
      <c r="D1988" t="s">
        <v>13</v>
      </c>
      <c r="E1988" t="s">
        <v>27</v>
      </c>
      <c r="F1988" t="s">
        <v>29</v>
      </c>
      <c r="G1988" t="s">
        <v>252</v>
      </c>
      <c r="H1988" t="s">
        <v>2097</v>
      </c>
      <c r="I1988" s="22" t="str">
        <f t="shared" si="217"/>
        <v>2019-03-19</v>
      </c>
      <c r="J1988" s="23" t="str">
        <f t="shared" si="218"/>
        <v>19</v>
      </c>
      <c r="K1988" t="str">
        <f t="shared" si="219"/>
        <v>no</v>
      </c>
      <c r="L1988">
        <v>19</v>
      </c>
      <c r="M1988" t="str">
        <f t="shared" si="224"/>
        <v>2019-03-19</v>
      </c>
      <c r="N1988" s="20" t="str">
        <f t="shared" si="221"/>
        <v>2019-03-19</v>
      </c>
      <c r="O1988" t="str">
        <f t="shared" si="222"/>
        <v>2019-03-19</v>
      </c>
    </row>
    <row r="1989" spans="1:15" x14ac:dyDescent="0.2">
      <c r="A1989" s="21" t="str">
        <f t="shared" si="223"/>
        <v>y</v>
      </c>
      <c r="B1989" s="24" t="s">
        <v>1900</v>
      </c>
      <c r="C1989" t="s">
        <v>253</v>
      </c>
      <c r="D1989" t="s">
        <v>13</v>
      </c>
      <c r="E1989" t="s">
        <v>27</v>
      </c>
      <c r="F1989" t="s">
        <v>29</v>
      </c>
      <c r="G1989" t="s">
        <v>254</v>
      </c>
      <c r="H1989" t="s">
        <v>2026</v>
      </c>
      <c r="I1989" s="22" t="str">
        <f t="shared" si="217"/>
        <v>2019-03-19</v>
      </c>
      <c r="J1989" s="23" t="str">
        <f t="shared" si="218"/>
        <v>19</v>
      </c>
      <c r="K1989" t="str">
        <f t="shared" si="219"/>
        <v>no</v>
      </c>
      <c r="L1989">
        <v>19</v>
      </c>
      <c r="M1989" t="str">
        <f t="shared" si="224"/>
        <v>2019-03-19</v>
      </c>
      <c r="N1989" s="20" t="str">
        <f t="shared" si="221"/>
        <v>2019-03-19</v>
      </c>
      <c r="O1989" t="str">
        <f t="shared" si="222"/>
        <v>2019-03-19</v>
      </c>
    </row>
    <row r="1990" spans="1:15" x14ac:dyDescent="0.2">
      <c r="A1990" s="21" t="str">
        <f t="shared" si="223"/>
        <v>y</v>
      </c>
      <c r="B1990" s="24" t="s">
        <v>1901</v>
      </c>
      <c r="C1990" t="s">
        <v>241</v>
      </c>
      <c r="D1990" t="s">
        <v>13</v>
      </c>
      <c r="E1990" t="s">
        <v>27</v>
      </c>
      <c r="F1990" t="s">
        <v>29</v>
      </c>
      <c r="G1990" t="s">
        <v>251</v>
      </c>
      <c r="H1990" t="s">
        <v>2100</v>
      </c>
      <c r="I1990" s="22" t="str">
        <f t="shared" si="217"/>
        <v>2019-03-18</v>
      </c>
      <c r="J1990" s="23" t="str">
        <f t="shared" si="218"/>
        <v>18</v>
      </c>
      <c r="K1990" t="str">
        <f t="shared" si="219"/>
        <v>no</v>
      </c>
      <c r="L1990">
        <v>18</v>
      </c>
      <c r="M1990" t="str">
        <f t="shared" si="224"/>
        <v>2019-03-18</v>
      </c>
      <c r="N1990" s="20" t="str">
        <f t="shared" si="221"/>
        <v>2019-03-18</v>
      </c>
      <c r="O1990" t="str">
        <f t="shared" si="222"/>
        <v>2019-03-18</v>
      </c>
    </row>
    <row r="1991" spans="1:15" x14ac:dyDescent="0.2">
      <c r="A1991" s="21" t="str">
        <f t="shared" si="223"/>
        <v>y</v>
      </c>
      <c r="B1991" s="24" t="s">
        <v>1902</v>
      </c>
      <c r="C1991" t="s">
        <v>241</v>
      </c>
      <c r="D1991" t="s">
        <v>13</v>
      </c>
      <c r="E1991" t="s">
        <v>27</v>
      </c>
      <c r="F1991" t="s">
        <v>2</v>
      </c>
      <c r="H1991" t="s">
        <v>2032</v>
      </c>
      <c r="I1991" s="22" t="str">
        <f t="shared" si="217"/>
        <v>2019-03-17</v>
      </c>
      <c r="J1991" s="23" t="str">
        <f t="shared" si="218"/>
        <v>17</v>
      </c>
      <c r="K1991" t="str">
        <f t="shared" si="219"/>
        <v>no</v>
      </c>
      <c r="L1991">
        <v>17</v>
      </c>
      <c r="M1991" t="str">
        <f t="shared" si="224"/>
        <v>2019-03-17</v>
      </c>
      <c r="N1991" s="20">
        <f t="shared" si="221"/>
        <v>43542</v>
      </c>
      <c r="O1991" t="str">
        <f t="shared" si="222"/>
        <v>2019-03-18</v>
      </c>
    </row>
    <row r="1992" spans="1:15" x14ac:dyDescent="0.2">
      <c r="A1992" s="21" t="str">
        <f t="shared" si="223"/>
        <v>y</v>
      </c>
      <c r="B1992" s="24" t="s">
        <v>1902</v>
      </c>
      <c r="C1992" t="s">
        <v>220</v>
      </c>
      <c r="D1992" t="s">
        <v>13</v>
      </c>
      <c r="E1992" t="s">
        <v>8</v>
      </c>
      <c r="F1992" t="s">
        <v>29</v>
      </c>
      <c r="G1992" t="s">
        <v>250</v>
      </c>
      <c r="H1992" t="s">
        <v>2097</v>
      </c>
      <c r="I1992" s="22" t="str">
        <f t="shared" si="217"/>
        <v>2019-03-17</v>
      </c>
      <c r="J1992" s="23" t="str">
        <f t="shared" si="218"/>
        <v>17</v>
      </c>
      <c r="K1992" t="str">
        <f t="shared" si="219"/>
        <v>no</v>
      </c>
      <c r="L1992">
        <v>17</v>
      </c>
      <c r="M1992" t="str">
        <f t="shared" si="224"/>
        <v>2019-03-17</v>
      </c>
      <c r="N1992" s="20" t="str">
        <f t="shared" si="221"/>
        <v>2019-03-17</v>
      </c>
      <c r="O1992" t="str">
        <f t="shared" si="222"/>
        <v>2019-03-17</v>
      </c>
    </row>
    <row r="1993" spans="1:15" x14ac:dyDescent="0.2">
      <c r="A1993" s="21" t="str">
        <f t="shared" si="223"/>
        <v>y</v>
      </c>
      <c r="B1993" s="24" t="s">
        <v>1903</v>
      </c>
      <c r="C1993" t="s">
        <v>241</v>
      </c>
      <c r="D1993" t="s">
        <v>13</v>
      </c>
      <c r="E1993" t="s">
        <v>27</v>
      </c>
      <c r="F1993" t="s">
        <v>2</v>
      </c>
      <c r="H1993" t="s">
        <v>2026</v>
      </c>
      <c r="I1993" s="22" t="str">
        <f t="shared" si="217"/>
        <v>2019-03-16</v>
      </c>
      <c r="J1993" s="23" t="str">
        <f t="shared" si="218"/>
        <v>16</v>
      </c>
      <c r="K1993" t="str">
        <f t="shared" si="219"/>
        <v>no</v>
      </c>
      <c r="L1993">
        <v>16</v>
      </c>
      <c r="M1993" t="str">
        <f t="shared" si="224"/>
        <v>2019-03-16</v>
      </c>
      <c r="N1993" s="20">
        <f t="shared" si="221"/>
        <v>43541</v>
      </c>
      <c r="O1993" t="str">
        <f t="shared" si="222"/>
        <v>2019-03-17</v>
      </c>
    </row>
    <row r="1994" spans="1:15" x14ac:dyDescent="0.2">
      <c r="A1994" s="21" t="str">
        <f t="shared" si="223"/>
        <v>y</v>
      </c>
      <c r="B1994" s="24" t="s">
        <v>1903</v>
      </c>
      <c r="C1994" t="s">
        <v>241</v>
      </c>
      <c r="D1994" t="s">
        <v>13</v>
      </c>
      <c r="E1994" t="s">
        <v>28</v>
      </c>
      <c r="F1994" t="s">
        <v>2</v>
      </c>
      <c r="G1994" t="s">
        <v>249</v>
      </c>
      <c r="H1994" t="s">
        <v>2100</v>
      </c>
      <c r="I1994" s="22" t="str">
        <f t="shared" si="217"/>
        <v>2019-03-16</v>
      </c>
      <c r="J1994" s="23" t="str">
        <f t="shared" si="218"/>
        <v>16</v>
      </c>
      <c r="K1994" t="str">
        <f t="shared" si="219"/>
        <v>no</v>
      </c>
      <c r="L1994">
        <v>16</v>
      </c>
      <c r="M1994" t="str">
        <f t="shared" si="224"/>
        <v>2019-03-16</v>
      </c>
      <c r="N1994" s="20">
        <f t="shared" si="221"/>
        <v>43541</v>
      </c>
      <c r="O1994" t="str">
        <f t="shared" si="222"/>
        <v>2019-03-17</v>
      </c>
    </row>
    <row r="1995" spans="1:15" x14ac:dyDescent="0.2">
      <c r="A1995" s="21" t="str">
        <f t="shared" si="223"/>
        <v>y</v>
      </c>
      <c r="B1995" s="24" t="s">
        <v>1904</v>
      </c>
      <c r="C1995" t="s">
        <v>235</v>
      </c>
      <c r="D1995" t="s">
        <v>13</v>
      </c>
      <c r="E1995" t="s">
        <v>27</v>
      </c>
      <c r="F1995" t="s">
        <v>29</v>
      </c>
      <c r="G1995" t="s">
        <v>247</v>
      </c>
      <c r="H1995" t="s">
        <v>2100</v>
      </c>
      <c r="I1995" s="22" t="str">
        <f t="shared" si="217"/>
        <v>2019-03-14</v>
      </c>
      <c r="J1995" s="23" t="str">
        <f t="shared" si="218"/>
        <v>14</v>
      </c>
      <c r="K1995" t="str">
        <f t="shared" si="219"/>
        <v>no</v>
      </c>
      <c r="L1995">
        <v>14</v>
      </c>
      <c r="M1995" t="str">
        <f t="shared" si="224"/>
        <v>2019-03-14</v>
      </c>
      <c r="N1995" s="20" t="str">
        <f t="shared" si="221"/>
        <v>2019-03-14</v>
      </c>
      <c r="O1995" t="str">
        <f t="shared" si="222"/>
        <v>2019-03-14</v>
      </c>
    </row>
    <row r="1996" spans="1:15" x14ac:dyDescent="0.2">
      <c r="A1996" s="21" t="str">
        <f t="shared" si="223"/>
        <v>y</v>
      </c>
      <c r="B1996" s="24" t="s">
        <v>1904</v>
      </c>
      <c r="C1996" t="s">
        <v>241</v>
      </c>
      <c r="D1996" t="s">
        <v>13</v>
      </c>
      <c r="E1996" t="s">
        <v>27</v>
      </c>
      <c r="F1996" t="s">
        <v>2</v>
      </c>
      <c r="G1996" t="s">
        <v>248</v>
      </c>
      <c r="H1996" t="s">
        <v>2097</v>
      </c>
      <c r="I1996" s="22" t="str">
        <f t="shared" si="217"/>
        <v>2019-03-14</v>
      </c>
      <c r="J1996" s="23" t="str">
        <f t="shared" si="218"/>
        <v>14</v>
      </c>
      <c r="K1996" t="str">
        <f t="shared" si="219"/>
        <v>no</v>
      </c>
      <c r="L1996">
        <v>14</v>
      </c>
      <c r="M1996" t="str">
        <f t="shared" si="224"/>
        <v>2019-03-14</v>
      </c>
      <c r="N1996" s="20">
        <f t="shared" si="221"/>
        <v>43539</v>
      </c>
      <c r="O1996" t="str">
        <f t="shared" si="222"/>
        <v>2019-03-15</v>
      </c>
    </row>
    <row r="1997" spans="1:15" x14ac:dyDescent="0.2">
      <c r="A1997" s="21" t="str">
        <f t="shared" si="223"/>
        <v>y</v>
      </c>
      <c r="B1997" s="24" t="s">
        <v>1905</v>
      </c>
      <c r="C1997" t="s">
        <v>235</v>
      </c>
      <c r="D1997" t="s">
        <v>13</v>
      </c>
      <c r="E1997" t="s">
        <v>43</v>
      </c>
      <c r="F1997" t="s">
        <v>2</v>
      </c>
      <c r="H1997" t="s">
        <v>2026</v>
      </c>
      <c r="I1997" s="22" t="str">
        <f t="shared" si="217"/>
        <v>2019-03-13</v>
      </c>
      <c r="J1997" s="23" t="str">
        <f t="shared" si="218"/>
        <v>13</v>
      </c>
      <c r="K1997" t="str">
        <f t="shared" si="219"/>
        <v>no</v>
      </c>
      <c r="L1997">
        <v>13</v>
      </c>
      <c r="M1997" t="str">
        <f t="shared" si="224"/>
        <v>2019-03-13</v>
      </c>
      <c r="N1997" s="20">
        <f t="shared" si="221"/>
        <v>43538</v>
      </c>
      <c r="O1997" t="str">
        <f t="shared" si="222"/>
        <v>2019-03-14</v>
      </c>
    </row>
    <row r="1998" spans="1:15" x14ac:dyDescent="0.2">
      <c r="A1998" s="21" t="str">
        <f t="shared" si="223"/>
        <v>y</v>
      </c>
      <c r="B1998" s="24" t="s">
        <v>1905</v>
      </c>
      <c r="C1998" t="s">
        <v>241</v>
      </c>
      <c r="D1998" t="s">
        <v>13</v>
      </c>
      <c r="E1998" t="s">
        <v>27</v>
      </c>
      <c r="F1998" t="s">
        <v>2</v>
      </c>
      <c r="G1998" t="s">
        <v>242</v>
      </c>
      <c r="H1998" t="s">
        <v>2100</v>
      </c>
      <c r="I1998" s="22" t="str">
        <f t="shared" si="217"/>
        <v>2019-03-13</v>
      </c>
      <c r="J1998" s="23" t="str">
        <f t="shared" si="218"/>
        <v>13</v>
      </c>
      <c r="K1998" t="str">
        <f t="shared" si="219"/>
        <v>no</v>
      </c>
      <c r="L1998">
        <v>13</v>
      </c>
      <c r="M1998" t="str">
        <f t="shared" si="224"/>
        <v>2019-03-13</v>
      </c>
      <c r="N1998" s="20">
        <f t="shared" si="221"/>
        <v>43538</v>
      </c>
      <c r="O1998" t="str">
        <f t="shared" si="222"/>
        <v>2019-03-14</v>
      </c>
    </row>
    <row r="1999" spans="1:15" x14ac:dyDescent="0.2">
      <c r="A1999" s="21" t="str">
        <f t="shared" si="223"/>
        <v>y</v>
      </c>
      <c r="B1999" s="24">
        <v>43802</v>
      </c>
      <c r="C1999" t="s">
        <v>235</v>
      </c>
      <c r="D1999" t="s">
        <v>13</v>
      </c>
      <c r="E1999" t="s">
        <v>43</v>
      </c>
      <c r="F1999" t="s">
        <v>2</v>
      </c>
      <c r="G1999" t="s">
        <v>246</v>
      </c>
      <c r="H1999" t="s">
        <v>2097</v>
      </c>
      <c r="I1999" s="22" t="str">
        <f t="shared" si="217"/>
        <v>2019-03-12</v>
      </c>
      <c r="J1999" s="23" t="str">
        <f t="shared" si="218"/>
        <v>43</v>
      </c>
      <c r="K1999" t="str">
        <f t="shared" si="219"/>
        <v>yes</v>
      </c>
      <c r="L1999">
        <v>43</v>
      </c>
      <c r="M1999" t="str">
        <f t="shared" si="224"/>
        <v>2019-03-12</v>
      </c>
      <c r="N1999" s="20">
        <f t="shared" si="221"/>
        <v>43537</v>
      </c>
      <c r="O1999" t="str">
        <f t="shared" si="222"/>
        <v>2019-03-13</v>
      </c>
    </row>
    <row r="2000" spans="1:15" x14ac:dyDescent="0.2">
      <c r="A2000" s="21" t="str">
        <f t="shared" si="223"/>
        <v>y</v>
      </c>
      <c r="B2000" s="24">
        <v>43802</v>
      </c>
      <c r="C2000" t="s">
        <v>128</v>
      </c>
      <c r="D2000" t="s">
        <v>15</v>
      </c>
      <c r="E2000" t="s">
        <v>8</v>
      </c>
      <c r="F2000" t="s">
        <v>29</v>
      </c>
      <c r="G2000" t="s">
        <v>243</v>
      </c>
      <c r="H2000" t="s">
        <v>2097</v>
      </c>
      <c r="I2000" s="22" t="str">
        <f t="shared" si="217"/>
        <v>2019-03-12</v>
      </c>
      <c r="J2000" s="23" t="str">
        <f t="shared" si="218"/>
        <v>43</v>
      </c>
      <c r="K2000" t="str">
        <f t="shared" si="219"/>
        <v>yes</v>
      </c>
      <c r="L2000">
        <v>43</v>
      </c>
      <c r="M2000" t="str">
        <f t="shared" si="224"/>
        <v>2019-03-12</v>
      </c>
      <c r="N2000" s="20" t="str">
        <f t="shared" si="221"/>
        <v>2019-03-12</v>
      </c>
      <c r="O2000" t="str">
        <f t="shared" si="222"/>
        <v>2019-03-12</v>
      </c>
    </row>
    <row r="2001" spans="1:15" x14ac:dyDescent="0.2">
      <c r="A2001" s="21" t="str">
        <f t="shared" si="223"/>
        <v>y</v>
      </c>
      <c r="B2001" s="24">
        <v>43772</v>
      </c>
      <c r="C2001" t="s">
        <v>235</v>
      </c>
      <c r="D2001" t="s">
        <v>13</v>
      </c>
      <c r="E2001" t="s">
        <v>43</v>
      </c>
      <c r="F2001" t="s">
        <v>2</v>
      </c>
      <c r="H2001" t="s">
        <v>2097</v>
      </c>
      <c r="I2001" s="22" t="str">
        <f t="shared" si="217"/>
        <v>2019-03-11</v>
      </c>
      <c r="J2001" s="23" t="str">
        <f t="shared" si="218"/>
        <v>43</v>
      </c>
      <c r="K2001" t="str">
        <f t="shared" si="219"/>
        <v>yes</v>
      </c>
      <c r="L2001">
        <v>43</v>
      </c>
      <c r="M2001" t="str">
        <f t="shared" si="224"/>
        <v>2019-03-11</v>
      </c>
      <c r="N2001" s="20">
        <f t="shared" si="221"/>
        <v>43536</v>
      </c>
      <c r="O2001" t="str">
        <f t="shared" si="222"/>
        <v>2019-03-12</v>
      </c>
    </row>
    <row r="2002" spans="1:15" x14ac:dyDescent="0.2">
      <c r="A2002" s="21" t="str">
        <f t="shared" si="223"/>
        <v>y</v>
      </c>
      <c r="B2002" s="24">
        <v>43772</v>
      </c>
      <c r="C2002" t="s">
        <v>65</v>
      </c>
      <c r="D2002" t="s">
        <v>14</v>
      </c>
      <c r="E2002" t="s">
        <v>27</v>
      </c>
      <c r="F2002" t="s">
        <v>29</v>
      </c>
      <c r="G2002" t="s">
        <v>245</v>
      </c>
      <c r="H2002" t="s">
        <v>2097</v>
      </c>
      <c r="I2002" s="22" t="str">
        <f t="shared" si="217"/>
        <v>2019-03-11</v>
      </c>
      <c r="J2002" s="23" t="str">
        <f t="shared" si="218"/>
        <v>43</v>
      </c>
      <c r="K2002" t="str">
        <f t="shared" si="219"/>
        <v>yes</v>
      </c>
      <c r="L2002">
        <v>43</v>
      </c>
      <c r="M2002" t="str">
        <f t="shared" si="224"/>
        <v>2019-03-11</v>
      </c>
      <c r="N2002" s="20" t="str">
        <f t="shared" si="221"/>
        <v>2019-03-11</v>
      </c>
      <c r="O2002" t="str">
        <f t="shared" si="222"/>
        <v>2019-03-11</v>
      </c>
    </row>
    <row r="2003" spans="1:15" x14ac:dyDescent="0.2">
      <c r="A2003" s="21" t="str">
        <f t="shared" si="223"/>
        <v>y</v>
      </c>
      <c r="B2003" s="24">
        <v>43772</v>
      </c>
      <c r="C2003" t="s">
        <v>32</v>
      </c>
      <c r="D2003" t="s">
        <v>13</v>
      </c>
      <c r="E2003" t="s">
        <v>42</v>
      </c>
      <c r="F2003" t="s">
        <v>2</v>
      </c>
      <c r="H2003" t="s">
        <v>2097</v>
      </c>
      <c r="I2003" s="22" t="str">
        <f t="shared" si="217"/>
        <v>2019-03-11</v>
      </c>
      <c r="J2003" s="23" t="str">
        <f t="shared" si="218"/>
        <v>43</v>
      </c>
      <c r="K2003" t="str">
        <f t="shared" si="219"/>
        <v>yes</v>
      </c>
      <c r="L2003">
        <v>43</v>
      </c>
      <c r="M2003" t="str">
        <f t="shared" si="224"/>
        <v>2019-03-11</v>
      </c>
      <c r="N2003" s="20">
        <f t="shared" si="221"/>
        <v>43536</v>
      </c>
      <c r="O2003" t="str">
        <f t="shared" si="222"/>
        <v>2019-03-12</v>
      </c>
    </row>
    <row r="2004" spans="1:15" x14ac:dyDescent="0.2">
      <c r="A2004" s="21" t="str">
        <f t="shared" si="223"/>
        <v>y</v>
      </c>
      <c r="B2004" s="24">
        <v>43772</v>
      </c>
      <c r="C2004" t="s">
        <v>209</v>
      </c>
      <c r="D2004" t="s">
        <v>14</v>
      </c>
      <c r="E2004" t="s">
        <v>27</v>
      </c>
      <c r="F2004" t="s">
        <v>29</v>
      </c>
      <c r="G2004" t="s">
        <v>244</v>
      </c>
      <c r="H2004" t="s">
        <v>2097</v>
      </c>
      <c r="I2004" s="22" t="str">
        <f t="shared" ref="I2004:I2035" si="225">IF(K2004="yes",TEXT(B2004,"YYYY-DD-MM"),TEXT(B2004,"YYYY-MM-DD"))</f>
        <v>2019-03-11</v>
      </c>
      <c r="J2004" s="23" t="str">
        <f t="shared" ref="J2004:J2035" si="226">LEFT(B2004,2)</f>
        <v>43</v>
      </c>
      <c r="K2004" t="str">
        <f t="shared" ref="K2004:K2035" si="227">IF(L2004&gt;31,"yes","no")</f>
        <v>yes</v>
      </c>
      <c r="L2004">
        <v>43</v>
      </c>
      <c r="M2004" t="str">
        <f t="shared" si="224"/>
        <v>2019-03-11</v>
      </c>
      <c r="N2004" s="20" t="str">
        <f t="shared" ref="N2004:N2035" si="228">IF(F2004="DONE",M2004,M2004+1)</f>
        <v>2019-03-11</v>
      </c>
      <c r="O2004" t="str">
        <f t="shared" ref="O2004:O2035" si="229">TEXT(N2004,"YYYY-MM-DD")</f>
        <v>2019-03-11</v>
      </c>
    </row>
    <row r="2005" spans="1:15" x14ac:dyDescent="0.2">
      <c r="A2005" s="21" t="str">
        <f t="shared" si="223"/>
        <v>y</v>
      </c>
      <c r="B2005" s="24">
        <v>43741</v>
      </c>
      <c r="C2005" t="s">
        <v>235</v>
      </c>
      <c r="D2005" t="s">
        <v>13</v>
      </c>
      <c r="E2005" t="s">
        <v>43</v>
      </c>
      <c r="F2005" t="s">
        <v>2</v>
      </c>
      <c r="G2005" t="s">
        <v>240</v>
      </c>
      <c r="H2005" t="s">
        <v>2097</v>
      </c>
      <c r="I2005" s="22" t="str">
        <f t="shared" si="225"/>
        <v>2019-03-10</v>
      </c>
      <c r="J2005" s="23" t="str">
        <f t="shared" si="226"/>
        <v>43</v>
      </c>
      <c r="K2005" t="str">
        <f t="shared" si="227"/>
        <v>yes</v>
      </c>
      <c r="L2005">
        <v>43</v>
      </c>
      <c r="M2005" t="str">
        <f t="shared" si="224"/>
        <v>2019-03-10</v>
      </c>
      <c r="N2005" s="20">
        <f t="shared" si="228"/>
        <v>43535</v>
      </c>
      <c r="O2005" t="str">
        <f t="shared" si="229"/>
        <v>2019-03-11</v>
      </c>
    </row>
    <row r="2006" spans="1:15" x14ac:dyDescent="0.2">
      <c r="A2006" s="21" t="str">
        <f t="shared" si="223"/>
        <v>y</v>
      </c>
      <c r="B2006" s="24">
        <v>43741</v>
      </c>
      <c r="C2006" t="s">
        <v>65</v>
      </c>
      <c r="D2006" t="s">
        <v>14</v>
      </c>
      <c r="E2006" t="s">
        <v>27</v>
      </c>
      <c r="F2006" t="s">
        <v>2</v>
      </c>
      <c r="H2006" t="s">
        <v>2097</v>
      </c>
      <c r="I2006" s="22" t="str">
        <f t="shared" si="225"/>
        <v>2019-03-10</v>
      </c>
      <c r="J2006" s="23" t="str">
        <f t="shared" si="226"/>
        <v>43</v>
      </c>
      <c r="K2006" t="str">
        <f t="shared" si="227"/>
        <v>yes</v>
      </c>
      <c r="L2006">
        <v>43</v>
      </c>
      <c r="M2006" t="str">
        <f t="shared" si="224"/>
        <v>2019-03-10</v>
      </c>
      <c r="N2006" s="20">
        <f t="shared" si="228"/>
        <v>43535</v>
      </c>
      <c r="O2006" t="str">
        <f t="shared" si="229"/>
        <v>2019-03-11</v>
      </c>
    </row>
    <row r="2007" spans="1:15" x14ac:dyDescent="0.2">
      <c r="A2007" s="21" t="str">
        <f t="shared" si="223"/>
        <v>y</v>
      </c>
      <c r="B2007" s="24">
        <v>43741</v>
      </c>
      <c r="C2007" t="s">
        <v>32</v>
      </c>
      <c r="D2007" t="s">
        <v>13</v>
      </c>
      <c r="E2007" t="s">
        <v>42</v>
      </c>
      <c r="F2007" t="s">
        <v>2</v>
      </c>
      <c r="H2007" t="s">
        <v>2032</v>
      </c>
      <c r="I2007" s="22" t="str">
        <f t="shared" si="225"/>
        <v>2019-03-10</v>
      </c>
      <c r="J2007" s="23" t="str">
        <f t="shared" si="226"/>
        <v>43</v>
      </c>
      <c r="K2007" t="str">
        <f t="shared" si="227"/>
        <v>yes</v>
      </c>
      <c r="L2007">
        <v>43</v>
      </c>
      <c r="M2007" t="str">
        <f t="shared" si="224"/>
        <v>2019-03-10</v>
      </c>
      <c r="N2007" s="20">
        <f t="shared" si="228"/>
        <v>43535</v>
      </c>
      <c r="O2007" t="str">
        <f t="shared" si="229"/>
        <v>2019-03-11</v>
      </c>
    </row>
    <row r="2008" spans="1:15" x14ac:dyDescent="0.2">
      <c r="A2008" s="21" t="str">
        <f t="shared" si="223"/>
        <v>y</v>
      </c>
      <c r="B2008" s="24">
        <v>43741</v>
      </c>
      <c r="C2008" t="s">
        <v>241</v>
      </c>
      <c r="D2008" t="s">
        <v>13</v>
      </c>
      <c r="E2008" t="s">
        <v>27</v>
      </c>
      <c r="F2008" t="s">
        <v>2</v>
      </c>
      <c r="G2008" t="s">
        <v>242</v>
      </c>
      <c r="H2008" t="s">
        <v>2097</v>
      </c>
      <c r="I2008" s="22" t="str">
        <f t="shared" si="225"/>
        <v>2019-03-10</v>
      </c>
      <c r="J2008" s="23" t="str">
        <f t="shared" si="226"/>
        <v>43</v>
      </c>
      <c r="K2008" t="str">
        <f t="shared" si="227"/>
        <v>yes</v>
      </c>
      <c r="L2008">
        <v>43</v>
      </c>
      <c r="M2008" t="str">
        <f t="shared" si="224"/>
        <v>2019-03-10</v>
      </c>
      <c r="N2008" s="20">
        <f t="shared" si="228"/>
        <v>43535</v>
      </c>
      <c r="O2008" t="str">
        <f t="shared" si="229"/>
        <v>2019-03-11</v>
      </c>
    </row>
    <row r="2009" spans="1:15" x14ac:dyDescent="0.2">
      <c r="A2009" s="21" t="str">
        <f t="shared" si="223"/>
        <v>y</v>
      </c>
      <c r="B2009" s="24">
        <v>43711</v>
      </c>
      <c r="C2009" t="s">
        <v>235</v>
      </c>
      <c r="D2009" t="s">
        <v>13</v>
      </c>
      <c r="E2009" t="s">
        <v>43</v>
      </c>
      <c r="F2009" t="s">
        <v>2</v>
      </c>
      <c r="H2009" t="s">
        <v>2097</v>
      </c>
      <c r="I2009" s="22" t="str">
        <f t="shared" si="225"/>
        <v>2019-03-09</v>
      </c>
      <c r="J2009" s="23" t="str">
        <f t="shared" si="226"/>
        <v>43</v>
      </c>
      <c r="K2009" t="str">
        <f t="shared" si="227"/>
        <v>yes</v>
      </c>
      <c r="L2009">
        <v>43</v>
      </c>
      <c r="M2009" t="str">
        <f t="shared" si="224"/>
        <v>2019-03-09</v>
      </c>
      <c r="N2009" s="20">
        <f t="shared" si="228"/>
        <v>43534</v>
      </c>
      <c r="O2009" t="str">
        <f t="shared" si="229"/>
        <v>2019-03-10</v>
      </c>
    </row>
    <row r="2010" spans="1:15" x14ac:dyDescent="0.2">
      <c r="A2010" s="21" t="str">
        <f t="shared" si="223"/>
        <v>y</v>
      </c>
      <c r="B2010" s="24">
        <v>43711</v>
      </c>
      <c r="C2010" t="s">
        <v>65</v>
      </c>
      <c r="D2010" t="s">
        <v>14</v>
      </c>
      <c r="E2010" t="s">
        <v>27</v>
      </c>
      <c r="F2010" t="s">
        <v>2</v>
      </c>
      <c r="H2010" t="s">
        <v>2097</v>
      </c>
      <c r="I2010" s="22" t="str">
        <f t="shared" si="225"/>
        <v>2019-03-09</v>
      </c>
      <c r="J2010" s="23" t="str">
        <f t="shared" si="226"/>
        <v>43</v>
      </c>
      <c r="K2010" t="str">
        <f t="shared" si="227"/>
        <v>yes</v>
      </c>
      <c r="L2010">
        <v>43</v>
      </c>
      <c r="M2010" t="str">
        <f t="shared" si="224"/>
        <v>2019-03-09</v>
      </c>
      <c r="N2010" s="20">
        <f t="shared" si="228"/>
        <v>43534</v>
      </c>
      <c r="O2010" t="str">
        <f t="shared" si="229"/>
        <v>2019-03-10</v>
      </c>
    </row>
    <row r="2011" spans="1:15" x14ac:dyDescent="0.2">
      <c r="A2011" s="21" t="str">
        <f t="shared" si="223"/>
        <v>y</v>
      </c>
      <c r="B2011" s="24">
        <v>43711</v>
      </c>
      <c r="C2011" t="s">
        <v>32</v>
      </c>
      <c r="D2011" t="s">
        <v>13</v>
      </c>
      <c r="E2011" t="s">
        <v>42</v>
      </c>
      <c r="F2011" t="s">
        <v>2</v>
      </c>
      <c r="H2011" t="s">
        <v>2032</v>
      </c>
      <c r="I2011" s="22" t="str">
        <f t="shared" si="225"/>
        <v>2019-03-09</v>
      </c>
      <c r="J2011" s="23" t="str">
        <f t="shared" si="226"/>
        <v>43</v>
      </c>
      <c r="K2011" t="str">
        <f t="shared" si="227"/>
        <v>yes</v>
      </c>
      <c r="L2011">
        <v>43</v>
      </c>
      <c r="M2011" t="str">
        <f t="shared" si="224"/>
        <v>2019-03-09</v>
      </c>
      <c r="N2011" s="20">
        <f t="shared" si="228"/>
        <v>43534</v>
      </c>
      <c r="O2011" t="str">
        <f t="shared" si="229"/>
        <v>2019-03-10</v>
      </c>
    </row>
    <row r="2012" spans="1:15" x14ac:dyDescent="0.2">
      <c r="A2012" s="21" t="str">
        <f t="shared" si="223"/>
        <v>y</v>
      </c>
      <c r="B2012" s="24">
        <v>43649</v>
      </c>
      <c r="C2012" t="s">
        <v>235</v>
      </c>
      <c r="D2012" t="s">
        <v>13</v>
      </c>
      <c r="E2012" t="s">
        <v>43</v>
      </c>
      <c r="F2012" t="s">
        <v>2</v>
      </c>
      <c r="H2012" t="s">
        <v>2032</v>
      </c>
      <c r="I2012" s="22" t="str">
        <f t="shared" si="225"/>
        <v>2019-03-07</v>
      </c>
      <c r="J2012" s="23" t="str">
        <f t="shared" si="226"/>
        <v>43</v>
      </c>
      <c r="K2012" t="str">
        <f t="shared" si="227"/>
        <v>yes</v>
      </c>
      <c r="L2012">
        <v>43</v>
      </c>
      <c r="M2012" t="str">
        <f t="shared" si="224"/>
        <v>2019-03-07</v>
      </c>
      <c r="N2012" s="20">
        <f t="shared" si="228"/>
        <v>43532</v>
      </c>
      <c r="O2012" t="str">
        <f t="shared" si="229"/>
        <v>2019-03-08</v>
      </c>
    </row>
    <row r="2013" spans="1:15" x14ac:dyDescent="0.2">
      <c r="A2013" s="21" t="str">
        <f t="shared" si="223"/>
        <v>y</v>
      </c>
      <c r="B2013" s="24">
        <v>43619</v>
      </c>
      <c r="C2013" t="s">
        <v>235</v>
      </c>
      <c r="D2013" t="s">
        <v>13</v>
      </c>
      <c r="E2013" t="s">
        <v>43</v>
      </c>
      <c r="F2013" t="s">
        <v>2</v>
      </c>
      <c r="G2013" t="s">
        <v>236</v>
      </c>
      <c r="H2013" t="s">
        <v>2032</v>
      </c>
      <c r="I2013" s="22" t="str">
        <f t="shared" si="225"/>
        <v>2019-03-06</v>
      </c>
      <c r="J2013" s="23" t="str">
        <f t="shared" si="226"/>
        <v>43</v>
      </c>
      <c r="K2013" t="str">
        <f t="shared" si="227"/>
        <v>yes</v>
      </c>
      <c r="L2013">
        <v>43</v>
      </c>
      <c r="M2013" t="str">
        <f t="shared" si="224"/>
        <v>2019-03-06</v>
      </c>
      <c r="N2013" s="20">
        <f t="shared" si="228"/>
        <v>43531</v>
      </c>
      <c r="O2013" t="str">
        <f t="shared" si="229"/>
        <v>2019-03-07</v>
      </c>
    </row>
    <row r="2014" spans="1:15" x14ac:dyDescent="0.2">
      <c r="A2014" s="21" t="str">
        <f t="shared" si="223"/>
        <v>y</v>
      </c>
      <c r="B2014" s="24">
        <v>43588</v>
      </c>
      <c r="C2014" t="s">
        <v>235</v>
      </c>
      <c r="D2014" t="s">
        <v>13</v>
      </c>
      <c r="E2014" t="s">
        <v>43</v>
      </c>
      <c r="F2014" t="s">
        <v>29</v>
      </c>
      <c r="G2014" t="s">
        <v>238</v>
      </c>
      <c r="H2014" t="s">
        <v>2101</v>
      </c>
      <c r="I2014" s="22" t="str">
        <f t="shared" si="225"/>
        <v>2019-03-05</v>
      </c>
      <c r="J2014" s="23" t="str">
        <f t="shared" si="226"/>
        <v>43</v>
      </c>
      <c r="K2014" t="str">
        <f t="shared" si="227"/>
        <v>yes</v>
      </c>
      <c r="L2014">
        <v>43</v>
      </c>
      <c r="M2014" t="str">
        <f t="shared" si="224"/>
        <v>2019-03-05</v>
      </c>
      <c r="N2014" s="20" t="str">
        <f t="shared" si="228"/>
        <v>2019-03-05</v>
      </c>
      <c r="O2014" t="str">
        <f t="shared" si="229"/>
        <v>2019-03-05</v>
      </c>
    </row>
    <row r="2015" spans="1:15" x14ac:dyDescent="0.2">
      <c r="A2015" s="21" t="str">
        <f t="shared" si="223"/>
        <v>y</v>
      </c>
      <c r="B2015" s="24">
        <v>43588</v>
      </c>
      <c r="C2015" t="s">
        <v>235</v>
      </c>
      <c r="D2015" t="s">
        <v>13</v>
      </c>
      <c r="E2015" t="s">
        <v>27</v>
      </c>
      <c r="F2015" t="s">
        <v>29</v>
      </c>
      <c r="G2015" t="s">
        <v>239</v>
      </c>
      <c r="H2015" t="s">
        <v>2032</v>
      </c>
      <c r="I2015" s="22" t="str">
        <f t="shared" si="225"/>
        <v>2019-03-05</v>
      </c>
      <c r="J2015" s="23" t="str">
        <f t="shared" si="226"/>
        <v>43</v>
      </c>
      <c r="K2015" t="str">
        <f t="shared" si="227"/>
        <v>yes</v>
      </c>
      <c r="L2015">
        <v>43</v>
      </c>
      <c r="M2015" t="str">
        <f t="shared" si="224"/>
        <v>2019-03-05</v>
      </c>
      <c r="N2015" s="20" t="str">
        <f t="shared" si="228"/>
        <v>2019-03-05</v>
      </c>
      <c r="O2015" t="str">
        <f t="shared" si="229"/>
        <v>2019-03-05</v>
      </c>
    </row>
    <row r="2016" spans="1:15" x14ac:dyDescent="0.2">
      <c r="A2016" s="21" t="str">
        <f t="shared" si="223"/>
        <v>y</v>
      </c>
      <c r="B2016" s="24">
        <v>43558</v>
      </c>
      <c r="C2016" t="s">
        <v>235</v>
      </c>
      <c r="D2016" t="s">
        <v>13</v>
      </c>
      <c r="E2016" t="s">
        <v>43</v>
      </c>
      <c r="F2016" t="s">
        <v>2</v>
      </c>
      <c r="G2016" t="s">
        <v>237</v>
      </c>
      <c r="H2016" t="s">
        <v>2032</v>
      </c>
      <c r="I2016" s="22" t="str">
        <f t="shared" si="225"/>
        <v>2019-03-04</v>
      </c>
      <c r="J2016" s="23" t="str">
        <f t="shared" si="226"/>
        <v>43</v>
      </c>
      <c r="K2016" t="str">
        <f t="shared" si="227"/>
        <v>yes</v>
      </c>
      <c r="L2016">
        <v>43</v>
      </c>
      <c r="M2016" t="str">
        <f t="shared" si="224"/>
        <v>2019-03-04</v>
      </c>
      <c r="N2016" s="20">
        <f t="shared" si="228"/>
        <v>43529</v>
      </c>
      <c r="O2016" t="str">
        <f t="shared" si="229"/>
        <v>2019-03-05</v>
      </c>
    </row>
    <row r="2017" spans="1:15" x14ac:dyDescent="0.2">
      <c r="A2017" s="21" t="str">
        <f t="shared" si="223"/>
        <v>y</v>
      </c>
      <c r="B2017" s="24">
        <v>43527</v>
      </c>
      <c r="C2017" t="s">
        <v>128</v>
      </c>
      <c r="D2017" t="s">
        <v>15</v>
      </c>
      <c r="E2017" t="s">
        <v>21</v>
      </c>
      <c r="F2017" t="s">
        <v>2</v>
      </c>
      <c r="G2017" t="s">
        <v>234</v>
      </c>
      <c r="H2017" t="s">
        <v>2032</v>
      </c>
      <c r="I2017" s="22" t="str">
        <f t="shared" si="225"/>
        <v>2019-03-03</v>
      </c>
      <c r="J2017" s="23" t="str">
        <f t="shared" si="226"/>
        <v>43</v>
      </c>
      <c r="K2017" t="str">
        <f t="shared" si="227"/>
        <v>yes</v>
      </c>
      <c r="L2017">
        <v>43</v>
      </c>
      <c r="M2017" t="str">
        <f t="shared" si="224"/>
        <v>2019-03-03</v>
      </c>
      <c r="N2017" s="20">
        <f t="shared" si="228"/>
        <v>43528</v>
      </c>
      <c r="O2017" t="str">
        <f t="shared" si="229"/>
        <v>2019-03-04</v>
      </c>
    </row>
    <row r="2018" spans="1:15" x14ac:dyDescent="0.2">
      <c r="A2018" s="21" t="str">
        <f t="shared" si="223"/>
        <v>y</v>
      </c>
      <c r="B2018" s="24" t="s">
        <v>1906</v>
      </c>
      <c r="C2018" t="s">
        <v>128</v>
      </c>
      <c r="D2018" t="s">
        <v>15</v>
      </c>
      <c r="E2018" t="s">
        <v>21</v>
      </c>
      <c r="F2018" t="s">
        <v>2</v>
      </c>
      <c r="H2018" t="s">
        <v>2032</v>
      </c>
      <c r="I2018" s="22" t="str">
        <f t="shared" si="225"/>
        <v>2019-02-28</v>
      </c>
      <c r="J2018" s="23" t="str">
        <f t="shared" si="226"/>
        <v>28</v>
      </c>
      <c r="K2018" t="str">
        <f t="shared" si="227"/>
        <v>no</v>
      </c>
      <c r="L2018">
        <v>28</v>
      </c>
      <c r="M2018" t="str">
        <f t="shared" si="224"/>
        <v>2019-02-28</v>
      </c>
      <c r="N2018" s="20">
        <f t="shared" si="228"/>
        <v>43525</v>
      </c>
      <c r="O2018" t="str">
        <f t="shared" si="229"/>
        <v>2019-03-01</v>
      </c>
    </row>
    <row r="2019" spans="1:15" x14ac:dyDescent="0.2">
      <c r="A2019" s="21" t="str">
        <f t="shared" si="223"/>
        <v>y</v>
      </c>
      <c r="B2019" s="24" t="s">
        <v>1907</v>
      </c>
      <c r="C2019" t="s">
        <v>128</v>
      </c>
      <c r="D2019" t="s">
        <v>15</v>
      </c>
      <c r="E2019" t="s">
        <v>21</v>
      </c>
      <c r="F2019" t="s">
        <v>29</v>
      </c>
      <c r="G2019" t="s">
        <v>232</v>
      </c>
      <c r="H2019" t="s">
        <v>2032</v>
      </c>
      <c r="I2019" s="22" t="str">
        <f t="shared" si="225"/>
        <v>2019-02-27</v>
      </c>
      <c r="J2019" s="23" t="str">
        <f t="shared" si="226"/>
        <v>27</v>
      </c>
      <c r="K2019" t="str">
        <f t="shared" si="227"/>
        <v>no</v>
      </c>
      <c r="L2019">
        <v>27</v>
      </c>
      <c r="M2019" t="str">
        <f t="shared" si="224"/>
        <v>2019-02-27</v>
      </c>
      <c r="N2019" s="20" t="str">
        <f t="shared" si="228"/>
        <v>2019-02-27</v>
      </c>
      <c r="O2019" t="str">
        <f t="shared" si="229"/>
        <v>2019-02-27</v>
      </c>
    </row>
    <row r="2020" spans="1:15" x14ac:dyDescent="0.2">
      <c r="A2020" s="21" t="str">
        <f t="shared" si="223"/>
        <v>y</v>
      </c>
      <c r="B2020" s="24" t="s">
        <v>1907</v>
      </c>
      <c r="C2020" t="s">
        <v>63</v>
      </c>
      <c r="D2020" t="s">
        <v>13</v>
      </c>
      <c r="E2020" t="s">
        <v>21</v>
      </c>
      <c r="F2020" t="s">
        <v>29</v>
      </c>
      <c r="G2020" t="s">
        <v>233</v>
      </c>
      <c r="H2020" t="s">
        <v>2032</v>
      </c>
      <c r="I2020" s="22" t="str">
        <f t="shared" si="225"/>
        <v>2019-02-27</v>
      </c>
      <c r="J2020" s="23" t="str">
        <f t="shared" si="226"/>
        <v>27</v>
      </c>
      <c r="K2020" t="str">
        <f t="shared" si="227"/>
        <v>no</v>
      </c>
      <c r="L2020">
        <v>27</v>
      </c>
      <c r="M2020" t="str">
        <f t="shared" si="224"/>
        <v>2019-02-27</v>
      </c>
      <c r="N2020" s="20" t="str">
        <f t="shared" si="228"/>
        <v>2019-02-27</v>
      </c>
      <c r="O2020" t="str">
        <f t="shared" si="229"/>
        <v>2019-02-27</v>
      </c>
    </row>
    <row r="2021" spans="1:15" x14ac:dyDescent="0.2">
      <c r="A2021" s="21" t="str">
        <f t="shared" si="223"/>
        <v>y</v>
      </c>
      <c r="B2021" s="24" t="s">
        <v>1908</v>
      </c>
      <c r="C2021" t="s">
        <v>128</v>
      </c>
      <c r="D2021" t="s">
        <v>15</v>
      </c>
      <c r="E2021" t="s">
        <v>49</v>
      </c>
      <c r="F2021" t="s">
        <v>29</v>
      </c>
      <c r="G2021" t="s">
        <v>231</v>
      </c>
      <c r="H2021" t="s">
        <v>2032</v>
      </c>
      <c r="I2021" s="22" t="str">
        <f t="shared" si="225"/>
        <v>2019-02-26</v>
      </c>
      <c r="J2021" s="23" t="str">
        <f t="shared" si="226"/>
        <v>26</v>
      </c>
      <c r="K2021" t="str">
        <f t="shared" si="227"/>
        <v>no</v>
      </c>
      <c r="L2021">
        <v>26</v>
      </c>
      <c r="M2021" t="str">
        <f t="shared" si="224"/>
        <v>2019-02-26</v>
      </c>
      <c r="N2021" s="20" t="str">
        <f t="shared" si="228"/>
        <v>2019-02-26</v>
      </c>
      <c r="O2021" t="str">
        <f t="shared" si="229"/>
        <v>2019-02-26</v>
      </c>
    </row>
    <row r="2022" spans="1:15" x14ac:dyDescent="0.2">
      <c r="A2022" s="21" t="str">
        <f t="shared" si="223"/>
        <v>y</v>
      </c>
      <c r="B2022" s="24" t="s">
        <v>1909</v>
      </c>
      <c r="C2022" t="s">
        <v>128</v>
      </c>
      <c r="D2022" t="s">
        <v>15</v>
      </c>
      <c r="E2022" t="s">
        <v>49</v>
      </c>
      <c r="F2022" t="s">
        <v>29</v>
      </c>
      <c r="G2022" t="s">
        <v>231</v>
      </c>
      <c r="H2022" t="s">
        <v>2032</v>
      </c>
      <c r="I2022" s="22" t="str">
        <f t="shared" si="225"/>
        <v>2019-02-25</v>
      </c>
      <c r="J2022" s="23" t="str">
        <f t="shared" si="226"/>
        <v>25</v>
      </c>
      <c r="K2022" t="str">
        <f t="shared" si="227"/>
        <v>no</v>
      </c>
      <c r="L2022">
        <v>25</v>
      </c>
      <c r="M2022" t="str">
        <f t="shared" si="224"/>
        <v>2019-02-25</v>
      </c>
      <c r="N2022" s="20" t="str">
        <f t="shared" si="228"/>
        <v>2019-02-25</v>
      </c>
      <c r="O2022" t="str">
        <f t="shared" si="229"/>
        <v>2019-02-25</v>
      </c>
    </row>
    <row r="2023" spans="1:15" x14ac:dyDescent="0.2">
      <c r="A2023" s="21" t="str">
        <f t="shared" si="223"/>
        <v>y</v>
      </c>
      <c r="B2023" s="24" t="s">
        <v>1910</v>
      </c>
      <c r="C2023" t="s">
        <v>128</v>
      </c>
      <c r="D2023" t="s">
        <v>15</v>
      </c>
      <c r="E2023" t="s">
        <v>49</v>
      </c>
      <c r="F2023" t="s">
        <v>29</v>
      </c>
      <c r="G2023" t="s">
        <v>230</v>
      </c>
      <c r="H2023" t="s">
        <v>2032</v>
      </c>
      <c r="I2023" s="22" t="str">
        <f t="shared" si="225"/>
        <v>2019-02-24</v>
      </c>
      <c r="J2023" s="23" t="str">
        <f t="shared" si="226"/>
        <v>24</v>
      </c>
      <c r="K2023" t="str">
        <f t="shared" si="227"/>
        <v>no</v>
      </c>
      <c r="L2023">
        <v>24</v>
      </c>
      <c r="M2023" t="str">
        <f t="shared" si="224"/>
        <v>2019-02-24</v>
      </c>
      <c r="N2023" s="20" t="str">
        <f t="shared" si="228"/>
        <v>2019-02-24</v>
      </c>
      <c r="O2023" t="str">
        <f t="shared" si="229"/>
        <v>2019-02-24</v>
      </c>
    </row>
    <row r="2024" spans="1:15" x14ac:dyDescent="0.2">
      <c r="A2024" s="21" t="str">
        <f t="shared" si="223"/>
        <v>y</v>
      </c>
      <c r="B2024" s="24" t="s">
        <v>1911</v>
      </c>
      <c r="C2024" t="s">
        <v>196</v>
      </c>
      <c r="D2024" t="s">
        <v>13</v>
      </c>
      <c r="E2024" t="s">
        <v>43</v>
      </c>
      <c r="F2024" t="s">
        <v>2</v>
      </c>
      <c r="H2024" t="s">
        <v>2032</v>
      </c>
      <c r="I2024" s="22" t="str">
        <f t="shared" si="225"/>
        <v>2019-02-23</v>
      </c>
      <c r="J2024" s="23" t="str">
        <f t="shared" si="226"/>
        <v>23</v>
      </c>
      <c r="K2024" t="str">
        <f t="shared" si="227"/>
        <v>no</v>
      </c>
      <c r="L2024">
        <v>23</v>
      </c>
      <c r="M2024" t="str">
        <f t="shared" si="224"/>
        <v>2019-02-23</v>
      </c>
      <c r="N2024" s="20">
        <f t="shared" si="228"/>
        <v>43520</v>
      </c>
      <c r="O2024" t="str">
        <f t="shared" si="229"/>
        <v>2019-02-24</v>
      </c>
    </row>
    <row r="2025" spans="1:15" x14ac:dyDescent="0.2">
      <c r="A2025" s="21" t="str">
        <f t="shared" si="223"/>
        <v>y</v>
      </c>
      <c r="B2025" s="24" t="s">
        <v>1912</v>
      </c>
      <c r="C2025" t="s">
        <v>196</v>
      </c>
      <c r="D2025" t="s">
        <v>13</v>
      </c>
      <c r="E2025" t="s">
        <v>43</v>
      </c>
      <c r="F2025" t="s">
        <v>2</v>
      </c>
      <c r="H2025" t="s">
        <v>2032</v>
      </c>
      <c r="I2025" s="22" t="str">
        <f t="shared" si="225"/>
        <v>2019-02-21</v>
      </c>
      <c r="J2025" s="23" t="str">
        <f t="shared" si="226"/>
        <v>21</v>
      </c>
      <c r="K2025" t="str">
        <f t="shared" si="227"/>
        <v>no</v>
      </c>
      <c r="L2025">
        <v>21</v>
      </c>
      <c r="M2025" t="str">
        <f t="shared" si="224"/>
        <v>2019-02-21</v>
      </c>
      <c r="N2025" s="20">
        <f t="shared" si="228"/>
        <v>43518</v>
      </c>
      <c r="O2025" t="str">
        <f t="shared" si="229"/>
        <v>2019-02-22</v>
      </c>
    </row>
    <row r="2026" spans="1:15" x14ac:dyDescent="0.2">
      <c r="A2026" s="21" t="str">
        <f t="shared" si="223"/>
        <v>y</v>
      </c>
      <c r="B2026" s="24" t="s">
        <v>1912</v>
      </c>
      <c r="C2026" t="s">
        <v>224</v>
      </c>
      <c r="D2026" t="s">
        <v>13</v>
      </c>
      <c r="E2026" t="s">
        <v>27</v>
      </c>
      <c r="F2026" t="s">
        <v>29</v>
      </c>
      <c r="G2026" t="s">
        <v>228</v>
      </c>
      <c r="H2026" t="s">
        <v>2032</v>
      </c>
      <c r="I2026" s="22" t="str">
        <f t="shared" si="225"/>
        <v>2019-02-21</v>
      </c>
      <c r="J2026" s="23" t="str">
        <f t="shared" si="226"/>
        <v>21</v>
      </c>
      <c r="K2026" t="str">
        <f t="shared" si="227"/>
        <v>no</v>
      </c>
      <c r="L2026">
        <v>21</v>
      </c>
      <c r="M2026" t="str">
        <f t="shared" si="224"/>
        <v>2019-02-21</v>
      </c>
      <c r="N2026" s="20" t="str">
        <f t="shared" si="228"/>
        <v>2019-02-21</v>
      </c>
      <c r="O2026" t="str">
        <f t="shared" si="229"/>
        <v>2019-02-21</v>
      </c>
    </row>
    <row r="2027" spans="1:15" x14ac:dyDescent="0.2">
      <c r="A2027" s="21" t="str">
        <f t="shared" si="223"/>
        <v>y</v>
      </c>
      <c r="B2027" s="24" t="s">
        <v>1912</v>
      </c>
      <c r="C2027" t="s">
        <v>146</v>
      </c>
      <c r="D2027" t="s">
        <v>13</v>
      </c>
      <c r="E2027" t="s">
        <v>27</v>
      </c>
      <c r="F2027" t="s">
        <v>29</v>
      </c>
      <c r="G2027" t="s">
        <v>229</v>
      </c>
      <c r="H2027" t="s">
        <v>2032</v>
      </c>
      <c r="I2027" s="22" t="str">
        <f t="shared" si="225"/>
        <v>2019-02-21</v>
      </c>
      <c r="J2027" s="23" t="str">
        <f t="shared" si="226"/>
        <v>21</v>
      </c>
      <c r="K2027" t="str">
        <f t="shared" si="227"/>
        <v>no</v>
      </c>
      <c r="L2027">
        <v>21</v>
      </c>
      <c r="M2027" t="str">
        <f t="shared" si="224"/>
        <v>2019-02-21</v>
      </c>
      <c r="N2027" s="20" t="str">
        <f t="shared" si="228"/>
        <v>2019-02-21</v>
      </c>
      <c r="O2027" t="str">
        <f t="shared" si="229"/>
        <v>2019-02-21</v>
      </c>
    </row>
    <row r="2028" spans="1:15" x14ac:dyDescent="0.2">
      <c r="A2028" s="21" t="str">
        <f t="shared" si="223"/>
        <v>y</v>
      </c>
      <c r="B2028" s="24" t="s">
        <v>1913</v>
      </c>
      <c r="C2028" t="s">
        <v>196</v>
      </c>
      <c r="D2028" t="s">
        <v>13</v>
      </c>
      <c r="E2028" t="s">
        <v>43</v>
      </c>
      <c r="F2028" t="s">
        <v>2</v>
      </c>
      <c r="H2028" t="s">
        <v>2032</v>
      </c>
      <c r="I2028" s="22" t="str">
        <f t="shared" si="225"/>
        <v>2019-02-20</v>
      </c>
      <c r="J2028" s="23" t="str">
        <f t="shared" si="226"/>
        <v>20</v>
      </c>
      <c r="K2028" t="str">
        <f t="shared" si="227"/>
        <v>no</v>
      </c>
      <c r="L2028">
        <v>20</v>
      </c>
      <c r="M2028" t="str">
        <f t="shared" si="224"/>
        <v>2019-02-20</v>
      </c>
      <c r="N2028" s="20">
        <f t="shared" si="228"/>
        <v>43517</v>
      </c>
      <c r="O2028" t="str">
        <f t="shared" si="229"/>
        <v>2019-02-21</v>
      </c>
    </row>
    <row r="2029" spans="1:15" x14ac:dyDescent="0.2">
      <c r="A2029" s="21" t="str">
        <f t="shared" si="223"/>
        <v>y</v>
      </c>
      <c r="B2029" s="24" t="s">
        <v>1913</v>
      </c>
      <c r="C2029" t="s">
        <v>224</v>
      </c>
      <c r="D2029" t="s">
        <v>13</v>
      </c>
      <c r="E2029" t="s">
        <v>27</v>
      </c>
      <c r="F2029" t="s">
        <v>29</v>
      </c>
      <c r="G2029" t="s">
        <v>227</v>
      </c>
      <c r="H2029" t="s">
        <v>2032</v>
      </c>
      <c r="I2029" s="22" t="str">
        <f t="shared" si="225"/>
        <v>2019-02-20</v>
      </c>
      <c r="J2029" s="23" t="str">
        <f t="shared" si="226"/>
        <v>20</v>
      </c>
      <c r="K2029" t="str">
        <f t="shared" si="227"/>
        <v>no</v>
      </c>
      <c r="L2029">
        <v>20</v>
      </c>
      <c r="M2029" t="str">
        <f t="shared" si="224"/>
        <v>2019-02-20</v>
      </c>
      <c r="N2029" s="20" t="str">
        <f t="shared" si="228"/>
        <v>2019-02-20</v>
      </c>
      <c r="O2029" t="str">
        <f t="shared" si="229"/>
        <v>2019-02-20</v>
      </c>
    </row>
    <row r="2030" spans="1:15" x14ac:dyDescent="0.2">
      <c r="A2030" s="21" t="str">
        <f t="shared" si="223"/>
        <v>y</v>
      </c>
      <c r="B2030" s="24" t="s">
        <v>1914</v>
      </c>
      <c r="C2030" t="s">
        <v>196</v>
      </c>
      <c r="D2030" t="s">
        <v>13</v>
      </c>
      <c r="E2030" t="s">
        <v>43</v>
      </c>
      <c r="F2030" t="s">
        <v>2</v>
      </c>
      <c r="H2030" t="s">
        <v>2032</v>
      </c>
      <c r="I2030" s="22" t="str">
        <f t="shared" si="225"/>
        <v>2019-02-19</v>
      </c>
      <c r="J2030" s="23" t="str">
        <f t="shared" si="226"/>
        <v>19</v>
      </c>
      <c r="K2030" t="str">
        <f t="shared" si="227"/>
        <v>no</v>
      </c>
      <c r="L2030">
        <v>19</v>
      </c>
      <c r="M2030" t="str">
        <f t="shared" si="224"/>
        <v>2019-02-19</v>
      </c>
      <c r="N2030" s="20">
        <f t="shared" si="228"/>
        <v>43516</v>
      </c>
      <c r="O2030" t="str">
        <f t="shared" si="229"/>
        <v>2019-02-20</v>
      </c>
    </row>
    <row r="2031" spans="1:15" x14ac:dyDescent="0.2">
      <c r="A2031" s="21" t="str">
        <f t="shared" si="223"/>
        <v>y</v>
      </c>
      <c r="B2031" s="24" t="s">
        <v>1914</v>
      </c>
      <c r="C2031" t="s">
        <v>224</v>
      </c>
      <c r="D2031" t="s">
        <v>13</v>
      </c>
      <c r="E2031" t="s">
        <v>27</v>
      </c>
      <c r="F2031" t="s">
        <v>29</v>
      </c>
      <c r="G2031" t="s">
        <v>226</v>
      </c>
      <c r="H2031" t="s">
        <v>2032</v>
      </c>
      <c r="I2031" s="22" t="str">
        <f t="shared" si="225"/>
        <v>2019-02-19</v>
      </c>
      <c r="J2031" s="23" t="str">
        <f t="shared" si="226"/>
        <v>19</v>
      </c>
      <c r="K2031" t="str">
        <f t="shared" si="227"/>
        <v>no</v>
      </c>
      <c r="L2031">
        <v>19</v>
      </c>
      <c r="M2031" t="str">
        <f t="shared" si="224"/>
        <v>2019-02-19</v>
      </c>
      <c r="N2031" s="20" t="str">
        <f t="shared" si="228"/>
        <v>2019-02-19</v>
      </c>
      <c r="O2031" t="str">
        <f t="shared" si="229"/>
        <v>2019-02-19</v>
      </c>
    </row>
    <row r="2032" spans="1:15" x14ac:dyDescent="0.2">
      <c r="A2032" s="21" t="str">
        <f t="shared" si="223"/>
        <v>y</v>
      </c>
      <c r="B2032" s="24" t="s">
        <v>1915</v>
      </c>
      <c r="C2032" t="s">
        <v>196</v>
      </c>
      <c r="D2032" t="s">
        <v>13</v>
      </c>
      <c r="E2032" t="s">
        <v>43</v>
      </c>
      <c r="F2032" t="s">
        <v>2</v>
      </c>
      <c r="H2032" t="s">
        <v>2032</v>
      </c>
      <c r="I2032" s="22" t="str">
        <f t="shared" si="225"/>
        <v>2019-02-18</v>
      </c>
      <c r="J2032" s="23" t="str">
        <f t="shared" si="226"/>
        <v>18</v>
      </c>
      <c r="K2032" t="str">
        <f t="shared" si="227"/>
        <v>no</v>
      </c>
      <c r="L2032">
        <v>18</v>
      </c>
      <c r="M2032" t="str">
        <f t="shared" si="224"/>
        <v>2019-02-18</v>
      </c>
      <c r="N2032" s="20">
        <f t="shared" si="228"/>
        <v>43515</v>
      </c>
      <c r="O2032" t="str">
        <f t="shared" si="229"/>
        <v>2019-02-19</v>
      </c>
    </row>
    <row r="2033" spans="1:15" x14ac:dyDescent="0.2">
      <c r="A2033" s="21" t="str">
        <f t="shared" si="223"/>
        <v>y</v>
      </c>
      <c r="B2033" s="24" t="s">
        <v>1915</v>
      </c>
      <c r="C2033" t="s">
        <v>220</v>
      </c>
      <c r="D2033" t="s">
        <v>13</v>
      </c>
      <c r="E2033" t="s">
        <v>27</v>
      </c>
      <c r="F2033" t="s">
        <v>29</v>
      </c>
      <c r="G2033" t="s">
        <v>223</v>
      </c>
      <c r="H2033" t="s">
        <v>2032</v>
      </c>
      <c r="I2033" s="22" t="str">
        <f t="shared" si="225"/>
        <v>2019-02-18</v>
      </c>
      <c r="J2033" s="23" t="str">
        <f t="shared" si="226"/>
        <v>18</v>
      </c>
      <c r="K2033" t="str">
        <f t="shared" si="227"/>
        <v>no</v>
      </c>
      <c r="L2033">
        <v>18</v>
      </c>
      <c r="M2033" t="str">
        <f t="shared" si="224"/>
        <v>2019-02-18</v>
      </c>
      <c r="N2033" s="20" t="str">
        <f t="shared" si="228"/>
        <v>2019-02-18</v>
      </c>
      <c r="O2033" t="str">
        <f t="shared" si="229"/>
        <v>2019-02-18</v>
      </c>
    </row>
    <row r="2034" spans="1:15" x14ac:dyDescent="0.2">
      <c r="A2034" s="21" t="str">
        <f t="shared" si="223"/>
        <v>y</v>
      </c>
      <c r="B2034" s="24" t="s">
        <v>1915</v>
      </c>
      <c r="C2034" t="s">
        <v>224</v>
      </c>
      <c r="D2034" t="s">
        <v>13</v>
      </c>
      <c r="E2034" t="s">
        <v>4</v>
      </c>
      <c r="F2034" t="s">
        <v>29</v>
      </c>
      <c r="G2034" t="s">
        <v>225</v>
      </c>
      <c r="H2034" t="s">
        <v>2032</v>
      </c>
      <c r="I2034" s="22" t="str">
        <f t="shared" si="225"/>
        <v>2019-02-18</v>
      </c>
      <c r="J2034" s="23" t="str">
        <f t="shared" si="226"/>
        <v>18</v>
      </c>
      <c r="K2034" t="str">
        <f t="shared" si="227"/>
        <v>no</v>
      </c>
      <c r="L2034">
        <v>18</v>
      </c>
      <c r="M2034" t="str">
        <f t="shared" si="224"/>
        <v>2019-02-18</v>
      </c>
      <c r="N2034" s="20" t="str">
        <f t="shared" si="228"/>
        <v>2019-02-18</v>
      </c>
      <c r="O2034" t="str">
        <f t="shared" si="229"/>
        <v>2019-02-18</v>
      </c>
    </row>
    <row r="2035" spans="1:15" x14ac:dyDescent="0.2">
      <c r="A2035" s="21" t="str">
        <f t="shared" si="223"/>
        <v>y</v>
      </c>
      <c r="B2035" s="24" t="s">
        <v>1915</v>
      </c>
      <c r="C2035" t="s">
        <v>224</v>
      </c>
      <c r="D2035" t="s">
        <v>13</v>
      </c>
      <c r="E2035" t="s">
        <v>27</v>
      </c>
      <c r="F2035" t="s">
        <v>2</v>
      </c>
      <c r="G2035" t="s">
        <v>225</v>
      </c>
      <c r="H2035" t="s">
        <v>2032</v>
      </c>
      <c r="I2035" s="22" t="str">
        <f t="shared" si="225"/>
        <v>2019-02-18</v>
      </c>
      <c r="J2035" s="23" t="str">
        <f t="shared" si="226"/>
        <v>18</v>
      </c>
      <c r="K2035" t="str">
        <f t="shared" si="227"/>
        <v>no</v>
      </c>
      <c r="L2035">
        <v>18</v>
      </c>
      <c r="M2035" t="str">
        <f t="shared" si="224"/>
        <v>2019-02-18</v>
      </c>
      <c r="N2035" s="20">
        <f t="shared" si="228"/>
        <v>43515</v>
      </c>
      <c r="O2035" t="str">
        <f t="shared" si="229"/>
        <v>2019-02-19</v>
      </c>
    </row>
    <row r="2036" spans="1:15" x14ac:dyDescent="0.2">
      <c r="A2036" s="21" t="str">
        <f t="shared" si="223"/>
        <v>y</v>
      </c>
      <c r="B2036" s="24" t="s">
        <v>1916</v>
      </c>
      <c r="C2036" t="s">
        <v>196</v>
      </c>
      <c r="D2036" t="s">
        <v>13</v>
      </c>
      <c r="E2036" t="s">
        <v>27</v>
      </c>
      <c r="F2036" t="s">
        <v>29</v>
      </c>
      <c r="G2036" t="s">
        <v>221</v>
      </c>
      <c r="H2036" t="s">
        <v>2032</v>
      </c>
      <c r="I2036" s="22" t="str">
        <f t="shared" ref="I2036:I2067" si="230">IF(K2036="yes",TEXT(B2036,"YYYY-DD-MM"),TEXT(B2036,"YYYY-MM-DD"))</f>
        <v>2019-02-17</v>
      </c>
      <c r="J2036" s="23" t="str">
        <f t="shared" ref="J2036:J2067" si="231">LEFT(B2036,2)</f>
        <v>17</v>
      </c>
      <c r="K2036" t="str">
        <f t="shared" ref="K2036:K2067" si="232">IF(L2036&gt;31,"yes","no")</f>
        <v>no</v>
      </c>
      <c r="L2036">
        <v>17</v>
      </c>
      <c r="M2036" t="str">
        <f t="shared" si="224"/>
        <v>2019-02-17</v>
      </c>
      <c r="N2036" s="20" t="str">
        <f t="shared" ref="N2036:N2067" si="233">IF(F2036="DONE",M2036,M2036+1)</f>
        <v>2019-02-17</v>
      </c>
      <c r="O2036" t="str">
        <f t="shared" ref="O2036:O2067" si="234">TEXT(N2036,"YYYY-MM-DD")</f>
        <v>2019-02-17</v>
      </c>
    </row>
    <row r="2037" spans="1:15" x14ac:dyDescent="0.2">
      <c r="A2037" s="21" t="str">
        <f t="shared" si="223"/>
        <v>y</v>
      </c>
      <c r="B2037" s="24" t="s">
        <v>1916</v>
      </c>
      <c r="C2037" t="s">
        <v>220</v>
      </c>
      <c r="D2037" t="s">
        <v>13</v>
      </c>
      <c r="E2037" t="s">
        <v>27</v>
      </c>
      <c r="F2037" t="s">
        <v>29</v>
      </c>
      <c r="G2037" t="s">
        <v>222</v>
      </c>
      <c r="H2037" t="s">
        <v>2101</v>
      </c>
      <c r="I2037" s="22" t="str">
        <f t="shared" si="230"/>
        <v>2019-02-17</v>
      </c>
      <c r="J2037" s="23" t="str">
        <f t="shared" si="231"/>
        <v>17</v>
      </c>
      <c r="K2037" t="str">
        <f t="shared" si="232"/>
        <v>no</v>
      </c>
      <c r="L2037">
        <v>17</v>
      </c>
      <c r="M2037" t="str">
        <f t="shared" si="224"/>
        <v>2019-02-17</v>
      </c>
      <c r="N2037" s="20" t="str">
        <f t="shared" si="233"/>
        <v>2019-02-17</v>
      </c>
      <c r="O2037" t="str">
        <f t="shared" si="234"/>
        <v>2019-02-17</v>
      </c>
    </row>
    <row r="2038" spans="1:15" x14ac:dyDescent="0.2">
      <c r="A2038" s="21" t="str">
        <f t="shared" si="223"/>
        <v>y</v>
      </c>
      <c r="B2038" s="24" t="s">
        <v>1917</v>
      </c>
      <c r="C2038" t="s">
        <v>196</v>
      </c>
      <c r="D2038" t="s">
        <v>13</v>
      </c>
      <c r="E2038" t="s">
        <v>27</v>
      </c>
      <c r="F2038" t="s">
        <v>2</v>
      </c>
      <c r="H2038" t="s">
        <v>2032</v>
      </c>
      <c r="I2038" s="22" t="str">
        <f t="shared" si="230"/>
        <v>2019-02-16</v>
      </c>
      <c r="J2038" s="23" t="str">
        <f t="shared" si="231"/>
        <v>16</v>
      </c>
      <c r="K2038" t="str">
        <f t="shared" si="232"/>
        <v>no</v>
      </c>
      <c r="L2038">
        <v>16</v>
      </c>
      <c r="M2038" t="str">
        <f t="shared" si="224"/>
        <v>2019-02-16</v>
      </c>
      <c r="N2038" s="20">
        <f t="shared" si="233"/>
        <v>43513</v>
      </c>
      <c r="O2038" t="str">
        <f t="shared" si="234"/>
        <v>2019-02-17</v>
      </c>
    </row>
    <row r="2039" spans="1:15" x14ac:dyDescent="0.2">
      <c r="A2039" s="21" t="str">
        <f t="shared" si="223"/>
        <v>y</v>
      </c>
      <c r="B2039" s="24" t="s">
        <v>1918</v>
      </c>
      <c r="C2039" t="s">
        <v>216</v>
      </c>
      <c r="D2039" t="s">
        <v>13</v>
      </c>
      <c r="E2039" t="s">
        <v>27</v>
      </c>
      <c r="F2039" t="s">
        <v>29</v>
      </c>
      <c r="G2039" t="s">
        <v>219</v>
      </c>
      <c r="H2039" t="s">
        <v>2032</v>
      </c>
      <c r="I2039" s="22" t="str">
        <f t="shared" si="230"/>
        <v>2019-02-14</v>
      </c>
      <c r="J2039" s="23" t="str">
        <f t="shared" si="231"/>
        <v>14</v>
      </c>
      <c r="K2039" t="str">
        <f t="shared" si="232"/>
        <v>no</v>
      </c>
      <c r="L2039">
        <v>14</v>
      </c>
      <c r="M2039" t="str">
        <f t="shared" si="224"/>
        <v>2019-02-14</v>
      </c>
      <c r="N2039" s="20" t="str">
        <f t="shared" si="233"/>
        <v>2019-02-14</v>
      </c>
      <c r="O2039" t="str">
        <f t="shared" si="234"/>
        <v>2019-02-14</v>
      </c>
    </row>
    <row r="2040" spans="1:15" x14ac:dyDescent="0.2">
      <c r="A2040" s="21" t="str">
        <f t="shared" si="223"/>
        <v>y</v>
      </c>
      <c r="B2040" s="24" t="s">
        <v>1919</v>
      </c>
      <c r="C2040" t="s">
        <v>216</v>
      </c>
      <c r="D2040" t="s">
        <v>13</v>
      </c>
      <c r="E2040" t="s">
        <v>27</v>
      </c>
      <c r="F2040" t="s">
        <v>29</v>
      </c>
      <c r="G2040" t="s">
        <v>218</v>
      </c>
      <c r="H2040" t="s">
        <v>2032</v>
      </c>
      <c r="I2040" s="22" t="str">
        <f t="shared" si="230"/>
        <v>2019-02-13</v>
      </c>
      <c r="J2040" s="23" t="str">
        <f t="shared" si="231"/>
        <v>13</v>
      </c>
      <c r="K2040" t="str">
        <f t="shared" si="232"/>
        <v>no</v>
      </c>
      <c r="L2040">
        <v>13</v>
      </c>
      <c r="M2040" t="str">
        <f t="shared" si="224"/>
        <v>2019-02-13</v>
      </c>
      <c r="N2040" s="20" t="str">
        <f t="shared" si="233"/>
        <v>2019-02-13</v>
      </c>
      <c r="O2040" t="str">
        <f t="shared" si="234"/>
        <v>2019-02-13</v>
      </c>
    </row>
    <row r="2041" spans="1:15" x14ac:dyDescent="0.2">
      <c r="A2041" s="21" t="str">
        <f t="shared" si="223"/>
        <v>y</v>
      </c>
      <c r="B2041" s="24">
        <v>43801</v>
      </c>
      <c r="C2041" t="s">
        <v>209</v>
      </c>
      <c r="D2041" t="s">
        <v>14</v>
      </c>
      <c r="E2041" t="s">
        <v>8</v>
      </c>
      <c r="F2041" t="s">
        <v>2</v>
      </c>
      <c r="G2041" t="s">
        <v>215</v>
      </c>
      <c r="H2041" t="s">
        <v>2101</v>
      </c>
      <c r="I2041" s="22" t="str">
        <f t="shared" si="230"/>
        <v>2019-02-12</v>
      </c>
      <c r="J2041" s="23" t="str">
        <f t="shared" si="231"/>
        <v>43</v>
      </c>
      <c r="K2041" t="str">
        <f t="shared" si="232"/>
        <v>yes</v>
      </c>
      <c r="L2041">
        <v>43</v>
      </c>
      <c r="M2041" t="str">
        <f t="shared" si="224"/>
        <v>2019-02-12</v>
      </c>
      <c r="N2041" s="20">
        <f t="shared" si="233"/>
        <v>43509</v>
      </c>
      <c r="O2041" t="str">
        <f t="shared" si="234"/>
        <v>2019-02-13</v>
      </c>
    </row>
    <row r="2042" spans="1:15" x14ac:dyDescent="0.2">
      <c r="A2042" s="21" t="str">
        <f t="shared" si="223"/>
        <v>y</v>
      </c>
      <c r="B2042" s="24">
        <v>43801</v>
      </c>
      <c r="C2042" t="s">
        <v>216</v>
      </c>
      <c r="D2042" t="s">
        <v>13</v>
      </c>
      <c r="E2042" t="s">
        <v>8</v>
      </c>
      <c r="F2042" t="s">
        <v>2</v>
      </c>
      <c r="G2042" t="s">
        <v>217</v>
      </c>
      <c r="H2042" t="s">
        <v>2032</v>
      </c>
      <c r="I2042" s="22" t="str">
        <f t="shared" si="230"/>
        <v>2019-02-12</v>
      </c>
      <c r="J2042" s="23" t="str">
        <f t="shared" si="231"/>
        <v>43</v>
      </c>
      <c r="K2042" t="str">
        <f t="shared" si="232"/>
        <v>yes</v>
      </c>
      <c r="L2042">
        <v>43</v>
      </c>
      <c r="M2042" t="str">
        <f t="shared" si="224"/>
        <v>2019-02-12</v>
      </c>
      <c r="N2042" s="20">
        <f t="shared" si="233"/>
        <v>43509</v>
      </c>
      <c r="O2042" t="str">
        <f t="shared" si="234"/>
        <v>2019-02-13</v>
      </c>
    </row>
    <row r="2043" spans="1:15" x14ac:dyDescent="0.2">
      <c r="A2043" s="21" t="str">
        <f t="shared" si="223"/>
        <v>y</v>
      </c>
      <c r="B2043" s="24">
        <v>43771</v>
      </c>
      <c r="C2043" t="s">
        <v>208</v>
      </c>
      <c r="D2043" t="s">
        <v>13</v>
      </c>
      <c r="E2043" t="s">
        <v>64</v>
      </c>
      <c r="F2043" t="s">
        <v>29</v>
      </c>
      <c r="G2043" t="s">
        <v>212</v>
      </c>
      <c r="H2043" t="s">
        <v>2032</v>
      </c>
      <c r="I2043" s="22" t="str">
        <f t="shared" si="230"/>
        <v>2019-02-11</v>
      </c>
      <c r="J2043" s="23" t="str">
        <f t="shared" si="231"/>
        <v>43</v>
      </c>
      <c r="K2043" t="str">
        <f t="shared" si="232"/>
        <v>yes</v>
      </c>
      <c r="L2043">
        <v>43</v>
      </c>
      <c r="M2043" t="str">
        <f t="shared" si="224"/>
        <v>2019-02-11</v>
      </c>
      <c r="N2043" s="20" t="str">
        <f t="shared" si="233"/>
        <v>2019-02-11</v>
      </c>
      <c r="O2043" t="str">
        <f t="shared" si="234"/>
        <v>2019-02-11</v>
      </c>
    </row>
    <row r="2044" spans="1:15" x14ac:dyDescent="0.2">
      <c r="A2044" s="21" t="str">
        <f t="shared" si="223"/>
        <v>y</v>
      </c>
      <c r="B2044" s="24">
        <v>43771</v>
      </c>
      <c r="C2044" t="s">
        <v>209</v>
      </c>
      <c r="D2044" t="s">
        <v>14</v>
      </c>
      <c r="E2044" t="s">
        <v>8</v>
      </c>
      <c r="F2044" t="s">
        <v>29</v>
      </c>
      <c r="G2044" t="s">
        <v>213</v>
      </c>
      <c r="H2044" t="s">
        <v>2032</v>
      </c>
      <c r="I2044" s="22" t="str">
        <f t="shared" si="230"/>
        <v>2019-02-11</v>
      </c>
      <c r="J2044" s="23" t="str">
        <f t="shared" si="231"/>
        <v>43</v>
      </c>
      <c r="K2044" t="str">
        <f t="shared" si="232"/>
        <v>yes</v>
      </c>
      <c r="L2044">
        <v>43</v>
      </c>
      <c r="M2044" t="str">
        <f t="shared" si="224"/>
        <v>2019-02-11</v>
      </c>
      <c r="N2044" s="20" t="str">
        <f t="shared" si="233"/>
        <v>2019-02-11</v>
      </c>
      <c r="O2044" t="str">
        <f t="shared" si="234"/>
        <v>2019-02-11</v>
      </c>
    </row>
    <row r="2045" spans="1:15" x14ac:dyDescent="0.2">
      <c r="A2045" s="21" t="str">
        <f t="shared" si="223"/>
        <v>y</v>
      </c>
      <c r="B2045" s="24">
        <v>43771</v>
      </c>
      <c r="C2045" t="s">
        <v>198</v>
      </c>
      <c r="D2045" t="s">
        <v>13</v>
      </c>
      <c r="E2045" t="s">
        <v>27</v>
      </c>
      <c r="F2045" t="s">
        <v>29</v>
      </c>
      <c r="G2045" t="s">
        <v>214</v>
      </c>
      <c r="H2045" t="s">
        <v>2032</v>
      </c>
      <c r="I2045" s="22" t="str">
        <f t="shared" si="230"/>
        <v>2019-02-11</v>
      </c>
      <c r="J2045" s="23" t="str">
        <f t="shared" si="231"/>
        <v>43</v>
      </c>
      <c r="K2045" t="str">
        <f t="shared" si="232"/>
        <v>yes</v>
      </c>
      <c r="L2045">
        <v>43</v>
      </c>
      <c r="M2045" t="str">
        <f t="shared" si="224"/>
        <v>2019-02-11</v>
      </c>
      <c r="N2045" s="20" t="str">
        <f t="shared" si="233"/>
        <v>2019-02-11</v>
      </c>
      <c r="O2045" t="str">
        <f t="shared" si="234"/>
        <v>2019-02-11</v>
      </c>
    </row>
    <row r="2046" spans="1:15" x14ac:dyDescent="0.2">
      <c r="A2046" s="21" t="str">
        <f t="shared" si="223"/>
        <v>y</v>
      </c>
      <c r="B2046" s="24">
        <v>43740</v>
      </c>
      <c r="C2046" t="s">
        <v>208</v>
      </c>
      <c r="D2046" t="s">
        <v>13</v>
      </c>
      <c r="E2046" t="s">
        <v>64</v>
      </c>
      <c r="F2046" t="s">
        <v>2</v>
      </c>
      <c r="G2046" t="s">
        <v>211</v>
      </c>
      <c r="H2046" t="s">
        <v>2101</v>
      </c>
      <c r="I2046" s="22" t="str">
        <f t="shared" si="230"/>
        <v>2019-02-10</v>
      </c>
      <c r="J2046" s="23" t="str">
        <f t="shared" si="231"/>
        <v>43</v>
      </c>
      <c r="K2046" t="str">
        <f t="shared" si="232"/>
        <v>yes</v>
      </c>
      <c r="L2046">
        <v>43</v>
      </c>
      <c r="M2046" t="str">
        <f t="shared" si="224"/>
        <v>2019-02-10</v>
      </c>
      <c r="N2046" s="20">
        <f t="shared" si="233"/>
        <v>43507</v>
      </c>
      <c r="O2046" t="str">
        <f t="shared" si="234"/>
        <v>2019-02-11</v>
      </c>
    </row>
    <row r="2047" spans="1:15" x14ac:dyDescent="0.2">
      <c r="A2047" s="21" t="str">
        <f t="shared" si="223"/>
        <v>y</v>
      </c>
      <c r="B2047" s="24">
        <v>43740</v>
      </c>
      <c r="C2047" t="s">
        <v>209</v>
      </c>
      <c r="D2047" t="s">
        <v>14</v>
      </c>
      <c r="E2047" t="s">
        <v>61</v>
      </c>
      <c r="F2047" t="s">
        <v>29</v>
      </c>
      <c r="G2047" t="s">
        <v>210</v>
      </c>
      <c r="H2047" t="s">
        <v>2032</v>
      </c>
      <c r="I2047" s="22" t="str">
        <f t="shared" si="230"/>
        <v>2019-02-10</v>
      </c>
      <c r="J2047" s="23" t="str">
        <f t="shared" si="231"/>
        <v>43</v>
      </c>
      <c r="K2047" t="str">
        <f t="shared" si="232"/>
        <v>yes</v>
      </c>
      <c r="L2047">
        <v>43</v>
      </c>
      <c r="M2047" t="str">
        <f t="shared" si="224"/>
        <v>2019-02-10</v>
      </c>
      <c r="N2047" s="20" t="str">
        <f t="shared" si="233"/>
        <v>2019-02-10</v>
      </c>
      <c r="O2047" t="str">
        <f t="shared" si="234"/>
        <v>2019-02-10</v>
      </c>
    </row>
    <row r="2048" spans="1:15" x14ac:dyDescent="0.2">
      <c r="A2048" s="21" t="str">
        <f t="shared" si="223"/>
        <v>y</v>
      </c>
      <c r="B2048" s="24">
        <v>43648</v>
      </c>
      <c r="C2048" t="s">
        <v>196</v>
      </c>
      <c r="D2048" t="s">
        <v>13</v>
      </c>
      <c r="E2048" t="s">
        <v>27</v>
      </c>
      <c r="F2048" t="s">
        <v>2</v>
      </c>
      <c r="H2048" t="s">
        <v>2101</v>
      </c>
      <c r="I2048" s="22" t="str">
        <f t="shared" si="230"/>
        <v>2019-02-07</v>
      </c>
      <c r="J2048" s="23" t="str">
        <f t="shared" si="231"/>
        <v>43</v>
      </c>
      <c r="K2048" t="str">
        <f t="shared" si="232"/>
        <v>yes</v>
      </c>
      <c r="L2048">
        <v>43</v>
      </c>
      <c r="M2048" t="str">
        <f t="shared" si="224"/>
        <v>2019-02-07</v>
      </c>
      <c r="N2048" s="20">
        <f t="shared" si="233"/>
        <v>43504</v>
      </c>
      <c r="O2048" t="str">
        <f t="shared" si="234"/>
        <v>2019-02-08</v>
      </c>
    </row>
    <row r="2049" spans="1:15" x14ac:dyDescent="0.2">
      <c r="A2049" s="21" t="str">
        <f t="shared" si="223"/>
        <v>y</v>
      </c>
      <c r="B2049" s="24">
        <v>43648</v>
      </c>
      <c r="C2049" t="s">
        <v>198</v>
      </c>
      <c r="D2049" t="s">
        <v>13</v>
      </c>
      <c r="E2049" t="s">
        <v>27</v>
      </c>
      <c r="F2049" t="s">
        <v>2</v>
      </c>
      <c r="H2049" t="s">
        <v>2032</v>
      </c>
      <c r="I2049" s="22" t="str">
        <f t="shared" si="230"/>
        <v>2019-02-07</v>
      </c>
      <c r="J2049" s="23" t="str">
        <f t="shared" si="231"/>
        <v>43</v>
      </c>
      <c r="K2049" t="str">
        <f t="shared" si="232"/>
        <v>yes</v>
      </c>
      <c r="L2049">
        <v>43</v>
      </c>
      <c r="M2049" t="str">
        <f t="shared" si="224"/>
        <v>2019-02-07</v>
      </c>
      <c r="N2049" s="20">
        <f t="shared" si="233"/>
        <v>43504</v>
      </c>
      <c r="O2049" t="str">
        <f t="shared" si="234"/>
        <v>2019-02-08</v>
      </c>
    </row>
    <row r="2050" spans="1:15" x14ac:dyDescent="0.2">
      <c r="A2050" s="21" t="str">
        <f t="shared" ref="A2050:A2113" si="235">IF(LEFT(B2050,2)&gt;12,"y","-")</f>
        <v>y</v>
      </c>
      <c r="B2050" s="24">
        <v>43618</v>
      </c>
      <c r="C2050" t="s">
        <v>196</v>
      </c>
      <c r="D2050" t="s">
        <v>13</v>
      </c>
      <c r="E2050" t="s">
        <v>4</v>
      </c>
      <c r="F2050" t="s">
        <v>29</v>
      </c>
      <c r="G2050" t="s">
        <v>207</v>
      </c>
      <c r="H2050" t="s">
        <v>2026</v>
      </c>
      <c r="I2050" s="22" t="str">
        <f t="shared" si="230"/>
        <v>2019-02-06</v>
      </c>
      <c r="J2050" s="23" t="str">
        <f t="shared" si="231"/>
        <v>43</v>
      </c>
      <c r="K2050" t="str">
        <f t="shared" si="232"/>
        <v>yes</v>
      </c>
      <c r="L2050">
        <v>43</v>
      </c>
      <c r="M2050" t="str">
        <f t="shared" ref="M2050:M2113" si="236">I2050</f>
        <v>2019-02-06</v>
      </c>
      <c r="N2050" s="20" t="str">
        <f t="shared" si="233"/>
        <v>2019-02-06</v>
      </c>
      <c r="O2050" t="str">
        <f t="shared" si="234"/>
        <v>2019-02-06</v>
      </c>
    </row>
    <row r="2051" spans="1:15" x14ac:dyDescent="0.2">
      <c r="A2051" s="21" t="str">
        <f t="shared" si="235"/>
        <v>y</v>
      </c>
      <c r="B2051" s="24">
        <v>43618</v>
      </c>
      <c r="C2051" t="s">
        <v>205</v>
      </c>
      <c r="D2051" t="s">
        <v>13</v>
      </c>
      <c r="E2051" t="s">
        <v>27</v>
      </c>
      <c r="F2051" t="s">
        <v>29</v>
      </c>
      <c r="G2051" t="s">
        <v>206</v>
      </c>
      <c r="H2051" t="s">
        <v>2032</v>
      </c>
      <c r="I2051" s="22" t="str">
        <f t="shared" si="230"/>
        <v>2019-02-06</v>
      </c>
      <c r="J2051" s="23" t="str">
        <f t="shared" si="231"/>
        <v>43</v>
      </c>
      <c r="K2051" t="str">
        <f t="shared" si="232"/>
        <v>yes</v>
      </c>
      <c r="L2051">
        <v>43</v>
      </c>
      <c r="M2051" t="str">
        <f t="shared" si="236"/>
        <v>2019-02-06</v>
      </c>
      <c r="N2051" s="20" t="str">
        <f t="shared" si="233"/>
        <v>2019-02-06</v>
      </c>
      <c r="O2051" t="str">
        <f t="shared" si="234"/>
        <v>2019-02-06</v>
      </c>
    </row>
    <row r="2052" spans="1:15" x14ac:dyDescent="0.2">
      <c r="A2052" s="21" t="str">
        <f t="shared" si="235"/>
        <v>y</v>
      </c>
      <c r="B2052" s="24">
        <v>43618</v>
      </c>
      <c r="C2052" t="s">
        <v>196</v>
      </c>
      <c r="D2052" t="s">
        <v>13</v>
      </c>
      <c r="E2052" t="s">
        <v>27</v>
      </c>
      <c r="F2052" t="s">
        <v>2</v>
      </c>
      <c r="H2052" t="s">
        <v>2032</v>
      </c>
      <c r="I2052" s="22" t="str">
        <f t="shared" si="230"/>
        <v>2019-02-06</v>
      </c>
      <c r="J2052" s="23" t="str">
        <f t="shared" si="231"/>
        <v>43</v>
      </c>
      <c r="K2052" t="str">
        <f t="shared" si="232"/>
        <v>yes</v>
      </c>
      <c r="L2052">
        <v>43</v>
      </c>
      <c r="M2052" t="str">
        <f t="shared" si="236"/>
        <v>2019-02-06</v>
      </c>
      <c r="N2052" s="20">
        <f t="shared" si="233"/>
        <v>43503</v>
      </c>
      <c r="O2052" t="str">
        <f t="shared" si="234"/>
        <v>2019-02-07</v>
      </c>
    </row>
    <row r="2053" spans="1:15" x14ac:dyDescent="0.2">
      <c r="A2053" s="21" t="str">
        <f t="shared" si="235"/>
        <v>y</v>
      </c>
      <c r="B2053" s="24">
        <v>43618</v>
      </c>
      <c r="C2053" t="s">
        <v>198</v>
      </c>
      <c r="D2053" t="s">
        <v>13</v>
      </c>
      <c r="E2053" t="s">
        <v>27</v>
      </c>
      <c r="F2053" t="s">
        <v>2</v>
      </c>
      <c r="G2053" t="s">
        <v>203</v>
      </c>
      <c r="H2053" t="s">
        <v>2102</v>
      </c>
      <c r="I2053" s="22" t="str">
        <f t="shared" si="230"/>
        <v>2019-02-06</v>
      </c>
      <c r="J2053" s="23" t="str">
        <f t="shared" si="231"/>
        <v>43</v>
      </c>
      <c r="K2053" t="str">
        <f t="shared" si="232"/>
        <v>yes</v>
      </c>
      <c r="L2053">
        <v>43</v>
      </c>
      <c r="M2053" t="str">
        <f t="shared" si="236"/>
        <v>2019-02-06</v>
      </c>
      <c r="N2053" s="20">
        <f t="shared" si="233"/>
        <v>43503</v>
      </c>
      <c r="O2053" t="str">
        <f t="shared" si="234"/>
        <v>2019-02-07</v>
      </c>
    </row>
    <row r="2054" spans="1:15" x14ac:dyDescent="0.2">
      <c r="A2054" s="21" t="str">
        <f t="shared" si="235"/>
        <v>y</v>
      </c>
      <c r="B2054" s="24">
        <v>43587</v>
      </c>
      <c r="C2054" t="s">
        <v>146</v>
      </c>
      <c r="D2054" t="s">
        <v>13</v>
      </c>
      <c r="E2054" t="s">
        <v>27</v>
      </c>
      <c r="F2054" t="s">
        <v>29</v>
      </c>
      <c r="G2054" t="s">
        <v>204</v>
      </c>
      <c r="H2054" t="s">
        <v>2032</v>
      </c>
      <c r="I2054" s="22" t="str">
        <f t="shared" si="230"/>
        <v>2019-02-05</v>
      </c>
      <c r="J2054" s="23" t="str">
        <f t="shared" si="231"/>
        <v>43</v>
      </c>
      <c r="K2054" t="str">
        <f t="shared" si="232"/>
        <v>yes</v>
      </c>
      <c r="L2054">
        <v>43</v>
      </c>
      <c r="M2054" t="str">
        <f t="shared" si="236"/>
        <v>2019-02-05</v>
      </c>
      <c r="N2054" s="20" t="str">
        <f t="shared" si="233"/>
        <v>2019-02-05</v>
      </c>
      <c r="O2054" t="str">
        <f t="shared" si="234"/>
        <v>2019-02-05</v>
      </c>
    </row>
    <row r="2055" spans="1:15" x14ac:dyDescent="0.2">
      <c r="A2055" s="21" t="str">
        <f t="shared" si="235"/>
        <v>y</v>
      </c>
      <c r="B2055" s="24">
        <v>43557</v>
      </c>
      <c r="C2055" t="s">
        <v>198</v>
      </c>
      <c r="D2055" t="s">
        <v>13</v>
      </c>
      <c r="E2055" t="s">
        <v>8</v>
      </c>
      <c r="F2055" t="s">
        <v>2</v>
      </c>
      <c r="G2055" t="s">
        <v>203</v>
      </c>
      <c r="H2055" t="s">
        <v>2032</v>
      </c>
      <c r="I2055" s="22" t="str">
        <f t="shared" si="230"/>
        <v>2019-02-04</v>
      </c>
      <c r="J2055" s="23" t="str">
        <f t="shared" si="231"/>
        <v>43</v>
      </c>
      <c r="K2055" t="str">
        <f t="shared" si="232"/>
        <v>yes</v>
      </c>
      <c r="L2055">
        <v>43</v>
      </c>
      <c r="M2055" t="str">
        <f t="shared" si="236"/>
        <v>2019-02-04</v>
      </c>
      <c r="N2055" s="20">
        <f t="shared" si="233"/>
        <v>43501</v>
      </c>
      <c r="O2055" t="str">
        <f t="shared" si="234"/>
        <v>2019-02-05</v>
      </c>
    </row>
    <row r="2056" spans="1:15" x14ac:dyDescent="0.2">
      <c r="A2056" s="21" t="str">
        <f t="shared" si="235"/>
        <v>y</v>
      </c>
      <c r="B2056" s="24">
        <v>43526</v>
      </c>
      <c r="C2056" t="s">
        <v>198</v>
      </c>
      <c r="D2056" t="s">
        <v>13</v>
      </c>
      <c r="E2056" t="s">
        <v>8</v>
      </c>
      <c r="F2056" t="s">
        <v>2</v>
      </c>
      <c r="G2056" t="s">
        <v>202</v>
      </c>
      <c r="H2056" t="s">
        <v>2026</v>
      </c>
      <c r="I2056" s="22" t="str">
        <f t="shared" si="230"/>
        <v>2019-02-03</v>
      </c>
      <c r="J2056" s="23" t="str">
        <f t="shared" si="231"/>
        <v>43</v>
      </c>
      <c r="K2056" t="str">
        <f t="shared" si="232"/>
        <v>yes</v>
      </c>
      <c r="L2056">
        <v>43</v>
      </c>
      <c r="M2056" t="str">
        <f t="shared" si="236"/>
        <v>2019-02-03</v>
      </c>
      <c r="N2056" s="20">
        <f t="shared" si="233"/>
        <v>43500</v>
      </c>
      <c r="O2056" t="str">
        <f t="shared" si="234"/>
        <v>2019-02-04</v>
      </c>
    </row>
    <row r="2057" spans="1:15" x14ac:dyDescent="0.2">
      <c r="A2057" s="21" t="str">
        <f t="shared" si="235"/>
        <v>y</v>
      </c>
      <c r="B2057" s="24">
        <v>43526</v>
      </c>
      <c r="C2057" t="s">
        <v>196</v>
      </c>
      <c r="D2057" t="s">
        <v>13</v>
      </c>
      <c r="E2057" t="s">
        <v>27</v>
      </c>
      <c r="F2057" t="s">
        <v>29</v>
      </c>
      <c r="G2057" t="s">
        <v>201</v>
      </c>
      <c r="H2057" t="s">
        <v>2026</v>
      </c>
      <c r="I2057" s="22" t="str">
        <f t="shared" si="230"/>
        <v>2019-02-03</v>
      </c>
      <c r="J2057" s="23" t="str">
        <f t="shared" si="231"/>
        <v>43</v>
      </c>
      <c r="K2057" t="str">
        <f t="shared" si="232"/>
        <v>yes</v>
      </c>
      <c r="L2057">
        <v>43</v>
      </c>
      <c r="M2057" t="str">
        <f t="shared" si="236"/>
        <v>2019-02-03</v>
      </c>
      <c r="N2057" s="20" t="str">
        <f t="shared" si="233"/>
        <v>2019-02-03</v>
      </c>
      <c r="O2057" t="str">
        <f t="shared" si="234"/>
        <v>2019-02-03</v>
      </c>
    </row>
    <row r="2058" spans="1:15" x14ac:dyDescent="0.2">
      <c r="A2058" s="21" t="str">
        <f t="shared" si="235"/>
        <v>y</v>
      </c>
      <c r="B2058" s="24">
        <v>43498</v>
      </c>
      <c r="C2058" t="s">
        <v>198</v>
      </c>
      <c r="D2058" t="s">
        <v>13</v>
      </c>
      <c r="E2058" t="s">
        <v>8</v>
      </c>
      <c r="F2058" t="s">
        <v>2</v>
      </c>
      <c r="H2058" t="s">
        <v>2032</v>
      </c>
      <c r="I2058" s="22" t="str">
        <f t="shared" si="230"/>
        <v>2019-02-02</v>
      </c>
      <c r="J2058" s="23" t="str">
        <f t="shared" si="231"/>
        <v>43</v>
      </c>
      <c r="K2058" t="str">
        <f t="shared" si="232"/>
        <v>yes</v>
      </c>
      <c r="L2058">
        <v>43</v>
      </c>
      <c r="M2058" t="str">
        <f t="shared" si="236"/>
        <v>2019-02-02</v>
      </c>
      <c r="N2058" s="20">
        <f t="shared" si="233"/>
        <v>43499</v>
      </c>
      <c r="O2058" t="str">
        <f t="shared" si="234"/>
        <v>2019-02-03</v>
      </c>
    </row>
    <row r="2059" spans="1:15" x14ac:dyDescent="0.2">
      <c r="A2059" s="21" t="str">
        <f t="shared" si="235"/>
        <v>y</v>
      </c>
      <c r="B2059" s="24">
        <v>43498</v>
      </c>
      <c r="C2059" t="s">
        <v>146</v>
      </c>
      <c r="D2059" t="s">
        <v>13</v>
      </c>
      <c r="E2059" t="s">
        <v>8</v>
      </c>
      <c r="F2059" t="s">
        <v>2</v>
      </c>
      <c r="H2059" t="s">
        <v>2026</v>
      </c>
      <c r="I2059" s="22" t="str">
        <f t="shared" si="230"/>
        <v>2019-02-02</v>
      </c>
      <c r="J2059" s="23" t="str">
        <f t="shared" si="231"/>
        <v>43</v>
      </c>
      <c r="K2059" t="str">
        <f t="shared" si="232"/>
        <v>yes</v>
      </c>
      <c r="L2059">
        <v>43</v>
      </c>
      <c r="M2059" t="str">
        <f t="shared" si="236"/>
        <v>2019-02-02</v>
      </c>
      <c r="N2059" s="20">
        <f t="shared" si="233"/>
        <v>43499</v>
      </c>
      <c r="O2059" t="str">
        <f t="shared" si="234"/>
        <v>2019-02-03</v>
      </c>
    </row>
    <row r="2060" spans="1:15" x14ac:dyDescent="0.2">
      <c r="A2060" s="21" t="str">
        <f t="shared" si="235"/>
        <v>y</v>
      </c>
      <c r="B2060" s="24" t="s">
        <v>1920</v>
      </c>
      <c r="C2060" t="s">
        <v>198</v>
      </c>
      <c r="D2060" t="s">
        <v>13</v>
      </c>
      <c r="E2060" t="s">
        <v>4</v>
      </c>
      <c r="F2060" t="s">
        <v>29</v>
      </c>
      <c r="G2060" t="s">
        <v>199</v>
      </c>
      <c r="H2060" t="s">
        <v>2026</v>
      </c>
      <c r="I2060" s="22" t="str">
        <f t="shared" si="230"/>
        <v>2019-01-31</v>
      </c>
      <c r="J2060" s="23" t="str">
        <f t="shared" si="231"/>
        <v>31</v>
      </c>
      <c r="K2060" t="str">
        <f t="shared" si="232"/>
        <v>no</v>
      </c>
      <c r="L2060">
        <v>31</v>
      </c>
      <c r="M2060" t="str">
        <f t="shared" si="236"/>
        <v>2019-01-31</v>
      </c>
      <c r="N2060" s="20" t="str">
        <f t="shared" si="233"/>
        <v>2019-01-31</v>
      </c>
      <c r="O2060" t="str">
        <f t="shared" si="234"/>
        <v>2019-01-31</v>
      </c>
    </row>
    <row r="2061" spans="1:15" x14ac:dyDescent="0.2">
      <c r="A2061" s="21" t="str">
        <f t="shared" si="235"/>
        <v>y</v>
      </c>
      <c r="B2061" s="24" t="s">
        <v>1920</v>
      </c>
      <c r="C2061" t="s">
        <v>146</v>
      </c>
      <c r="D2061" t="s">
        <v>13</v>
      </c>
      <c r="E2061" t="s">
        <v>8</v>
      </c>
      <c r="F2061" t="s">
        <v>29</v>
      </c>
      <c r="G2061" t="s">
        <v>200</v>
      </c>
      <c r="H2061" t="s">
        <v>2032</v>
      </c>
      <c r="I2061" s="22" t="str">
        <f t="shared" si="230"/>
        <v>2019-01-31</v>
      </c>
      <c r="J2061" s="23" t="str">
        <f t="shared" si="231"/>
        <v>31</v>
      </c>
      <c r="K2061" t="str">
        <f t="shared" si="232"/>
        <v>no</v>
      </c>
      <c r="L2061">
        <v>31</v>
      </c>
      <c r="M2061" t="str">
        <f t="shared" si="236"/>
        <v>2019-01-31</v>
      </c>
      <c r="N2061" s="20" t="str">
        <f t="shared" si="233"/>
        <v>2019-01-31</v>
      </c>
      <c r="O2061" t="str">
        <f t="shared" si="234"/>
        <v>2019-01-31</v>
      </c>
    </row>
    <row r="2062" spans="1:15" x14ac:dyDescent="0.2">
      <c r="A2062" s="21" t="str">
        <f t="shared" si="235"/>
        <v>y</v>
      </c>
      <c r="B2062" s="24" t="s">
        <v>1921</v>
      </c>
      <c r="C2062" t="s">
        <v>196</v>
      </c>
      <c r="D2062" t="s">
        <v>13</v>
      </c>
      <c r="E2062" t="s">
        <v>4</v>
      </c>
      <c r="F2062" t="s">
        <v>29</v>
      </c>
      <c r="G2062" t="s">
        <v>197</v>
      </c>
      <c r="H2062" t="s">
        <v>2032</v>
      </c>
      <c r="I2062" s="22" t="str">
        <f t="shared" si="230"/>
        <v>2019-01-30</v>
      </c>
      <c r="J2062" s="23" t="str">
        <f t="shared" si="231"/>
        <v>30</v>
      </c>
      <c r="K2062" t="str">
        <f t="shared" si="232"/>
        <v>no</v>
      </c>
      <c r="L2062">
        <v>30</v>
      </c>
      <c r="M2062" t="str">
        <f t="shared" si="236"/>
        <v>2019-01-30</v>
      </c>
      <c r="N2062" s="20" t="str">
        <f t="shared" si="233"/>
        <v>2019-01-30</v>
      </c>
      <c r="O2062" t="str">
        <f t="shared" si="234"/>
        <v>2019-01-30</v>
      </c>
    </row>
    <row r="2063" spans="1:15" x14ac:dyDescent="0.2">
      <c r="A2063" s="21" t="str">
        <f t="shared" si="235"/>
        <v>y</v>
      </c>
      <c r="B2063" s="24" t="s">
        <v>1922</v>
      </c>
      <c r="C2063" t="s">
        <v>65</v>
      </c>
      <c r="D2063" t="s">
        <v>14</v>
      </c>
      <c r="E2063" t="s">
        <v>8</v>
      </c>
      <c r="F2063" t="s">
        <v>29</v>
      </c>
      <c r="G2063" t="s">
        <v>193</v>
      </c>
      <c r="H2063" t="s">
        <v>2026</v>
      </c>
      <c r="I2063" s="22" t="str">
        <f t="shared" si="230"/>
        <v>2019-01-29</v>
      </c>
      <c r="J2063" s="23" t="str">
        <f t="shared" si="231"/>
        <v>29</v>
      </c>
      <c r="K2063" t="str">
        <f t="shared" si="232"/>
        <v>no</v>
      </c>
      <c r="L2063">
        <v>29</v>
      </c>
      <c r="M2063" t="str">
        <f t="shared" si="236"/>
        <v>2019-01-29</v>
      </c>
      <c r="N2063" s="20" t="str">
        <f t="shared" si="233"/>
        <v>2019-01-29</v>
      </c>
      <c r="O2063" t="str">
        <f t="shared" si="234"/>
        <v>2019-01-29</v>
      </c>
    </row>
    <row r="2064" spans="1:15" x14ac:dyDescent="0.2">
      <c r="A2064" s="21" t="str">
        <f t="shared" si="235"/>
        <v>y</v>
      </c>
      <c r="B2064" s="24" t="s">
        <v>1922</v>
      </c>
      <c r="C2064" t="s">
        <v>150</v>
      </c>
      <c r="D2064" t="s">
        <v>13</v>
      </c>
      <c r="E2064" t="s">
        <v>42</v>
      </c>
      <c r="F2064" t="s">
        <v>29</v>
      </c>
      <c r="G2064" t="s">
        <v>194</v>
      </c>
      <c r="H2064" t="s">
        <v>2026</v>
      </c>
      <c r="I2064" s="22" t="str">
        <f t="shared" si="230"/>
        <v>2019-01-29</v>
      </c>
      <c r="J2064" s="23" t="str">
        <f t="shared" si="231"/>
        <v>29</v>
      </c>
      <c r="K2064" t="str">
        <f t="shared" si="232"/>
        <v>no</v>
      </c>
      <c r="L2064">
        <v>29</v>
      </c>
      <c r="M2064" t="str">
        <f t="shared" si="236"/>
        <v>2019-01-29</v>
      </c>
      <c r="N2064" s="20" t="str">
        <f t="shared" si="233"/>
        <v>2019-01-29</v>
      </c>
      <c r="O2064" t="str">
        <f t="shared" si="234"/>
        <v>2019-01-29</v>
      </c>
    </row>
    <row r="2065" spans="1:15" x14ac:dyDescent="0.2">
      <c r="A2065" s="21" t="str">
        <f t="shared" si="235"/>
        <v>y</v>
      </c>
      <c r="B2065" s="24" t="s">
        <v>1922</v>
      </c>
      <c r="C2065" t="s">
        <v>152</v>
      </c>
      <c r="D2065" t="s">
        <v>13</v>
      </c>
      <c r="E2065" t="s">
        <v>49</v>
      </c>
      <c r="F2065" t="s">
        <v>29</v>
      </c>
      <c r="G2065" t="s">
        <v>195</v>
      </c>
      <c r="H2065" t="s">
        <v>2032</v>
      </c>
      <c r="I2065" s="22" t="str">
        <f t="shared" si="230"/>
        <v>2019-01-29</v>
      </c>
      <c r="J2065" s="23" t="str">
        <f t="shared" si="231"/>
        <v>29</v>
      </c>
      <c r="K2065" t="str">
        <f t="shared" si="232"/>
        <v>no</v>
      </c>
      <c r="L2065">
        <v>29</v>
      </c>
      <c r="M2065" t="str">
        <f t="shared" si="236"/>
        <v>2019-01-29</v>
      </c>
      <c r="N2065" s="20" t="str">
        <f t="shared" si="233"/>
        <v>2019-01-29</v>
      </c>
      <c r="O2065" t="str">
        <f t="shared" si="234"/>
        <v>2019-01-29</v>
      </c>
    </row>
    <row r="2066" spans="1:15" x14ac:dyDescent="0.2">
      <c r="A2066" s="21" t="str">
        <f t="shared" si="235"/>
        <v>y</v>
      </c>
      <c r="B2066" s="24" t="s">
        <v>1923</v>
      </c>
      <c r="C2066" t="s">
        <v>38</v>
      </c>
      <c r="D2066" t="s">
        <v>13</v>
      </c>
      <c r="E2066" t="s">
        <v>49</v>
      </c>
      <c r="F2066" t="s">
        <v>29</v>
      </c>
      <c r="G2066" t="s">
        <v>192</v>
      </c>
      <c r="H2066" t="s">
        <v>2026</v>
      </c>
      <c r="I2066" s="22" t="str">
        <f t="shared" si="230"/>
        <v>2019-01-28</v>
      </c>
      <c r="J2066" s="23" t="str">
        <f t="shared" si="231"/>
        <v>28</v>
      </c>
      <c r="K2066" t="str">
        <f t="shared" si="232"/>
        <v>no</v>
      </c>
      <c r="L2066">
        <v>28</v>
      </c>
      <c r="M2066" t="str">
        <f t="shared" si="236"/>
        <v>2019-01-28</v>
      </c>
      <c r="N2066" s="20" t="str">
        <f t="shared" si="233"/>
        <v>2019-01-28</v>
      </c>
      <c r="O2066" t="str">
        <f t="shared" si="234"/>
        <v>2019-01-28</v>
      </c>
    </row>
    <row r="2067" spans="1:15" x14ac:dyDescent="0.2">
      <c r="A2067" s="21" t="str">
        <f t="shared" si="235"/>
        <v>y</v>
      </c>
      <c r="B2067" s="24" t="s">
        <v>1924</v>
      </c>
      <c r="C2067" t="s">
        <v>63</v>
      </c>
      <c r="D2067" t="s">
        <v>13</v>
      </c>
      <c r="E2067" t="s">
        <v>42</v>
      </c>
      <c r="F2067" t="s">
        <v>29</v>
      </c>
      <c r="G2067" t="s">
        <v>191</v>
      </c>
      <c r="H2067" t="s">
        <v>2026</v>
      </c>
      <c r="I2067" s="22" t="str">
        <f t="shared" si="230"/>
        <v>2019-01-27</v>
      </c>
      <c r="J2067" s="23" t="str">
        <f t="shared" si="231"/>
        <v>27</v>
      </c>
      <c r="K2067" t="str">
        <f t="shared" si="232"/>
        <v>no</v>
      </c>
      <c r="L2067">
        <v>27</v>
      </c>
      <c r="M2067" t="str">
        <f t="shared" si="236"/>
        <v>2019-01-27</v>
      </c>
      <c r="N2067" s="20" t="str">
        <f t="shared" si="233"/>
        <v>2019-01-27</v>
      </c>
      <c r="O2067" t="str">
        <f t="shared" si="234"/>
        <v>2019-01-27</v>
      </c>
    </row>
    <row r="2068" spans="1:15" x14ac:dyDescent="0.2">
      <c r="A2068" s="21" t="str">
        <f t="shared" si="235"/>
        <v>y</v>
      </c>
      <c r="B2068" s="24" t="s">
        <v>1925</v>
      </c>
      <c r="C2068" t="s">
        <v>63</v>
      </c>
      <c r="D2068" t="s">
        <v>13</v>
      </c>
      <c r="E2068" t="s">
        <v>42</v>
      </c>
      <c r="F2068" t="s">
        <v>29</v>
      </c>
      <c r="G2068" t="s">
        <v>191</v>
      </c>
      <c r="H2068" t="s">
        <v>2032</v>
      </c>
      <c r="I2068" s="22" t="str">
        <f t="shared" ref="I2068:I2099" si="237">IF(K2068="yes",TEXT(B2068,"YYYY-DD-MM"),TEXT(B2068,"YYYY-MM-DD"))</f>
        <v>2019-01-24</v>
      </c>
      <c r="J2068" s="23" t="str">
        <f t="shared" ref="J2068:J2099" si="238">LEFT(B2068,2)</f>
        <v>24</v>
      </c>
      <c r="K2068" t="str">
        <f t="shared" ref="K2068:K2099" si="239">IF(L2068&gt;31,"yes","no")</f>
        <v>no</v>
      </c>
      <c r="L2068">
        <v>24</v>
      </c>
      <c r="M2068" t="str">
        <f t="shared" si="236"/>
        <v>2019-01-24</v>
      </c>
      <c r="N2068" s="20" t="str">
        <f t="shared" ref="N2068:N2099" si="240">IF(F2068="DONE",M2068,M2068+1)</f>
        <v>2019-01-24</v>
      </c>
      <c r="O2068" t="str">
        <f t="shared" ref="O2068:O2099" si="241">TEXT(N2068,"YYYY-MM-DD")</f>
        <v>2019-01-24</v>
      </c>
    </row>
    <row r="2069" spans="1:15" x14ac:dyDescent="0.2">
      <c r="A2069" s="21" t="str">
        <f t="shared" si="235"/>
        <v>y</v>
      </c>
      <c r="B2069" s="24" t="s">
        <v>1926</v>
      </c>
      <c r="C2069" t="s">
        <v>163</v>
      </c>
      <c r="D2069" t="s">
        <v>13</v>
      </c>
      <c r="E2069" t="s">
        <v>27</v>
      </c>
      <c r="F2069" t="s">
        <v>29</v>
      </c>
      <c r="G2069" t="s">
        <v>190</v>
      </c>
      <c r="H2069" t="s">
        <v>2026</v>
      </c>
      <c r="I2069" s="22" t="str">
        <f t="shared" si="237"/>
        <v>2019-01-23</v>
      </c>
      <c r="J2069" s="23" t="str">
        <f t="shared" si="238"/>
        <v>23</v>
      </c>
      <c r="K2069" t="str">
        <f t="shared" si="239"/>
        <v>no</v>
      </c>
      <c r="L2069">
        <v>23</v>
      </c>
      <c r="M2069" t="str">
        <f t="shared" si="236"/>
        <v>2019-01-23</v>
      </c>
      <c r="N2069" s="20" t="str">
        <f t="shared" si="240"/>
        <v>2019-01-23</v>
      </c>
      <c r="O2069" t="str">
        <f t="shared" si="241"/>
        <v>2019-01-23</v>
      </c>
    </row>
    <row r="2070" spans="1:15" x14ac:dyDescent="0.2">
      <c r="A2070" s="21" t="str">
        <f t="shared" si="235"/>
        <v>y</v>
      </c>
      <c r="B2070" s="24" t="s">
        <v>1927</v>
      </c>
      <c r="C2070" t="s">
        <v>163</v>
      </c>
      <c r="D2070" t="s">
        <v>13</v>
      </c>
      <c r="E2070" t="s">
        <v>27</v>
      </c>
      <c r="F2070" t="s">
        <v>2</v>
      </c>
      <c r="G2070" t="s">
        <v>188</v>
      </c>
      <c r="H2070" t="s">
        <v>2026</v>
      </c>
      <c r="I2070" s="22" t="str">
        <f t="shared" si="237"/>
        <v>2019-01-22</v>
      </c>
      <c r="J2070" s="23" t="str">
        <f t="shared" si="238"/>
        <v>22</v>
      </c>
      <c r="K2070" t="str">
        <f t="shared" si="239"/>
        <v>no</v>
      </c>
      <c r="L2070">
        <v>22</v>
      </c>
      <c r="M2070" t="str">
        <f t="shared" si="236"/>
        <v>2019-01-22</v>
      </c>
      <c r="N2070" s="20">
        <f t="shared" si="240"/>
        <v>43488</v>
      </c>
      <c r="O2070" t="str">
        <f t="shared" si="241"/>
        <v>2019-01-23</v>
      </c>
    </row>
    <row r="2071" spans="1:15" x14ac:dyDescent="0.2">
      <c r="A2071" s="21" t="str">
        <f t="shared" si="235"/>
        <v>y</v>
      </c>
      <c r="B2071" s="24" t="s">
        <v>1927</v>
      </c>
      <c r="C2071" t="s">
        <v>63</v>
      </c>
      <c r="D2071" t="s">
        <v>13</v>
      </c>
      <c r="E2071" t="s">
        <v>27</v>
      </c>
      <c r="F2071" t="s">
        <v>29</v>
      </c>
      <c r="G2071" t="s">
        <v>189</v>
      </c>
      <c r="H2071" t="s">
        <v>2026</v>
      </c>
      <c r="I2071" s="22" t="str">
        <f t="shared" si="237"/>
        <v>2019-01-22</v>
      </c>
      <c r="J2071" s="23" t="str">
        <f t="shared" si="238"/>
        <v>22</v>
      </c>
      <c r="K2071" t="str">
        <f t="shared" si="239"/>
        <v>no</v>
      </c>
      <c r="L2071">
        <v>22</v>
      </c>
      <c r="M2071" t="str">
        <f t="shared" si="236"/>
        <v>2019-01-22</v>
      </c>
      <c r="N2071" s="20" t="str">
        <f t="shared" si="240"/>
        <v>2019-01-22</v>
      </c>
      <c r="O2071" t="str">
        <f t="shared" si="241"/>
        <v>2019-01-22</v>
      </c>
    </row>
    <row r="2072" spans="1:15" x14ac:dyDescent="0.2">
      <c r="A2072" s="21" t="str">
        <f t="shared" si="235"/>
        <v>y</v>
      </c>
      <c r="B2072" s="24" t="s">
        <v>1928</v>
      </c>
      <c r="C2072" t="s">
        <v>163</v>
      </c>
      <c r="D2072" t="s">
        <v>13</v>
      </c>
      <c r="E2072" t="s">
        <v>27</v>
      </c>
      <c r="F2072" t="s">
        <v>29</v>
      </c>
      <c r="G2072" t="s">
        <v>187</v>
      </c>
      <c r="H2072" t="s">
        <v>2032</v>
      </c>
      <c r="I2072" s="22" t="str">
        <f t="shared" si="237"/>
        <v>2019-01-21</v>
      </c>
      <c r="J2072" s="23" t="str">
        <f t="shared" si="238"/>
        <v>21</v>
      </c>
      <c r="K2072" t="str">
        <f t="shared" si="239"/>
        <v>no</v>
      </c>
      <c r="L2072">
        <v>21</v>
      </c>
      <c r="M2072" t="str">
        <f t="shared" si="236"/>
        <v>2019-01-21</v>
      </c>
      <c r="N2072" s="20" t="str">
        <f t="shared" si="240"/>
        <v>2019-01-21</v>
      </c>
      <c r="O2072" t="str">
        <f t="shared" si="241"/>
        <v>2019-01-21</v>
      </c>
    </row>
    <row r="2073" spans="1:15" x14ac:dyDescent="0.2">
      <c r="A2073" s="21" t="str">
        <f t="shared" si="235"/>
        <v>y</v>
      </c>
      <c r="B2073" s="24" t="s">
        <v>1929</v>
      </c>
      <c r="C2073" t="s">
        <v>163</v>
      </c>
      <c r="D2073" t="s">
        <v>13</v>
      </c>
      <c r="E2073" t="s">
        <v>27</v>
      </c>
      <c r="F2073" t="s">
        <v>2</v>
      </c>
      <c r="H2073" t="s">
        <v>2026</v>
      </c>
      <c r="I2073" s="22" t="str">
        <f t="shared" si="237"/>
        <v>2019-01-20</v>
      </c>
      <c r="J2073" s="23" t="str">
        <f t="shared" si="238"/>
        <v>20</v>
      </c>
      <c r="K2073" t="str">
        <f t="shared" si="239"/>
        <v>no</v>
      </c>
      <c r="L2073">
        <v>20</v>
      </c>
      <c r="M2073" t="str">
        <f t="shared" si="236"/>
        <v>2019-01-20</v>
      </c>
      <c r="N2073" s="20">
        <f t="shared" si="240"/>
        <v>43486</v>
      </c>
      <c r="O2073" t="str">
        <f t="shared" si="241"/>
        <v>2019-01-21</v>
      </c>
    </row>
    <row r="2074" spans="1:15" x14ac:dyDescent="0.2">
      <c r="A2074" s="21" t="str">
        <f t="shared" si="235"/>
        <v>y</v>
      </c>
      <c r="B2074" s="24" t="s">
        <v>1929</v>
      </c>
      <c r="C2074" t="s">
        <v>63</v>
      </c>
      <c r="D2074" t="s">
        <v>13</v>
      </c>
      <c r="E2074" t="s">
        <v>8</v>
      </c>
      <c r="F2074" t="s">
        <v>29</v>
      </c>
      <c r="G2074" t="s">
        <v>185</v>
      </c>
      <c r="H2074" t="s">
        <v>2026</v>
      </c>
      <c r="I2074" s="22" t="str">
        <f t="shared" si="237"/>
        <v>2019-01-20</v>
      </c>
      <c r="J2074" s="23" t="str">
        <f t="shared" si="238"/>
        <v>20</v>
      </c>
      <c r="K2074" t="str">
        <f t="shared" si="239"/>
        <v>no</v>
      </c>
      <c r="L2074">
        <v>20</v>
      </c>
      <c r="M2074" t="str">
        <f t="shared" si="236"/>
        <v>2019-01-20</v>
      </c>
      <c r="N2074" s="20" t="str">
        <f t="shared" si="240"/>
        <v>2019-01-20</v>
      </c>
      <c r="O2074" t="str">
        <f t="shared" si="241"/>
        <v>2019-01-20</v>
      </c>
    </row>
    <row r="2075" spans="1:15" x14ac:dyDescent="0.2">
      <c r="A2075" s="21" t="str">
        <f t="shared" si="235"/>
        <v>y</v>
      </c>
      <c r="B2075" s="24" t="s">
        <v>1929</v>
      </c>
      <c r="C2075" t="s">
        <v>152</v>
      </c>
      <c r="D2075" t="s">
        <v>13</v>
      </c>
      <c r="E2075" t="s">
        <v>27</v>
      </c>
      <c r="F2075" t="s">
        <v>29</v>
      </c>
      <c r="G2075" t="s">
        <v>186</v>
      </c>
      <c r="H2075" t="s">
        <v>2032</v>
      </c>
      <c r="I2075" s="22" t="str">
        <f t="shared" si="237"/>
        <v>2019-01-20</v>
      </c>
      <c r="J2075" s="23" t="str">
        <f t="shared" si="238"/>
        <v>20</v>
      </c>
      <c r="K2075" t="str">
        <f t="shared" si="239"/>
        <v>no</v>
      </c>
      <c r="L2075">
        <v>20</v>
      </c>
      <c r="M2075" t="str">
        <f t="shared" si="236"/>
        <v>2019-01-20</v>
      </c>
      <c r="N2075" s="20" t="str">
        <f t="shared" si="240"/>
        <v>2019-01-20</v>
      </c>
      <c r="O2075" t="str">
        <f t="shared" si="241"/>
        <v>2019-01-20</v>
      </c>
    </row>
    <row r="2076" spans="1:15" x14ac:dyDescent="0.2">
      <c r="A2076" s="21" t="str">
        <f t="shared" si="235"/>
        <v>y</v>
      </c>
      <c r="B2076" s="24" t="s">
        <v>1930</v>
      </c>
      <c r="C2076" t="s">
        <v>163</v>
      </c>
      <c r="D2076" t="s">
        <v>13</v>
      </c>
      <c r="E2076" t="s">
        <v>27</v>
      </c>
      <c r="F2076" t="s">
        <v>2</v>
      </c>
      <c r="H2076" t="s">
        <v>2026</v>
      </c>
      <c r="I2076" s="22" t="str">
        <f t="shared" si="237"/>
        <v>2019-01-19</v>
      </c>
      <c r="J2076" s="23" t="str">
        <f t="shared" si="238"/>
        <v>19</v>
      </c>
      <c r="K2076" t="str">
        <f t="shared" si="239"/>
        <v>no</v>
      </c>
      <c r="L2076">
        <v>19</v>
      </c>
      <c r="M2076" t="str">
        <f t="shared" si="236"/>
        <v>2019-01-19</v>
      </c>
      <c r="N2076" s="20">
        <f t="shared" si="240"/>
        <v>43485</v>
      </c>
      <c r="O2076" t="str">
        <f t="shared" si="241"/>
        <v>2019-01-20</v>
      </c>
    </row>
    <row r="2077" spans="1:15" x14ac:dyDescent="0.2">
      <c r="A2077" s="21" t="str">
        <f t="shared" si="235"/>
        <v>y</v>
      </c>
      <c r="B2077" s="24" t="s">
        <v>1930</v>
      </c>
      <c r="C2077" t="s">
        <v>65</v>
      </c>
      <c r="D2077" t="s">
        <v>14</v>
      </c>
      <c r="E2077" t="s">
        <v>8</v>
      </c>
      <c r="F2077" t="s">
        <v>2</v>
      </c>
      <c r="H2077" t="s">
        <v>2100</v>
      </c>
      <c r="I2077" s="22" t="str">
        <f t="shared" si="237"/>
        <v>2019-01-19</v>
      </c>
      <c r="J2077" s="23" t="str">
        <f t="shared" si="238"/>
        <v>19</v>
      </c>
      <c r="K2077" t="str">
        <f t="shared" si="239"/>
        <v>no</v>
      </c>
      <c r="L2077">
        <v>19</v>
      </c>
      <c r="M2077" t="str">
        <f t="shared" si="236"/>
        <v>2019-01-19</v>
      </c>
      <c r="N2077" s="20">
        <f t="shared" si="240"/>
        <v>43485</v>
      </c>
      <c r="O2077" t="str">
        <f t="shared" si="241"/>
        <v>2019-01-20</v>
      </c>
    </row>
    <row r="2078" spans="1:15" x14ac:dyDescent="0.2">
      <c r="A2078" s="21" t="str">
        <f t="shared" si="235"/>
        <v>y</v>
      </c>
      <c r="B2078" s="24" t="s">
        <v>1931</v>
      </c>
      <c r="C2078" t="s">
        <v>162</v>
      </c>
      <c r="D2078" t="s">
        <v>13</v>
      </c>
      <c r="E2078" t="s">
        <v>27</v>
      </c>
      <c r="F2078" t="s">
        <v>29</v>
      </c>
      <c r="G2078" t="s">
        <v>184</v>
      </c>
      <c r="H2078" t="s">
        <v>2032</v>
      </c>
      <c r="I2078" s="22" t="str">
        <f t="shared" si="237"/>
        <v>2019-01-17</v>
      </c>
      <c r="J2078" s="23" t="str">
        <f t="shared" si="238"/>
        <v>17</v>
      </c>
      <c r="K2078" t="str">
        <f t="shared" si="239"/>
        <v>no</v>
      </c>
      <c r="L2078">
        <v>17</v>
      </c>
      <c r="M2078" t="str">
        <f t="shared" si="236"/>
        <v>2019-01-17</v>
      </c>
      <c r="N2078" s="20" t="str">
        <f t="shared" si="240"/>
        <v>2019-01-17</v>
      </c>
      <c r="O2078" t="str">
        <f t="shared" si="241"/>
        <v>2019-01-17</v>
      </c>
    </row>
    <row r="2079" spans="1:15" x14ac:dyDescent="0.2">
      <c r="A2079" s="21" t="str">
        <f t="shared" si="235"/>
        <v>y</v>
      </c>
      <c r="B2079" s="24" t="s">
        <v>1931</v>
      </c>
      <c r="C2079" t="s">
        <v>163</v>
      </c>
      <c r="D2079" t="s">
        <v>13</v>
      </c>
      <c r="E2079" t="s">
        <v>27</v>
      </c>
      <c r="F2079" t="s">
        <v>2</v>
      </c>
      <c r="H2079" t="s">
        <v>2026</v>
      </c>
      <c r="I2079" s="22" t="str">
        <f t="shared" si="237"/>
        <v>2019-01-17</v>
      </c>
      <c r="J2079" s="23" t="str">
        <f t="shared" si="238"/>
        <v>17</v>
      </c>
      <c r="K2079" t="str">
        <f t="shared" si="239"/>
        <v>no</v>
      </c>
      <c r="L2079">
        <v>17</v>
      </c>
      <c r="M2079" t="str">
        <f t="shared" si="236"/>
        <v>2019-01-17</v>
      </c>
      <c r="N2079" s="20">
        <f t="shared" si="240"/>
        <v>43483</v>
      </c>
      <c r="O2079" t="str">
        <f t="shared" si="241"/>
        <v>2019-01-18</v>
      </c>
    </row>
    <row r="2080" spans="1:15" x14ac:dyDescent="0.2">
      <c r="A2080" s="21" t="str">
        <f t="shared" si="235"/>
        <v>y</v>
      </c>
      <c r="B2080" s="24" t="s">
        <v>1931</v>
      </c>
      <c r="C2080" t="s">
        <v>65</v>
      </c>
      <c r="D2080" t="s">
        <v>14</v>
      </c>
      <c r="E2080" t="s">
        <v>8</v>
      </c>
      <c r="F2080" t="s">
        <v>2</v>
      </c>
      <c r="G2080" t="s">
        <v>181</v>
      </c>
      <c r="H2080" t="s">
        <v>2026</v>
      </c>
      <c r="I2080" s="22" t="str">
        <f t="shared" si="237"/>
        <v>2019-01-17</v>
      </c>
      <c r="J2080" s="23" t="str">
        <f t="shared" si="238"/>
        <v>17</v>
      </c>
      <c r="K2080" t="str">
        <f t="shared" si="239"/>
        <v>no</v>
      </c>
      <c r="L2080">
        <v>17</v>
      </c>
      <c r="M2080" t="str">
        <f t="shared" si="236"/>
        <v>2019-01-17</v>
      </c>
      <c r="N2080" s="20">
        <f t="shared" si="240"/>
        <v>43483</v>
      </c>
      <c r="O2080" t="str">
        <f t="shared" si="241"/>
        <v>2019-01-18</v>
      </c>
    </row>
    <row r="2081" spans="1:15" x14ac:dyDescent="0.2">
      <c r="A2081" s="21" t="str">
        <f t="shared" si="235"/>
        <v>y</v>
      </c>
      <c r="B2081" s="24" t="s">
        <v>1932</v>
      </c>
      <c r="C2081" t="s">
        <v>162</v>
      </c>
      <c r="D2081" t="s">
        <v>13</v>
      </c>
      <c r="E2081" t="s">
        <v>27</v>
      </c>
      <c r="F2081" t="s">
        <v>2</v>
      </c>
      <c r="H2081" t="s">
        <v>2098</v>
      </c>
      <c r="I2081" s="22" t="str">
        <f t="shared" si="237"/>
        <v>2019-01-16</v>
      </c>
      <c r="J2081" s="23" t="str">
        <f t="shared" si="238"/>
        <v>16</v>
      </c>
      <c r="K2081" t="str">
        <f t="shared" si="239"/>
        <v>no</v>
      </c>
      <c r="L2081">
        <v>16</v>
      </c>
      <c r="M2081" t="str">
        <f t="shared" si="236"/>
        <v>2019-01-16</v>
      </c>
      <c r="N2081" s="20">
        <f t="shared" si="240"/>
        <v>43482</v>
      </c>
      <c r="O2081" t="str">
        <f t="shared" si="241"/>
        <v>2019-01-17</v>
      </c>
    </row>
    <row r="2082" spans="1:15" x14ac:dyDescent="0.2">
      <c r="A2082" s="21" t="str">
        <f t="shared" si="235"/>
        <v>y</v>
      </c>
      <c r="B2082" s="24" t="s">
        <v>1932</v>
      </c>
      <c r="C2082" t="s">
        <v>163</v>
      </c>
      <c r="D2082" t="s">
        <v>13</v>
      </c>
      <c r="E2082" t="s">
        <v>4</v>
      </c>
      <c r="F2082" t="s">
        <v>29</v>
      </c>
      <c r="G2082" t="s">
        <v>183</v>
      </c>
      <c r="H2082" t="s">
        <v>2032</v>
      </c>
      <c r="I2082" s="22" t="str">
        <f t="shared" si="237"/>
        <v>2019-01-16</v>
      </c>
      <c r="J2082" s="23" t="str">
        <f t="shared" si="238"/>
        <v>16</v>
      </c>
      <c r="K2082" t="str">
        <f t="shared" si="239"/>
        <v>no</v>
      </c>
      <c r="L2082">
        <v>16</v>
      </c>
      <c r="M2082" t="str">
        <f t="shared" si="236"/>
        <v>2019-01-16</v>
      </c>
      <c r="N2082" s="20" t="str">
        <f t="shared" si="240"/>
        <v>2019-01-16</v>
      </c>
      <c r="O2082" t="str">
        <f t="shared" si="241"/>
        <v>2019-01-16</v>
      </c>
    </row>
    <row r="2083" spans="1:15" x14ac:dyDescent="0.2">
      <c r="A2083" s="21" t="str">
        <f t="shared" si="235"/>
        <v>y</v>
      </c>
      <c r="B2083" s="24" t="s">
        <v>1932</v>
      </c>
      <c r="C2083" t="s">
        <v>163</v>
      </c>
      <c r="D2083" t="s">
        <v>13</v>
      </c>
      <c r="E2083" t="s">
        <v>27</v>
      </c>
      <c r="F2083" t="s">
        <v>2</v>
      </c>
      <c r="H2083" t="s">
        <v>2026</v>
      </c>
      <c r="I2083" s="22" t="str">
        <f t="shared" si="237"/>
        <v>2019-01-16</v>
      </c>
      <c r="J2083" s="23" t="str">
        <f t="shared" si="238"/>
        <v>16</v>
      </c>
      <c r="K2083" t="str">
        <f t="shared" si="239"/>
        <v>no</v>
      </c>
      <c r="L2083">
        <v>16</v>
      </c>
      <c r="M2083" t="str">
        <f t="shared" si="236"/>
        <v>2019-01-16</v>
      </c>
      <c r="N2083" s="20">
        <f t="shared" si="240"/>
        <v>43482</v>
      </c>
      <c r="O2083" t="str">
        <f t="shared" si="241"/>
        <v>2019-01-17</v>
      </c>
    </row>
    <row r="2084" spans="1:15" x14ac:dyDescent="0.2">
      <c r="A2084" s="21" t="str">
        <f t="shared" si="235"/>
        <v>y</v>
      </c>
      <c r="B2084" s="24" t="s">
        <v>1932</v>
      </c>
      <c r="C2084" t="s">
        <v>65</v>
      </c>
      <c r="D2084" t="s">
        <v>14</v>
      </c>
      <c r="E2084" t="s">
        <v>8</v>
      </c>
      <c r="F2084" t="s">
        <v>2</v>
      </c>
      <c r="G2084" t="s">
        <v>181</v>
      </c>
      <c r="H2084" t="s">
        <v>2032</v>
      </c>
      <c r="I2084" s="22" t="str">
        <f t="shared" si="237"/>
        <v>2019-01-16</v>
      </c>
      <c r="J2084" s="23" t="str">
        <f t="shared" si="238"/>
        <v>16</v>
      </c>
      <c r="K2084" t="str">
        <f t="shared" si="239"/>
        <v>no</v>
      </c>
      <c r="L2084">
        <v>16</v>
      </c>
      <c r="M2084" t="str">
        <f t="shared" si="236"/>
        <v>2019-01-16</v>
      </c>
      <c r="N2084" s="20">
        <f t="shared" si="240"/>
        <v>43482</v>
      </c>
      <c r="O2084" t="str">
        <f t="shared" si="241"/>
        <v>2019-01-17</v>
      </c>
    </row>
    <row r="2085" spans="1:15" x14ac:dyDescent="0.2">
      <c r="A2085" s="21" t="str">
        <f t="shared" si="235"/>
        <v>y</v>
      </c>
      <c r="B2085" s="24" t="s">
        <v>1933</v>
      </c>
      <c r="C2085" t="s">
        <v>162</v>
      </c>
      <c r="D2085" t="s">
        <v>13</v>
      </c>
      <c r="E2085" t="s">
        <v>27</v>
      </c>
      <c r="F2085" t="s">
        <v>2</v>
      </c>
      <c r="H2085" t="s">
        <v>2032</v>
      </c>
      <c r="I2085" s="22" t="str">
        <f t="shared" si="237"/>
        <v>2019-01-15</v>
      </c>
      <c r="J2085" s="23" t="str">
        <f t="shared" si="238"/>
        <v>15</v>
      </c>
      <c r="K2085" t="str">
        <f t="shared" si="239"/>
        <v>no</v>
      </c>
      <c r="L2085">
        <v>15</v>
      </c>
      <c r="M2085" t="str">
        <f t="shared" si="236"/>
        <v>2019-01-15</v>
      </c>
      <c r="N2085" s="20">
        <f t="shared" si="240"/>
        <v>43481</v>
      </c>
      <c r="O2085" t="str">
        <f t="shared" si="241"/>
        <v>2019-01-16</v>
      </c>
    </row>
    <row r="2086" spans="1:15" x14ac:dyDescent="0.2">
      <c r="A2086" s="21" t="str">
        <f t="shared" si="235"/>
        <v>y</v>
      </c>
      <c r="B2086" s="24" t="s">
        <v>1933</v>
      </c>
      <c r="C2086" t="s">
        <v>163</v>
      </c>
      <c r="D2086" t="s">
        <v>13</v>
      </c>
      <c r="E2086" t="s">
        <v>27</v>
      </c>
      <c r="F2086" t="s">
        <v>2</v>
      </c>
      <c r="H2086" t="s">
        <v>2100</v>
      </c>
      <c r="I2086" s="22" t="str">
        <f t="shared" si="237"/>
        <v>2019-01-15</v>
      </c>
      <c r="J2086" s="23" t="str">
        <f t="shared" si="238"/>
        <v>15</v>
      </c>
      <c r="K2086" t="str">
        <f t="shared" si="239"/>
        <v>no</v>
      </c>
      <c r="L2086">
        <v>15</v>
      </c>
      <c r="M2086" t="str">
        <f t="shared" si="236"/>
        <v>2019-01-15</v>
      </c>
      <c r="N2086" s="20">
        <f t="shared" si="240"/>
        <v>43481</v>
      </c>
      <c r="O2086" t="str">
        <f t="shared" si="241"/>
        <v>2019-01-16</v>
      </c>
    </row>
    <row r="2087" spans="1:15" x14ac:dyDescent="0.2">
      <c r="A2087" s="21" t="str">
        <f t="shared" si="235"/>
        <v>y</v>
      </c>
      <c r="B2087" s="24" t="s">
        <v>1933</v>
      </c>
      <c r="C2087" t="s">
        <v>65</v>
      </c>
      <c r="D2087" t="s">
        <v>14</v>
      </c>
      <c r="E2087" t="s">
        <v>8</v>
      </c>
      <c r="F2087" t="s">
        <v>2</v>
      </c>
      <c r="G2087" t="s">
        <v>181</v>
      </c>
      <c r="H2087" t="s">
        <v>2032</v>
      </c>
      <c r="I2087" s="22" t="str">
        <f t="shared" si="237"/>
        <v>2019-01-15</v>
      </c>
      <c r="J2087" s="23" t="str">
        <f t="shared" si="238"/>
        <v>15</v>
      </c>
      <c r="K2087" t="str">
        <f t="shared" si="239"/>
        <v>no</v>
      </c>
      <c r="L2087">
        <v>15</v>
      </c>
      <c r="M2087" t="str">
        <f t="shared" si="236"/>
        <v>2019-01-15</v>
      </c>
      <c r="N2087" s="20">
        <f t="shared" si="240"/>
        <v>43481</v>
      </c>
      <c r="O2087" t="str">
        <f t="shared" si="241"/>
        <v>2019-01-16</v>
      </c>
    </row>
    <row r="2088" spans="1:15" x14ac:dyDescent="0.2">
      <c r="A2088" s="21" t="str">
        <f t="shared" si="235"/>
        <v>y</v>
      </c>
      <c r="B2088" s="24" t="s">
        <v>1934</v>
      </c>
      <c r="C2088" t="s">
        <v>162</v>
      </c>
      <c r="D2088" t="s">
        <v>13</v>
      </c>
      <c r="E2088" t="s">
        <v>27</v>
      </c>
      <c r="F2088" t="s">
        <v>2</v>
      </c>
      <c r="H2088" t="s">
        <v>2026</v>
      </c>
      <c r="I2088" s="22" t="str">
        <f t="shared" si="237"/>
        <v>2019-01-14</v>
      </c>
      <c r="J2088" s="23" t="str">
        <f t="shared" si="238"/>
        <v>14</v>
      </c>
      <c r="K2088" t="str">
        <f t="shared" si="239"/>
        <v>no</v>
      </c>
      <c r="L2088">
        <v>14</v>
      </c>
      <c r="M2088" t="str">
        <f t="shared" si="236"/>
        <v>2019-01-14</v>
      </c>
      <c r="N2088" s="20">
        <f t="shared" si="240"/>
        <v>43480</v>
      </c>
      <c r="O2088" t="str">
        <f t="shared" si="241"/>
        <v>2019-01-15</v>
      </c>
    </row>
    <row r="2089" spans="1:15" x14ac:dyDescent="0.2">
      <c r="A2089" s="21" t="str">
        <f t="shared" si="235"/>
        <v>y</v>
      </c>
      <c r="B2089" s="24" t="s">
        <v>1934</v>
      </c>
      <c r="C2089" t="s">
        <v>163</v>
      </c>
      <c r="D2089" t="s">
        <v>13</v>
      </c>
      <c r="E2089" t="s">
        <v>27</v>
      </c>
      <c r="F2089" t="s">
        <v>2</v>
      </c>
      <c r="H2089" t="s">
        <v>2032</v>
      </c>
      <c r="I2089" s="22" t="str">
        <f t="shared" si="237"/>
        <v>2019-01-14</v>
      </c>
      <c r="J2089" s="23" t="str">
        <f t="shared" si="238"/>
        <v>14</v>
      </c>
      <c r="K2089" t="str">
        <f t="shared" si="239"/>
        <v>no</v>
      </c>
      <c r="L2089">
        <v>14</v>
      </c>
      <c r="M2089" t="str">
        <f t="shared" si="236"/>
        <v>2019-01-14</v>
      </c>
      <c r="N2089" s="20">
        <f t="shared" si="240"/>
        <v>43480</v>
      </c>
      <c r="O2089" t="str">
        <f t="shared" si="241"/>
        <v>2019-01-15</v>
      </c>
    </row>
    <row r="2090" spans="1:15" x14ac:dyDescent="0.2">
      <c r="A2090" s="21" t="str">
        <f t="shared" si="235"/>
        <v>y</v>
      </c>
      <c r="B2090" s="24" t="s">
        <v>1934</v>
      </c>
      <c r="C2090" t="s">
        <v>32</v>
      </c>
      <c r="D2090" t="s">
        <v>13</v>
      </c>
      <c r="E2090" t="s">
        <v>42</v>
      </c>
      <c r="F2090" t="s">
        <v>29</v>
      </c>
      <c r="G2090" t="s">
        <v>178</v>
      </c>
      <c r="H2090" t="s">
        <v>2026</v>
      </c>
      <c r="I2090" s="22" t="str">
        <f t="shared" si="237"/>
        <v>2019-01-14</v>
      </c>
      <c r="J2090" s="23" t="str">
        <f t="shared" si="238"/>
        <v>14</v>
      </c>
      <c r="K2090" t="str">
        <f t="shared" si="239"/>
        <v>no</v>
      </c>
      <c r="L2090">
        <v>14</v>
      </c>
      <c r="M2090" t="str">
        <f t="shared" si="236"/>
        <v>2019-01-14</v>
      </c>
      <c r="N2090" s="20" t="str">
        <f t="shared" si="240"/>
        <v>2019-01-14</v>
      </c>
      <c r="O2090" t="str">
        <f t="shared" si="241"/>
        <v>2019-01-14</v>
      </c>
    </row>
    <row r="2091" spans="1:15" x14ac:dyDescent="0.2">
      <c r="A2091" s="21" t="str">
        <f t="shared" si="235"/>
        <v>y</v>
      </c>
      <c r="B2091" s="24" t="s">
        <v>1934</v>
      </c>
      <c r="C2091" t="s">
        <v>63</v>
      </c>
      <c r="D2091" t="s">
        <v>13</v>
      </c>
      <c r="E2091" t="s">
        <v>8</v>
      </c>
      <c r="F2091" t="s">
        <v>29</v>
      </c>
      <c r="G2091" t="s">
        <v>180</v>
      </c>
      <c r="H2091" t="s">
        <v>2098</v>
      </c>
      <c r="I2091" s="22" t="str">
        <f t="shared" si="237"/>
        <v>2019-01-14</v>
      </c>
      <c r="J2091" s="23" t="str">
        <f t="shared" si="238"/>
        <v>14</v>
      </c>
      <c r="K2091" t="str">
        <f t="shared" si="239"/>
        <v>no</v>
      </c>
      <c r="L2091">
        <v>14</v>
      </c>
      <c r="M2091" t="str">
        <f t="shared" si="236"/>
        <v>2019-01-14</v>
      </c>
      <c r="N2091" s="20" t="str">
        <f t="shared" si="240"/>
        <v>2019-01-14</v>
      </c>
      <c r="O2091" t="str">
        <f t="shared" si="241"/>
        <v>2019-01-14</v>
      </c>
    </row>
    <row r="2092" spans="1:15" x14ac:dyDescent="0.2">
      <c r="A2092" s="21" t="str">
        <f t="shared" si="235"/>
        <v>y</v>
      </c>
      <c r="B2092" s="24" t="s">
        <v>1934</v>
      </c>
      <c r="C2092" t="s">
        <v>65</v>
      </c>
      <c r="D2092" t="s">
        <v>14</v>
      </c>
      <c r="E2092" t="s">
        <v>8</v>
      </c>
      <c r="F2092" t="s">
        <v>2</v>
      </c>
      <c r="G2092" t="s">
        <v>179</v>
      </c>
      <c r="H2092" t="s">
        <v>2026</v>
      </c>
      <c r="I2092" s="22" t="str">
        <f t="shared" si="237"/>
        <v>2019-01-14</v>
      </c>
      <c r="J2092" s="23" t="str">
        <f t="shared" si="238"/>
        <v>14</v>
      </c>
      <c r="K2092" t="str">
        <f t="shared" si="239"/>
        <v>no</v>
      </c>
      <c r="L2092">
        <v>14</v>
      </c>
      <c r="M2092" t="str">
        <f t="shared" si="236"/>
        <v>2019-01-14</v>
      </c>
      <c r="N2092" s="20">
        <f t="shared" si="240"/>
        <v>43480</v>
      </c>
      <c r="O2092" t="str">
        <f t="shared" si="241"/>
        <v>2019-01-15</v>
      </c>
    </row>
    <row r="2093" spans="1:15" x14ac:dyDescent="0.2">
      <c r="A2093" s="21" t="str">
        <f t="shared" si="235"/>
        <v>y</v>
      </c>
      <c r="B2093" s="24" t="s">
        <v>1934</v>
      </c>
      <c r="C2093" t="s">
        <v>176</v>
      </c>
      <c r="D2093" t="s">
        <v>14</v>
      </c>
      <c r="E2093" t="s">
        <v>27</v>
      </c>
      <c r="F2093" t="s">
        <v>2</v>
      </c>
      <c r="H2093" t="s">
        <v>2032</v>
      </c>
      <c r="I2093" s="22" t="str">
        <f t="shared" si="237"/>
        <v>2019-01-14</v>
      </c>
      <c r="J2093" s="23" t="str">
        <f t="shared" si="238"/>
        <v>14</v>
      </c>
      <c r="K2093" t="str">
        <f t="shared" si="239"/>
        <v>no</v>
      </c>
      <c r="L2093">
        <v>14</v>
      </c>
      <c r="M2093" t="str">
        <f t="shared" si="236"/>
        <v>2019-01-14</v>
      </c>
      <c r="N2093" s="20">
        <f t="shared" si="240"/>
        <v>43480</v>
      </c>
      <c r="O2093" t="str">
        <f t="shared" si="241"/>
        <v>2019-01-15</v>
      </c>
    </row>
    <row r="2094" spans="1:15" x14ac:dyDescent="0.2">
      <c r="A2094" s="21" t="str">
        <f t="shared" si="235"/>
        <v>y</v>
      </c>
      <c r="B2094" s="24" t="s">
        <v>1934</v>
      </c>
      <c r="C2094" t="s">
        <v>148</v>
      </c>
      <c r="D2094" t="s">
        <v>13</v>
      </c>
      <c r="E2094" t="s">
        <v>27</v>
      </c>
      <c r="F2094" t="s">
        <v>29</v>
      </c>
      <c r="G2094" t="s">
        <v>182</v>
      </c>
      <c r="H2094" t="s">
        <v>2026</v>
      </c>
      <c r="I2094" s="22" t="str">
        <f t="shared" si="237"/>
        <v>2019-01-14</v>
      </c>
      <c r="J2094" s="23" t="str">
        <f t="shared" si="238"/>
        <v>14</v>
      </c>
      <c r="K2094" t="str">
        <f t="shared" si="239"/>
        <v>no</v>
      </c>
      <c r="L2094">
        <v>14</v>
      </c>
      <c r="M2094" t="str">
        <f t="shared" si="236"/>
        <v>2019-01-14</v>
      </c>
      <c r="N2094" s="20" t="str">
        <f t="shared" si="240"/>
        <v>2019-01-14</v>
      </c>
      <c r="O2094" t="str">
        <f t="shared" si="241"/>
        <v>2019-01-14</v>
      </c>
    </row>
    <row r="2095" spans="1:15" x14ac:dyDescent="0.2">
      <c r="A2095" s="21" t="str">
        <f t="shared" si="235"/>
        <v>y</v>
      </c>
      <c r="B2095" s="24" t="s">
        <v>1935</v>
      </c>
      <c r="C2095" t="s">
        <v>162</v>
      </c>
      <c r="D2095" t="s">
        <v>13</v>
      </c>
      <c r="E2095" t="s">
        <v>43</v>
      </c>
      <c r="F2095" t="s">
        <v>29</v>
      </c>
      <c r="G2095" t="s">
        <v>175</v>
      </c>
      <c r="H2095" t="s">
        <v>2032</v>
      </c>
      <c r="I2095" s="22" t="str">
        <f t="shared" si="237"/>
        <v>2019-01-13</v>
      </c>
      <c r="J2095" s="23" t="str">
        <f t="shared" si="238"/>
        <v>13</v>
      </c>
      <c r="K2095" t="str">
        <f t="shared" si="239"/>
        <v>no</v>
      </c>
      <c r="L2095">
        <v>13</v>
      </c>
      <c r="M2095" t="str">
        <f t="shared" si="236"/>
        <v>2019-01-13</v>
      </c>
      <c r="N2095" s="20" t="str">
        <f t="shared" si="240"/>
        <v>2019-01-13</v>
      </c>
      <c r="O2095" t="str">
        <f t="shared" si="241"/>
        <v>2019-01-13</v>
      </c>
    </row>
    <row r="2096" spans="1:15" x14ac:dyDescent="0.2">
      <c r="A2096" s="21" t="str">
        <f t="shared" si="235"/>
        <v>y</v>
      </c>
      <c r="B2096" s="24" t="s">
        <v>1935</v>
      </c>
      <c r="C2096" t="s">
        <v>163</v>
      </c>
      <c r="D2096" t="s">
        <v>13</v>
      </c>
      <c r="E2096" t="s">
        <v>43</v>
      </c>
      <c r="F2096" t="s">
        <v>29</v>
      </c>
      <c r="G2096" t="s">
        <v>174</v>
      </c>
      <c r="H2096" t="s">
        <v>2032</v>
      </c>
      <c r="I2096" s="22" t="str">
        <f t="shared" si="237"/>
        <v>2019-01-13</v>
      </c>
      <c r="J2096" s="23" t="str">
        <f t="shared" si="238"/>
        <v>13</v>
      </c>
      <c r="K2096" t="str">
        <f t="shared" si="239"/>
        <v>no</v>
      </c>
      <c r="L2096">
        <v>13</v>
      </c>
      <c r="M2096" t="str">
        <f t="shared" si="236"/>
        <v>2019-01-13</v>
      </c>
      <c r="N2096" s="20" t="str">
        <f t="shared" si="240"/>
        <v>2019-01-13</v>
      </c>
      <c r="O2096" t="str">
        <f t="shared" si="241"/>
        <v>2019-01-13</v>
      </c>
    </row>
    <row r="2097" spans="1:15" x14ac:dyDescent="0.2">
      <c r="A2097" s="21" t="str">
        <f t="shared" si="235"/>
        <v>y</v>
      </c>
      <c r="B2097" s="24" t="s">
        <v>1935</v>
      </c>
      <c r="C2097" t="s">
        <v>150</v>
      </c>
      <c r="D2097" t="s">
        <v>13</v>
      </c>
      <c r="E2097" t="s">
        <v>42</v>
      </c>
      <c r="F2097" t="s">
        <v>29</v>
      </c>
      <c r="G2097" t="s">
        <v>166</v>
      </c>
      <c r="H2097" t="s">
        <v>2032</v>
      </c>
      <c r="I2097" s="22" t="str">
        <f t="shared" si="237"/>
        <v>2019-01-13</v>
      </c>
      <c r="J2097" s="23" t="str">
        <f t="shared" si="238"/>
        <v>13</v>
      </c>
      <c r="K2097" t="str">
        <f t="shared" si="239"/>
        <v>no</v>
      </c>
      <c r="L2097">
        <v>13</v>
      </c>
      <c r="M2097" t="str">
        <f t="shared" si="236"/>
        <v>2019-01-13</v>
      </c>
      <c r="N2097" s="20" t="str">
        <f t="shared" si="240"/>
        <v>2019-01-13</v>
      </c>
      <c r="O2097" t="str">
        <f t="shared" si="241"/>
        <v>2019-01-13</v>
      </c>
    </row>
    <row r="2098" spans="1:15" x14ac:dyDescent="0.2">
      <c r="A2098" s="21" t="str">
        <f t="shared" si="235"/>
        <v>y</v>
      </c>
      <c r="B2098" s="24" t="s">
        <v>1935</v>
      </c>
      <c r="C2098" t="s">
        <v>151</v>
      </c>
      <c r="D2098" t="s">
        <v>13</v>
      </c>
      <c r="E2098" t="s">
        <v>64</v>
      </c>
      <c r="F2098" t="s">
        <v>29</v>
      </c>
      <c r="G2098" t="s">
        <v>167</v>
      </c>
      <c r="H2098" t="s">
        <v>2026</v>
      </c>
      <c r="I2098" s="22" t="str">
        <f t="shared" si="237"/>
        <v>2019-01-13</v>
      </c>
      <c r="J2098" s="23" t="str">
        <f t="shared" si="238"/>
        <v>13</v>
      </c>
      <c r="K2098" t="str">
        <f t="shared" si="239"/>
        <v>no</v>
      </c>
      <c r="L2098">
        <v>13</v>
      </c>
      <c r="M2098" t="str">
        <f t="shared" si="236"/>
        <v>2019-01-13</v>
      </c>
      <c r="N2098" s="20" t="str">
        <f t="shared" si="240"/>
        <v>2019-01-13</v>
      </c>
      <c r="O2098" t="str">
        <f t="shared" si="241"/>
        <v>2019-01-13</v>
      </c>
    </row>
    <row r="2099" spans="1:15" x14ac:dyDescent="0.2">
      <c r="A2099" s="21" t="str">
        <f t="shared" si="235"/>
        <v>y</v>
      </c>
      <c r="B2099" s="24" t="s">
        <v>1935</v>
      </c>
      <c r="C2099" t="s">
        <v>32</v>
      </c>
      <c r="D2099" t="s">
        <v>13</v>
      </c>
      <c r="E2099" t="s">
        <v>42</v>
      </c>
      <c r="F2099" t="s">
        <v>2</v>
      </c>
      <c r="G2099" t="s">
        <v>168</v>
      </c>
      <c r="H2099" t="s">
        <v>2032</v>
      </c>
      <c r="I2099" s="22" t="str">
        <f t="shared" si="237"/>
        <v>2019-01-13</v>
      </c>
      <c r="J2099" s="23" t="str">
        <f t="shared" si="238"/>
        <v>13</v>
      </c>
      <c r="K2099" t="str">
        <f t="shared" si="239"/>
        <v>no</v>
      </c>
      <c r="L2099">
        <v>13</v>
      </c>
      <c r="M2099" t="str">
        <f t="shared" si="236"/>
        <v>2019-01-13</v>
      </c>
      <c r="N2099" s="20">
        <f t="shared" si="240"/>
        <v>43479</v>
      </c>
      <c r="O2099" t="str">
        <f t="shared" si="241"/>
        <v>2019-01-14</v>
      </c>
    </row>
    <row r="2100" spans="1:15" x14ac:dyDescent="0.2">
      <c r="A2100" s="21" t="str">
        <f t="shared" si="235"/>
        <v>y</v>
      </c>
      <c r="B2100" s="24" t="s">
        <v>1935</v>
      </c>
      <c r="C2100" t="s">
        <v>152</v>
      </c>
      <c r="D2100" t="s">
        <v>13</v>
      </c>
      <c r="E2100" t="s">
        <v>8</v>
      </c>
      <c r="F2100" t="s">
        <v>29</v>
      </c>
      <c r="G2100" t="s">
        <v>169</v>
      </c>
      <c r="H2100" t="s">
        <v>2026</v>
      </c>
      <c r="I2100" s="22" t="str">
        <f t="shared" ref="I2100:I2120" si="242">IF(K2100="yes",TEXT(B2100,"YYYY-DD-MM"),TEXT(B2100,"YYYY-MM-DD"))</f>
        <v>2019-01-13</v>
      </c>
      <c r="J2100" s="23" t="str">
        <f t="shared" ref="J2100:J2120" si="243">LEFT(B2100,2)</f>
        <v>13</v>
      </c>
      <c r="K2100" t="str">
        <f t="shared" ref="K2100:K2120" si="244">IF(L2100&gt;31,"yes","no")</f>
        <v>no</v>
      </c>
      <c r="L2100">
        <v>13</v>
      </c>
      <c r="M2100" t="str">
        <f t="shared" si="236"/>
        <v>2019-01-13</v>
      </c>
      <c r="N2100" s="20" t="str">
        <f t="shared" ref="N2100:N2120" si="245">IF(F2100="DONE",M2100,M2100+1)</f>
        <v>2019-01-13</v>
      </c>
      <c r="O2100" t="str">
        <f t="shared" ref="O2100:O2120" si="246">TEXT(N2100,"YYYY-MM-DD")</f>
        <v>2019-01-13</v>
      </c>
    </row>
    <row r="2101" spans="1:15" x14ac:dyDescent="0.2">
      <c r="A2101" s="21" t="str">
        <f t="shared" si="235"/>
        <v>y</v>
      </c>
      <c r="B2101" s="24" t="s">
        <v>1935</v>
      </c>
      <c r="C2101" t="s">
        <v>154</v>
      </c>
      <c r="D2101" t="s">
        <v>14</v>
      </c>
      <c r="E2101" t="s">
        <v>46</v>
      </c>
      <c r="F2101" t="s">
        <v>29</v>
      </c>
      <c r="G2101" t="s">
        <v>170</v>
      </c>
      <c r="H2101" t="s">
        <v>2032</v>
      </c>
      <c r="I2101" s="22" t="str">
        <f t="shared" si="242"/>
        <v>2019-01-13</v>
      </c>
      <c r="J2101" s="23" t="str">
        <f t="shared" si="243"/>
        <v>13</v>
      </c>
      <c r="K2101" t="str">
        <f t="shared" si="244"/>
        <v>no</v>
      </c>
      <c r="L2101">
        <v>13</v>
      </c>
      <c r="M2101" t="str">
        <f t="shared" si="236"/>
        <v>2019-01-13</v>
      </c>
      <c r="N2101" s="20" t="str">
        <f t="shared" si="245"/>
        <v>2019-01-13</v>
      </c>
      <c r="O2101" t="str">
        <f t="shared" si="246"/>
        <v>2019-01-13</v>
      </c>
    </row>
    <row r="2102" spans="1:15" x14ac:dyDescent="0.2">
      <c r="A2102" s="21" t="str">
        <f t="shared" si="235"/>
        <v>y</v>
      </c>
      <c r="B2102" s="24" t="s">
        <v>1935</v>
      </c>
      <c r="C2102" t="s">
        <v>63</v>
      </c>
      <c r="D2102" t="s">
        <v>13</v>
      </c>
      <c r="E2102" t="s">
        <v>8</v>
      </c>
      <c r="F2102" t="s">
        <v>2</v>
      </c>
      <c r="G2102" t="s">
        <v>171</v>
      </c>
      <c r="H2102" t="s">
        <v>2032</v>
      </c>
      <c r="I2102" s="22" t="str">
        <f t="shared" si="242"/>
        <v>2019-01-13</v>
      </c>
      <c r="J2102" s="23" t="str">
        <f t="shared" si="243"/>
        <v>13</v>
      </c>
      <c r="K2102" t="str">
        <f t="shared" si="244"/>
        <v>no</v>
      </c>
      <c r="L2102">
        <v>13</v>
      </c>
      <c r="M2102" t="str">
        <f t="shared" si="236"/>
        <v>2019-01-13</v>
      </c>
      <c r="N2102" s="20">
        <f t="shared" si="245"/>
        <v>43479</v>
      </c>
      <c r="O2102" t="str">
        <f t="shared" si="246"/>
        <v>2019-01-14</v>
      </c>
    </row>
    <row r="2103" spans="1:15" x14ac:dyDescent="0.2">
      <c r="A2103" s="21" t="str">
        <f t="shared" si="235"/>
        <v>y</v>
      </c>
      <c r="B2103" s="24" t="s">
        <v>1935</v>
      </c>
      <c r="C2103" t="s">
        <v>65</v>
      </c>
      <c r="D2103" t="s">
        <v>14</v>
      </c>
      <c r="E2103" t="s">
        <v>8</v>
      </c>
      <c r="F2103" t="s">
        <v>2</v>
      </c>
      <c r="G2103" t="s">
        <v>172</v>
      </c>
      <c r="H2103" t="s">
        <v>2026</v>
      </c>
      <c r="I2103" s="22" t="str">
        <f t="shared" si="242"/>
        <v>2019-01-13</v>
      </c>
      <c r="J2103" s="23" t="str">
        <f t="shared" si="243"/>
        <v>13</v>
      </c>
      <c r="K2103" t="str">
        <f t="shared" si="244"/>
        <v>no</v>
      </c>
      <c r="L2103">
        <v>13</v>
      </c>
      <c r="M2103" t="str">
        <f t="shared" si="236"/>
        <v>2019-01-13</v>
      </c>
      <c r="N2103" s="20">
        <f t="shared" si="245"/>
        <v>43479</v>
      </c>
      <c r="O2103" t="str">
        <f t="shared" si="246"/>
        <v>2019-01-14</v>
      </c>
    </row>
    <row r="2104" spans="1:15" x14ac:dyDescent="0.2">
      <c r="A2104" s="21" t="str">
        <f t="shared" si="235"/>
        <v>y</v>
      </c>
      <c r="B2104" s="24" t="s">
        <v>1935</v>
      </c>
      <c r="C2104" t="s">
        <v>148</v>
      </c>
      <c r="D2104" t="s">
        <v>13</v>
      </c>
      <c r="E2104" t="s">
        <v>8</v>
      </c>
      <c r="F2104" t="s">
        <v>2</v>
      </c>
      <c r="G2104" t="s">
        <v>173</v>
      </c>
      <c r="H2104" t="s">
        <v>2032</v>
      </c>
      <c r="I2104" s="22" t="str">
        <f t="shared" si="242"/>
        <v>2019-01-13</v>
      </c>
      <c r="J2104" s="23" t="str">
        <f t="shared" si="243"/>
        <v>13</v>
      </c>
      <c r="K2104" t="str">
        <f t="shared" si="244"/>
        <v>no</v>
      </c>
      <c r="L2104">
        <v>13</v>
      </c>
      <c r="M2104" t="str">
        <f t="shared" si="236"/>
        <v>2019-01-13</v>
      </c>
      <c r="N2104" s="20">
        <f t="shared" si="245"/>
        <v>43479</v>
      </c>
      <c r="O2104" t="str">
        <f t="shared" si="246"/>
        <v>2019-01-14</v>
      </c>
    </row>
    <row r="2105" spans="1:15" x14ac:dyDescent="0.2">
      <c r="A2105" s="21" t="str">
        <f t="shared" si="235"/>
        <v>y</v>
      </c>
      <c r="B2105" s="24" t="s">
        <v>1935</v>
      </c>
      <c r="C2105" t="s">
        <v>176</v>
      </c>
      <c r="D2105" t="s">
        <v>14</v>
      </c>
      <c r="E2105" t="s">
        <v>27</v>
      </c>
      <c r="F2105" t="s">
        <v>2</v>
      </c>
      <c r="G2105" t="s">
        <v>177</v>
      </c>
      <c r="H2105" t="s">
        <v>2026</v>
      </c>
      <c r="I2105" s="22" t="str">
        <f t="shared" si="242"/>
        <v>2019-01-13</v>
      </c>
      <c r="J2105" s="23" t="str">
        <f t="shared" si="243"/>
        <v>13</v>
      </c>
      <c r="K2105" t="str">
        <f t="shared" si="244"/>
        <v>no</v>
      </c>
      <c r="L2105">
        <v>13</v>
      </c>
      <c r="M2105" t="str">
        <f t="shared" si="236"/>
        <v>2019-01-13</v>
      </c>
      <c r="N2105" s="20">
        <f t="shared" si="245"/>
        <v>43479</v>
      </c>
      <c r="O2105" t="str">
        <f t="shared" si="246"/>
        <v>2019-01-14</v>
      </c>
    </row>
    <row r="2106" spans="1:15" x14ac:dyDescent="0.2">
      <c r="A2106" s="21" t="str">
        <f t="shared" si="235"/>
        <v>y</v>
      </c>
      <c r="B2106" s="24">
        <v>43739</v>
      </c>
      <c r="C2106" t="s">
        <v>150</v>
      </c>
      <c r="D2106" t="s">
        <v>13</v>
      </c>
      <c r="E2106" t="s">
        <v>34</v>
      </c>
      <c r="F2106" t="s">
        <v>2</v>
      </c>
      <c r="H2106" t="s">
        <v>2026</v>
      </c>
      <c r="I2106" s="22" t="str">
        <f t="shared" si="242"/>
        <v>2019-01-10</v>
      </c>
      <c r="J2106" s="23" t="str">
        <f t="shared" si="243"/>
        <v>43</v>
      </c>
      <c r="K2106" t="str">
        <f t="shared" si="244"/>
        <v>yes</v>
      </c>
      <c r="L2106">
        <v>43</v>
      </c>
      <c r="M2106" t="str">
        <f t="shared" si="236"/>
        <v>2019-01-10</v>
      </c>
      <c r="N2106" s="20">
        <f t="shared" si="245"/>
        <v>43476</v>
      </c>
      <c r="O2106" t="str">
        <f t="shared" si="246"/>
        <v>2019-01-11</v>
      </c>
    </row>
    <row r="2107" spans="1:15" x14ac:dyDescent="0.2">
      <c r="A2107" s="21" t="str">
        <f t="shared" si="235"/>
        <v>y</v>
      </c>
      <c r="B2107" s="24">
        <v>43739</v>
      </c>
      <c r="C2107" t="s">
        <v>65</v>
      </c>
      <c r="D2107" t="s">
        <v>14</v>
      </c>
      <c r="E2107" t="s">
        <v>49</v>
      </c>
      <c r="F2107" t="s">
        <v>2</v>
      </c>
      <c r="H2107" t="s">
        <v>2032</v>
      </c>
      <c r="I2107" s="22" t="str">
        <f t="shared" si="242"/>
        <v>2019-01-10</v>
      </c>
      <c r="J2107" s="23" t="str">
        <f t="shared" si="243"/>
        <v>43</v>
      </c>
      <c r="K2107" t="str">
        <f t="shared" si="244"/>
        <v>yes</v>
      </c>
      <c r="L2107">
        <v>43</v>
      </c>
      <c r="M2107" t="str">
        <f t="shared" si="236"/>
        <v>2019-01-10</v>
      </c>
      <c r="N2107" s="20">
        <f t="shared" si="245"/>
        <v>43476</v>
      </c>
      <c r="O2107" t="str">
        <f t="shared" si="246"/>
        <v>2019-01-11</v>
      </c>
    </row>
    <row r="2108" spans="1:15" x14ac:dyDescent="0.2">
      <c r="A2108" s="21" t="str">
        <f t="shared" si="235"/>
        <v>y</v>
      </c>
      <c r="B2108" s="24">
        <v>43709</v>
      </c>
      <c r="C2108" t="s">
        <v>162</v>
      </c>
      <c r="D2108" t="s">
        <v>13</v>
      </c>
      <c r="E2108" t="s">
        <v>4</v>
      </c>
      <c r="F2108" t="s">
        <v>29</v>
      </c>
      <c r="G2108" t="s">
        <v>164</v>
      </c>
      <c r="I2108" s="22" t="str">
        <f t="shared" si="242"/>
        <v>2019-01-09</v>
      </c>
      <c r="J2108" s="23" t="str">
        <f t="shared" si="243"/>
        <v>43</v>
      </c>
      <c r="K2108" t="str">
        <f t="shared" si="244"/>
        <v>yes</v>
      </c>
      <c r="L2108">
        <v>43</v>
      </c>
      <c r="M2108" t="str">
        <f t="shared" si="236"/>
        <v>2019-01-09</v>
      </c>
      <c r="N2108" s="20" t="str">
        <f t="shared" si="245"/>
        <v>2019-01-09</v>
      </c>
      <c r="O2108" t="str">
        <f t="shared" si="246"/>
        <v>2019-01-09</v>
      </c>
    </row>
    <row r="2109" spans="1:15" x14ac:dyDescent="0.2">
      <c r="A2109" s="21" t="str">
        <f t="shared" si="235"/>
        <v>y</v>
      </c>
      <c r="B2109" s="24">
        <v>43709</v>
      </c>
      <c r="C2109" t="s">
        <v>152</v>
      </c>
      <c r="D2109" t="s">
        <v>13</v>
      </c>
      <c r="E2109" t="s">
        <v>4</v>
      </c>
      <c r="F2109" t="s">
        <v>29</v>
      </c>
      <c r="G2109" t="s">
        <v>165</v>
      </c>
      <c r="I2109" s="22" t="str">
        <f t="shared" si="242"/>
        <v>2019-01-09</v>
      </c>
      <c r="J2109" s="23" t="str">
        <f t="shared" si="243"/>
        <v>43</v>
      </c>
      <c r="K2109" t="str">
        <f t="shared" si="244"/>
        <v>yes</v>
      </c>
      <c r="L2109">
        <v>43</v>
      </c>
      <c r="M2109" t="str">
        <f t="shared" si="236"/>
        <v>2019-01-09</v>
      </c>
      <c r="N2109" s="20" t="str">
        <f t="shared" si="245"/>
        <v>2019-01-09</v>
      </c>
      <c r="O2109" t="str">
        <f t="shared" si="246"/>
        <v>2019-01-09</v>
      </c>
    </row>
    <row r="2110" spans="1:15" x14ac:dyDescent="0.2">
      <c r="A2110" s="21" t="str">
        <f t="shared" si="235"/>
        <v>y</v>
      </c>
      <c r="B2110" s="24">
        <v>43678</v>
      </c>
      <c r="C2110" t="s">
        <v>150</v>
      </c>
      <c r="D2110" t="s">
        <v>13</v>
      </c>
      <c r="E2110" t="s">
        <v>34</v>
      </c>
      <c r="F2110" t="s">
        <v>2</v>
      </c>
      <c r="I2110" s="22" t="str">
        <f t="shared" si="242"/>
        <v>2019-01-08</v>
      </c>
      <c r="J2110" s="23" t="str">
        <f t="shared" si="243"/>
        <v>43</v>
      </c>
      <c r="K2110" t="str">
        <f t="shared" si="244"/>
        <v>yes</v>
      </c>
      <c r="L2110">
        <v>43</v>
      </c>
      <c r="M2110" t="str">
        <f t="shared" si="236"/>
        <v>2019-01-08</v>
      </c>
      <c r="N2110" s="20">
        <f t="shared" si="245"/>
        <v>43474</v>
      </c>
      <c r="O2110" t="str">
        <f t="shared" si="246"/>
        <v>2019-01-09</v>
      </c>
    </row>
    <row r="2111" spans="1:15" x14ac:dyDescent="0.2">
      <c r="A2111" s="21" t="str">
        <f t="shared" si="235"/>
        <v>y</v>
      </c>
      <c r="B2111" s="24">
        <v>43678</v>
      </c>
      <c r="C2111" t="s">
        <v>65</v>
      </c>
      <c r="D2111" t="s">
        <v>14</v>
      </c>
      <c r="E2111" t="s">
        <v>49</v>
      </c>
      <c r="F2111" t="s">
        <v>2</v>
      </c>
      <c r="I2111" s="22" t="str">
        <f t="shared" si="242"/>
        <v>2019-01-08</v>
      </c>
      <c r="J2111" s="23" t="str">
        <f t="shared" si="243"/>
        <v>43</v>
      </c>
      <c r="K2111" t="str">
        <f t="shared" si="244"/>
        <v>yes</v>
      </c>
      <c r="L2111">
        <v>43</v>
      </c>
      <c r="M2111" t="str">
        <f t="shared" si="236"/>
        <v>2019-01-08</v>
      </c>
      <c r="N2111" s="20">
        <f t="shared" si="245"/>
        <v>43474</v>
      </c>
      <c r="O2111" t="str">
        <f t="shared" si="246"/>
        <v>2019-01-09</v>
      </c>
    </row>
    <row r="2112" spans="1:15" x14ac:dyDescent="0.2">
      <c r="A2112" s="21" t="str">
        <f t="shared" si="235"/>
        <v>y</v>
      </c>
      <c r="B2112" s="24">
        <v>43647</v>
      </c>
      <c r="C2112" t="s">
        <v>150</v>
      </c>
      <c r="D2112" t="s">
        <v>13</v>
      </c>
      <c r="E2112" t="s">
        <v>34</v>
      </c>
      <c r="F2112" t="s">
        <v>2</v>
      </c>
      <c r="I2112" s="22" t="str">
        <f t="shared" si="242"/>
        <v>2019-01-07</v>
      </c>
      <c r="J2112" s="23" t="str">
        <f t="shared" si="243"/>
        <v>43</v>
      </c>
      <c r="K2112" t="str">
        <f t="shared" si="244"/>
        <v>yes</v>
      </c>
      <c r="L2112">
        <v>43</v>
      </c>
      <c r="M2112" t="str">
        <f t="shared" si="236"/>
        <v>2019-01-07</v>
      </c>
      <c r="N2112" s="20">
        <f t="shared" si="245"/>
        <v>43473</v>
      </c>
      <c r="O2112" t="str">
        <f t="shared" si="246"/>
        <v>2019-01-08</v>
      </c>
    </row>
    <row r="2113" spans="1:15" x14ac:dyDescent="0.2">
      <c r="A2113" s="21" t="str">
        <f t="shared" si="235"/>
        <v>y</v>
      </c>
      <c r="B2113" s="24">
        <v>43647</v>
      </c>
      <c r="C2113" t="s">
        <v>65</v>
      </c>
      <c r="D2113" t="s">
        <v>14</v>
      </c>
      <c r="E2113" t="s">
        <v>49</v>
      </c>
      <c r="F2113" t="s">
        <v>2</v>
      </c>
      <c r="I2113" s="22" t="str">
        <f t="shared" si="242"/>
        <v>2019-01-07</v>
      </c>
      <c r="J2113" s="23" t="str">
        <f t="shared" si="243"/>
        <v>43</v>
      </c>
      <c r="K2113" t="str">
        <f t="shared" si="244"/>
        <v>yes</v>
      </c>
      <c r="L2113">
        <v>43</v>
      </c>
      <c r="M2113" t="str">
        <f t="shared" si="236"/>
        <v>2019-01-07</v>
      </c>
      <c r="N2113" s="20">
        <f t="shared" si="245"/>
        <v>43473</v>
      </c>
      <c r="O2113" t="str">
        <f t="shared" si="246"/>
        <v>2019-01-08</v>
      </c>
    </row>
    <row r="2114" spans="1:15" x14ac:dyDescent="0.2">
      <c r="A2114" s="21" t="str">
        <f t="shared" ref="A2114:A2120" si="247">IF(LEFT(B2114,2)&gt;12,"y","-")</f>
        <v>y</v>
      </c>
      <c r="B2114" s="24">
        <v>43617</v>
      </c>
      <c r="C2114" t="s">
        <v>150</v>
      </c>
      <c r="D2114" t="s">
        <v>13</v>
      </c>
      <c r="E2114" t="s">
        <v>34</v>
      </c>
      <c r="F2114" t="s">
        <v>2</v>
      </c>
      <c r="I2114" s="22" t="str">
        <f t="shared" si="242"/>
        <v>2019-01-06</v>
      </c>
      <c r="J2114" s="23" t="str">
        <f t="shared" si="243"/>
        <v>43</v>
      </c>
      <c r="K2114" t="str">
        <f t="shared" si="244"/>
        <v>yes</v>
      </c>
      <c r="L2114">
        <v>43</v>
      </c>
      <c r="M2114" t="str">
        <f t="shared" ref="M2114:M2120" si="248">I2114</f>
        <v>2019-01-06</v>
      </c>
      <c r="N2114" s="20">
        <f t="shared" si="245"/>
        <v>43472</v>
      </c>
      <c r="O2114" t="str">
        <f t="shared" si="246"/>
        <v>2019-01-07</v>
      </c>
    </row>
    <row r="2115" spans="1:15" x14ac:dyDescent="0.2">
      <c r="A2115" s="21" t="str">
        <f t="shared" si="247"/>
        <v>y</v>
      </c>
      <c r="B2115" s="24">
        <v>43586</v>
      </c>
      <c r="C2115" t="s">
        <v>152</v>
      </c>
      <c r="D2115" t="s">
        <v>13</v>
      </c>
      <c r="E2115" t="s">
        <v>8</v>
      </c>
      <c r="F2115" t="s">
        <v>29</v>
      </c>
      <c r="G2115" t="s">
        <v>160</v>
      </c>
      <c r="I2115" s="22" t="str">
        <f t="shared" si="242"/>
        <v>2019-01-05</v>
      </c>
      <c r="J2115" s="23" t="str">
        <f t="shared" si="243"/>
        <v>43</v>
      </c>
      <c r="K2115" t="str">
        <f t="shared" si="244"/>
        <v>yes</v>
      </c>
      <c r="L2115">
        <v>43</v>
      </c>
      <c r="M2115" t="str">
        <f t="shared" si="248"/>
        <v>2019-01-05</v>
      </c>
      <c r="N2115" s="20" t="str">
        <f t="shared" si="245"/>
        <v>2019-01-05</v>
      </c>
      <c r="O2115" t="str">
        <f t="shared" si="246"/>
        <v>2019-01-05</v>
      </c>
    </row>
    <row r="2116" spans="1:15" x14ac:dyDescent="0.2">
      <c r="A2116" s="21" t="str">
        <f t="shared" si="247"/>
        <v>y</v>
      </c>
      <c r="B2116" s="24">
        <v>43525</v>
      </c>
      <c r="C2116" t="s">
        <v>65</v>
      </c>
      <c r="D2116" t="s">
        <v>14</v>
      </c>
      <c r="E2116" t="s">
        <v>27</v>
      </c>
      <c r="F2116" t="s">
        <v>29</v>
      </c>
      <c r="G2116" t="s">
        <v>158</v>
      </c>
      <c r="I2116" s="22" t="str">
        <f t="shared" si="242"/>
        <v>2019-01-03</v>
      </c>
      <c r="J2116" s="23" t="str">
        <f t="shared" si="243"/>
        <v>43</v>
      </c>
      <c r="K2116" t="str">
        <f t="shared" si="244"/>
        <v>yes</v>
      </c>
      <c r="L2116">
        <v>43</v>
      </c>
      <c r="M2116" t="str">
        <f t="shared" si="248"/>
        <v>2019-01-03</v>
      </c>
      <c r="N2116" s="20" t="str">
        <f t="shared" si="245"/>
        <v>2019-01-03</v>
      </c>
      <c r="O2116" t="str">
        <f t="shared" si="246"/>
        <v>2019-01-03</v>
      </c>
    </row>
    <row r="2117" spans="1:15" x14ac:dyDescent="0.2">
      <c r="A2117" s="21" t="str">
        <f t="shared" si="247"/>
        <v>y</v>
      </c>
      <c r="B2117" s="24">
        <v>43525</v>
      </c>
      <c r="C2117" t="s">
        <v>65</v>
      </c>
      <c r="D2117" t="s">
        <v>14</v>
      </c>
      <c r="E2117" t="s">
        <v>27</v>
      </c>
      <c r="F2117" t="s">
        <v>29</v>
      </c>
      <c r="G2117" t="s">
        <v>159</v>
      </c>
      <c r="I2117" s="22" t="str">
        <f t="shared" si="242"/>
        <v>2019-01-03</v>
      </c>
      <c r="J2117" s="23" t="str">
        <f t="shared" si="243"/>
        <v>43</v>
      </c>
      <c r="K2117" t="str">
        <f t="shared" si="244"/>
        <v>yes</v>
      </c>
      <c r="L2117">
        <v>43</v>
      </c>
      <c r="M2117" t="str">
        <f t="shared" si="248"/>
        <v>2019-01-03</v>
      </c>
      <c r="N2117" s="20" t="str">
        <f t="shared" si="245"/>
        <v>2019-01-03</v>
      </c>
      <c r="O2117" t="str">
        <f t="shared" si="246"/>
        <v>2019-01-03</v>
      </c>
    </row>
    <row r="2118" spans="1:15" x14ac:dyDescent="0.2">
      <c r="A2118" s="21" t="str">
        <f t="shared" si="247"/>
        <v>y</v>
      </c>
      <c r="B2118" s="24">
        <v>43525</v>
      </c>
      <c r="C2118" t="s">
        <v>63</v>
      </c>
      <c r="D2118" t="s">
        <v>13</v>
      </c>
      <c r="E2118" t="s">
        <v>8</v>
      </c>
      <c r="F2118" t="s">
        <v>2</v>
      </c>
      <c r="I2118" s="22" t="str">
        <f t="shared" si="242"/>
        <v>2019-01-03</v>
      </c>
      <c r="J2118" s="23" t="str">
        <f t="shared" si="243"/>
        <v>43</v>
      </c>
      <c r="K2118" t="str">
        <f t="shared" si="244"/>
        <v>yes</v>
      </c>
      <c r="L2118">
        <v>43</v>
      </c>
      <c r="M2118" t="str">
        <f t="shared" si="248"/>
        <v>2019-01-03</v>
      </c>
      <c r="N2118" s="20">
        <f t="shared" si="245"/>
        <v>43469</v>
      </c>
      <c r="O2118" t="str">
        <f t="shared" si="246"/>
        <v>2019-01-04</v>
      </c>
    </row>
    <row r="2119" spans="1:15" x14ac:dyDescent="0.2">
      <c r="A2119" s="21" t="str">
        <f t="shared" si="247"/>
        <v>y</v>
      </c>
      <c r="B2119" s="24">
        <v>43497</v>
      </c>
      <c r="C2119" t="s">
        <v>65</v>
      </c>
      <c r="D2119" t="s">
        <v>14</v>
      </c>
      <c r="E2119" t="s">
        <v>27</v>
      </c>
      <c r="F2119" t="s">
        <v>2</v>
      </c>
      <c r="G2119" t="s">
        <v>157</v>
      </c>
      <c r="I2119" s="22" t="str">
        <f t="shared" si="242"/>
        <v>2019-01-02</v>
      </c>
      <c r="J2119" s="23" t="str">
        <f t="shared" si="243"/>
        <v>43</v>
      </c>
      <c r="K2119" t="str">
        <f t="shared" si="244"/>
        <v>yes</v>
      </c>
      <c r="L2119">
        <v>43</v>
      </c>
      <c r="M2119" t="str">
        <f t="shared" si="248"/>
        <v>2019-01-02</v>
      </c>
      <c r="N2119" s="20">
        <f t="shared" si="245"/>
        <v>43468</v>
      </c>
      <c r="O2119" t="str">
        <f t="shared" si="246"/>
        <v>2019-01-03</v>
      </c>
    </row>
    <row r="2120" spans="1:15" x14ac:dyDescent="0.2">
      <c r="A2120" s="21" t="str">
        <f t="shared" si="247"/>
        <v>y</v>
      </c>
      <c r="B2120" s="24">
        <v>43497</v>
      </c>
      <c r="C2120" t="s">
        <v>63</v>
      </c>
      <c r="D2120" t="s">
        <v>13</v>
      </c>
      <c r="E2120" t="s">
        <v>8</v>
      </c>
      <c r="F2120" t="s">
        <v>2</v>
      </c>
      <c r="I2120" s="22" t="str">
        <f t="shared" si="242"/>
        <v>2019-01-02</v>
      </c>
      <c r="J2120" s="23" t="str">
        <f t="shared" si="243"/>
        <v>43</v>
      </c>
      <c r="K2120" t="str">
        <f t="shared" si="244"/>
        <v>yes</v>
      </c>
      <c r="L2120">
        <v>43</v>
      </c>
      <c r="M2120" t="str">
        <f t="shared" si="248"/>
        <v>2019-01-02</v>
      </c>
      <c r="N2120" s="20">
        <f t="shared" si="245"/>
        <v>43468</v>
      </c>
      <c r="O2120" t="str">
        <f t="shared" si="246"/>
        <v>2019-01-03</v>
      </c>
    </row>
    <row r="2121" spans="1:15" x14ac:dyDescent="0.2">
      <c r="J2121" s="23" t="str">
        <f>LEFT(B2121,3)</f>
        <v/>
      </c>
      <c r="L2121" t="s">
        <v>2106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2"/>
  <dimension ref="A1"/>
  <sheetViews>
    <sheetView zoomScale="90" zoomScaleNormal="90" workbookViewId="0">
      <selection activeCell="P18" sqref="P18"/>
    </sheetView>
  </sheetViews>
  <sheetFormatPr defaultRowHeight="14.25" x14ac:dyDescent="0.2"/>
  <cols>
    <col min="1" max="11" width="9.140625" style="1"/>
    <col min="12" max="12" width="13" style="1" customWidth="1"/>
    <col min="13" max="15" width="9.140625" style="1"/>
    <col min="16" max="16" width="10.42578125" style="1" customWidth="1"/>
    <col min="17" max="16384" width="9.140625" style="1"/>
  </cols>
  <sheetData/>
  <pageMargins left="0.3" right="0.23" top="0.75" bottom="0.75" header="0.3" footer="0.3"/>
  <pageSetup paperSize="9" scale="70" orientation="portrait" r:id="rId1"/>
  <drawing r:id="rId2"/>
  <legacyDrawing r:id="rId3"/>
  <controls>
    <mc:AlternateContent xmlns:mc="http://schemas.openxmlformats.org/markup-compatibility/2006">
      <mc:Choice Requires="x14">
        <control shapeId="1026" r:id="rId4" name="cboNew">
          <controlPr defaultSize="0" autoLine="0" autoPict="0" r:id="rId5">
            <anchor>
              <from>
                <xdr:col>10</xdr:col>
                <xdr:colOff>0</xdr:colOff>
                <xdr:row>1</xdr:row>
                <xdr:rowOff>19050</xdr:rowOff>
              </from>
              <to>
                <xdr:col>16</xdr:col>
                <xdr:colOff>428625</xdr:colOff>
                <xdr:row>2</xdr:row>
                <xdr:rowOff>123825</xdr:rowOff>
              </to>
            </anchor>
          </controlPr>
        </control>
      </mc:Choice>
      <mc:Fallback>
        <control shapeId="1026" r:id="rId4" name="cboNew"/>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84827-612A-47C7-8CEA-E3119A54D606}">
  <sheetPr codeName="Sheet541"/>
  <dimension ref="B5:G664"/>
  <sheetViews>
    <sheetView zoomScaleNormal="100" workbookViewId="0">
      <selection activeCell="F24" sqref="F24"/>
    </sheetView>
  </sheetViews>
  <sheetFormatPr defaultRowHeight="12.75" x14ac:dyDescent="0.2"/>
  <cols>
    <col min="1" max="1" width="2" customWidth="1"/>
    <col min="2" max="2" width="19" customWidth="1"/>
    <col min="3" max="3" width="28" bestFit="1" customWidth="1"/>
    <col min="4" max="4" width="11" bestFit="1" customWidth="1"/>
    <col min="5" max="5" width="22.28515625" bestFit="1" customWidth="1"/>
    <col min="6" max="6" width="17.42578125" bestFit="1" customWidth="1"/>
    <col min="7" max="7" width="87.85546875" customWidth="1"/>
  </cols>
  <sheetData>
    <row r="5" spans="2:7" s="57" customFormat="1" ht="15.75" x14ac:dyDescent="0.25">
      <c r="B5" s="98" t="s">
        <v>2103</v>
      </c>
      <c r="C5" s="98" t="s">
        <v>3597</v>
      </c>
      <c r="D5" s="98" t="s">
        <v>3598</v>
      </c>
      <c r="E5" s="98" t="s">
        <v>3599</v>
      </c>
      <c r="F5" s="98" t="s">
        <v>2793</v>
      </c>
      <c r="G5" s="98" t="s">
        <v>2818</v>
      </c>
    </row>
    <row r="6" spans="2:7" ht="18" x14ac:dyDescent="0.25">
      <c r="B6" s="86" t="s">
        <v>3578</v>
      </c>
      <c r="C6" s="87"/>
      <c r="D6" s="88"/>
      <c r="E6" s="88"/>
      <c r="F6" s="88"/>
      <c r="G6" s="89"/>
    </row>
    <row r="7" spans="2:7" x14ac:dyDescent="0.2">
      <c r="B7" s="90" t="s">
        <v>3580</v>
      </c>
      <c r="C7" s="85" t="s">
        <v>2775</v>
      </c>
      <c r="D7" t="s">
        <v>13</v>
      </c>
      <c r="E7" t="s">
        <v>27</v>
      </c>
      <c r="F7" t="s">
        <v>2</v>
      </c>
      <c r="G7" s="91" t="s">
        <v>3447</v>
      </c>
    </row>
    <row r="8" spans="2:7" x14ac:dyDescent="0.2">
      <c r="B8" s="90" t="s">
        <v>3580</v>
      </c>
      <c r="C8" s="85" t="s">
        <v>151</v>
      </c>
      <c r="D8" t="s">
        <v>13</v>
      </c>
      <c r="E8" t="s">
        <v>27</v>
      </c>
      <c r="F8" t="s">
        <v>2</v>
      </c>
      <c r="G8" s="91" t="s">
        <v>3450</v>
      </c>
    </row>
    <row r="9" spans="2:7" x14ac:dyDescent="0.2">
      <c r="B9" s="90" t="s">
        <v>3580</v>
      </c>
      <c r="C9" s="85" t="s">
        <v>235</v>
      </c>
      <c r="D9" t="s">
        <v>13</v>
      </c>
      <c r="E9" t="s">
        <v>49</v>
      </c>
      <c r="F9" t="s">
        <v>2</v>
      </c>
      <c r="G9" s="91" t="s">
        <v>3446</v>
      </c>
    </row>
    <row r="10" spans="2:7" x14ac:dyDescent="0.2">
      <c r="B10" s="90" t="s">
        <v>3580</v>
      </c>
      <c r="C10" s="85" t="s">
        <v>2949</v>
      </c>
      <c r="D10" t="s">
        <v>13</v>
      </c>
      <c r="E10" t="s">
        <v>49</v>
      </c>
      <c r="F10" t="s">
        <v>29</v>
      </c>
      <c r="G10" s="91" t="s">
        <v>3449</v>
      </c>
    </row>
    <row r="11" spans="2:7" x14ac:dyDescent="0.2">
      <c r="B11" s="90" t="s">
        <v>3580</v>
      </c>
      <c r="C11" s="85" t="s">
        <v>3335</v>
      </c>
      <c r="D11" t="s">
        <v>13</v>
      </c>
      <c r="E11" t="s">
        <v>49</v>
      </c>
      <c r="F11" t="s">
        <v>29</v>
      </c>
      <c r="G11" s="91" t="s">
        <v>3445</v>
      </c>
    </row>
    <row r="12" spans="2:7" x14ac:dyDescent="0.2">
      <c r="B12" s="90" t="s">
        <v>3580</v>
      </c>
      <c r="C12" s="85" t="s">
        <v>3386</v>
      </c>
      <c r="D12" t="s">
        <v>13</v>
      </c>
      <c r="E12" t="s">
        <v>27</v>
      </c>
      <c r="F12" t="s">
        <v>2</v>
      </c>
      <c r="G12" s="91" t="s">
        <v>3448</v>
      </c>
    </row>
    <row r="13" spans="2:7" x14ac:dyDescent="0.2">
      <c r="B13" s="90" t="s">
        <v>3581</v>
      </c>
      <c r="C13" s="85" t="s">
        <v>2775</v>
      </c>
      <c r="D13" t="s">
        <v>13</v>
      </c>
      <c r="E13" t="s">
        <v>27</v>
      </c>
      <c r="F13" t="s">
        <v>2</v>
      </c>
      <c r="G13" s="91"/>
    </row>
    <row r="14" spans="2:7" x14ac:dyDescent="0.2">
      <c r="B14" s="90" t="s">
        <v>3581</v>
      </c>
      <c r="C14" s="85" t="s">
        <v>151</v>
      </c>
      <c r="D14" t="s">
        <v>13</v>
      </c>
      <c r="E14" t="s">
        <v>27</v>
      </c>
      <c r="F14" t="s">
        <v>2</v>
      </c>
      <c r="G14" s="91"/>
    </row>
    <row r="15" spans="2:7" x14ac:dyDescent="0.2">
      <c r="B15" s="90" t="s">
        <v>3581</v>
      </c>
      <c r="C15" s="85" t="s">
        <v>3427</v>
      </c>
      <c r="D15" t="s">
        <v>13</v>
      </c>
      <c r="E15" t="s">
        <v>27</v>
      </c>
      <c r="F15" t="s">
        <v>2</v>
      </c>
      <c r="G15" s="91"/>
    </row>
    <row r="16" spans="2:7" x14ac:dyDescent="0.2">
      <c r="B16" s="90" t="s">
        <v>3581</v>
      </c>
      <c r="C16" s="85" t="s">
        <v>235</v>
      </c>
      <c r="D16" t="s">
        <v>13</v>
      </c>
      <c r="E16" t="s">
        <v>27</v>
      </c>
      <c r="F16" t="s">
        <v>2</v>
      </c>
      <c r="G16" s="91" t="s">
        <v>3444</v>
      </c>
    </row>
    <row r="17" spans="2:7" x14ac:dyDescent="0.2">
      <c r="B17" s="90" t="s">
        <v>3582</v>
      </c>
      <c r="C17" s="85" t="s">
        <v>2775</v>
      </c>
      <c r="D17" t="s">
        <v>13</v>
      </c>
      <c r="E17" t="s">
        <v>27</v>
      </c>
      <c r="F17" t="s">
        <v>2</v>
      </c>
      <c r="G17" s="91"/>
    </row>
    <row r="18" spans="2:7" x14ac:dyDescent="0.2">
      <c r="B18" s="90" t="s">
        <v>3582</v>
      </c>
      <c r="C18" s="85" t="s">
        <v>151</v>
      </c>
      <c r="D18" t="s">
        <v>13</v>
      </c>
      <c r="E18" t="s">
        <v>27</v>
      </c>
      <c r="F18" t="s">
        <v>2</v>
      </c>
      <c r="G18" s="91"/>
    </row>
    <row r="19" spans="2:7" x14ac:dyDescent="0.2">
      <c r="B19" s="90" t="s">
        <v>3582</v>
      </c>
      <c r="C19" s="85" t="s">
        <v>3427</v>
      </c>
      <c r="D19" t="s">
        <v>13</v>
      </c>
      <c r="E19" t="s">
        <v>27</v>
      </c>
      <c r="F19" t="s">
        <v>2</v>
      </c>
      <c r="G19" s="91"/>
    </row>
    <row r="20" spans="2:7" x14ac:dyDescent="0.2">
      <c r="B20" s="90" t="s">
        <v>3582</v>
      </c>
      <c r="C20" s="85" t="s">
        <v>3335</v>
      </c>
      <c r="D20" t="s">
        <v>13</v>
      </c>
      <c r="E20" t="s">
        <v>34</v>
      </c>
      <c r="F20" t="s">
        <v>29</v>
      </c>
      <c r="G20" s="91" t="s">
        <v>3443</v>
      </c>
    </row>
    <row r="21" spans="2:7" x14ac:dyDescent="0.2">
      <c r="B21" s="90" t="s">
        <v>3583</v>
      </c>
      <c r="C21" s="85" t="s">
        <v>2775</v>
      </c>
      <c r="D21" t="s">
        <v>13</v>
      </c>
      <c r="E21" t="s">
        <v>27</v>
      </c>
      <c r="F21" t="s">
        <v>2</v>
      </c>
      <c r="G21" s="91"/>
    </row>
    <row r="22" spans="2:7" x14ac:dyDescent="0.2">
      <c r="B22" s="90" t="s">
        <v>3583</v>
      </c>
      <c r="C22" s="85" t="s">
        <v>2775</v>
      </c>
      <c r="D22" t="s">
        <v>13</v>
      </c>
      <c r="E22" t="s">
        <v>34</v>
      </c>
      <c r="F22" t="s">
        <v>29</v>
      </c>
      <c r="G22" s="91" t="s">
        <v>3439</v>
      </c>
    </row>
    <row r="23" spans="2:7" x14ac:dyDescent="0.2">
      <c r="B23" s="90" t="s">
        <v>3583</v>
      </c>
      <c r="C23" s="85" t="s">
        <v>151</v>
      </c>
      <c r="D23" t="s">
        <v>13</v>
      </c>
      <c r="E23" t="s">
        <v>27</v>
      </c>
      <c r="F23" t="s">
        <v>2</v>
      </c>
      <c r="G23" s="91"/>
    </row>
    <row r="24" spans="2:7" x14ac:dyDescent="0.2">
      <c r="B24" s="90" t="s">
        <v>3583</v>
      </c>
      <c r="C24" s="85" t="s">
        <v>2949</v>
      </c>
      <c r="D24" t="s">
        <v>13</v>
      </c>
      <c r="E24" t="s">
        <v>34</v>
      </c>
      <c r="F24" t="s">
        <v>29</v>
      </c>
      <c r="G24" s="91" t="s">
        <v>3440</v>
      </c>
    </row>
    <row r="25" spans="2:7" x14ac:dyDescent="0.2">
      <c r="B25" s="90" t="s">
        <v>3583</v>
      </c>
      <c r="C25" s="85" t="s">
        <v>235</v>
      </c>
      <c r="D25" t="s">
        <v>13</v>
      </c>
      <c r="E25" t="s">
        <v>49</v>
      </c>
      <c r="F25" t="s">
        <v>29</v>
      </c>
      <c r="G25" s="91" t="s">
        <v>3438</v>
      </c>
    </row>
    <row r="26" spans="2:7" x14ac:dyDescent="0.2">
      <c r="B26" s="90" t="s">
        <v>3583</v>
      </c>
      <c r="C26" s="85" t="s">
        <v>3427</v>
      </c>
      <c r="D26" t="s">
        <v>13</v>
      </c>
      <c r="E26" t="s">
        <v>27</v>
      </c>
      <c r="F26" t="s">
        <v>2</v>
      </c>
      <c r="G26" s="91"/>
    </row>
    <row r="27" spans="2:7" x14ac:dyDescent="0.2">
      <c r="B27" s="90" t="s">
        <v>3583</v>
      </c>
      <c r="C27" s="85" t="s">
        <v>3335</v>
      </c>
      <c r="D27" t="s">
        <v>13</v>
      </c>
      <c r="E27" t="s">
        <v>34</v>
      </c>
      <c r="F27" t="s">
        <v>29</v>
      </c>
      <c r="G27" s="91" t="s">
        <v>3441</v>
      </c>
    </row>
    <row r="28" spans="2:7" x14ac:dyDescent="0.2">
      <c r="B28" s="90" t="s">
        <v>3583</v>
      </c>
      <c r="C28" s="85" t="s">
        <v>3386</v>
      </c>
      <c r="D28" t="s">
        <v>13</v>
      </c>
      <c r="E28" t="s">
        <v>49</v>
      </c>
      <c r="F28" t="s">
        <v>29</v>
      </c>
      <c r="G28" s="91" t="s">
        <v>3442</v>
      </c>
    </row>
    <row r="29" spans="2:7" x14ac:dyDescent="0.2">
      <c r="B29" s="90" t="s">
        <v>3584</v>
      </c>
      <c r="C29" s="85" t="s">
        <v>2775</v>
      </c>
      <c r="D29" t="s">
        <v>13</v>
      </c>
      <c r="E29" t="s">
        <v>27</v>
      </c>
      <c r="F29" t="s">
        <v>2</v>
      </c>
      <c r="G29" s="91"/>
    </row>
    <row r="30" spans="2:7" x14ac:dyDescent="0.2">
      <c r="B30" s="90" t="s">
        <v>3584</v>
      </c>
      <c r="C30" s="85" t="s">
        <v>2775</v>
      </c>
      <c r="D30" t="s">
        <v>13</v>
      </c>
      <c r="E30" t="s">
        <v>34</v>
      </c>
      <c r="F30" t="s">
        <v>2</v>
      </c>
      <c r="G30" s="91" t="s">
        <v>3435</v>
      </c>
    </row>
    <row r="31" spans="2:7" x14ac:dyDescent="0.2">
      <c r="B31" s="90" t="s">
        <v>3584</v>
      </c>
      <c r="C31" s="85" t="s">
        <v>151</v>
      </c>
      <c r="D31" t="s">
        <v>13</v>
      </c>
      <c r="E31" t="s">
        <v>27</v>
      </c>
      <c r="F31" t="s">
        <v>2</v>
      </c>
      <c r="G31" s="91"/>
    </row>
    <row r="32" spans="2:7" x14ac:dyDescent="0.2">
      <c r="B32" s="90" t="s">
        <v>3584</v>
      </c>
      <c r="C32" s="85" t="s">
        <v>2949</v>
      </c>
      <c r="D32" t="s">
        <v>13</v>
      </c>
      <c r="E32" t="s">
        <v>49</v>
      </c>
      <c r="F32" t="s">
        <v>2</v>
      </c>
      <c r="G32" s="91"/>
    </row>
    <row r="33" spans="2:7" x14ac:dyDescent="0.2">
      <c r="B33" s="90" t="s">
        <v>3584</v>
      </c>
      <c r="C33" s="85" t="s">
        <v>235</v>
      </c>
      <c r="D33" t="s">
        <v>13</v>
      </c>
      <c r="E33" t="s">
        <v>49</v>
      </c>
      <c r="F33" t="s">
        <v>29</v>
      </c>
      <c r="G33" s="91" t="s">
        <v>3436</v>
      </c>
    </row>
    <row r="34" spans="2:7" x14ac:dyDescent="0.2">
      <c r="B34" s="90" t="s">
        <v>3584</v>
      </c>
      <c r="C34" s="85" t="s">
        <v>3427</v>
      </c>
      <c r="D34" t="s">
        <v>13</v>
      </c>
      <c r="E34" t="s">
        <v>27</v>
      </c>
      <c r="F34" t="s">
        <v>2</v>
      </c>
      <c r="G34" s="91" t="s">
        <v>3434</v>
      </c>
    </row>
    <row r="35" spans="2:7" x14ac:dyDescent="0.2">
      <c r="B35" s="90" t="s">
        <v>3584</v>
      </c>
      <c r="C35" s="85" t="s">
        <v>2937</v>
      </c>
      <c r="D35" t="s">
        <v>13</v>
      </c>
      <c r="E35" t="s">
        <v>115</v>
      </c>
      <c r="F35" t="s">
        <v>29</v>
      </c>
      <c r="G35" s="91" t="s">
        <v>3437</v>
      </c>
    </row>
    <row r="36" spans="2:7" x14ac:dyDescent="0.2">
      <c r="B36" s="90" t="s">
        <v>3585</v>
      </c>
      <c r="C36" s="85" t="s">
        <v>2775</v>
      </c>
      <c r="D36" t="s">
        <v>13</v>
      </c>
      <c r="E36" t="s">
        <v>27</v>
      </c>
      <c r="F36" t="s">
        <v>2</v>
      </c>
      <c r="G36" s="91" t="s">
        <v>3431</v>
      </c>
    </row>
    <row r="37" spans="2:7" x14ac:dyDescent="0.2">
      <c r="B37" s="90" t="s">
        <v>3585</v>
      </c>
      <c r="C37" s="85" t="s">
        <v>2775</v>
      </c>
      <c r="D37" t="s">
        <v>13</v>
      </c>
      <c r="E37" t="s">
        <v>34</v>
      </c>
      <c r="F37" t="s">
        <v>2</v>
      </c>
      <c r="G37" s="91" t="s">
        <v>3430</v>
      </c>
    </row>
    <row r="38" spans="2:7" x14ac:dyDescent="0.2">
      <c r="B38" s="90" t="s">
        <v>3585</v>
      </c>
      <c r="C38" s="85" t="s">
        <v>151</v>
      </c>
      <c r="D38" t="s">
        <v>13</v>
      </c>
      <c r="E38" t="s">
        <v>27</v>
      </c>
      <c r="F38" t="s">
        <v>2</v>
      </c>
      <c r="G38" s="91" t="s">
        <v>3429</v>
      </c>
    </row>
    <row r="39" spans="2:7" x14ac:dyDescent="0.2">
      <c r="B39" s="90" t="s">
        <v>3585</v>
      </c>
      <c r="C39" s="85" t="s">
        <v>2949</v>
      </c>
      <c r="D39" t="s">
        <v>13</v>
      </c>
      <c r="E39" t="s">
        <v>49</v>
      </c>
      <c r="F39" t="s">
        <v>2</v>
      </c>
      <c r="G39" s="91" t="s">
        <v>3426</v>
      </c>
    </row>
    <row r="40" spans="2:7" x14ac:dyDescent="0.2">
      <c r="B40" s="90" t="s">
        <v>3585</v>
      </c>
      <c r="C40" s="85" t="s">
        <v>235</v>
      </c>
      <c r="D40" t="s">
        <v>13</v>
      </c>
      <c r="E40" t="s">
        <v>49</v>
      </c>
      <c r="F40" t="s">
        <v>2</v>
      </c>
      <c r="G40" s="91" t="s">
        <v>3432</v>
      </c>
    </row>
    <row r="41" spans="2:7" x14ac:dyDescent="0.2">
      <c r="B41" s="90" t="s">
        <v>3585</v>
      </c>
      <c r="C41" s="85" t="s">
        <v>3427</v>
      </c>
      <c r="D41" t="s">
        <v>13</v>
      </c>
      <c r="E41" t="s">
        <v>27</v>
      </c>
      <c r="F41" t="s">
        <v>2</v>
      </c>
      <c r="G41" s="91" t="s">
        <v>3428</v>
      </c>
    </row>
    <row r="42" spans="2:7" x14ac:dyDescent="0.2">
      <c r="B42" s="90" t="s">
        <v>3585</v>
      </c>
      <c r="C42" s="85" t="s">
        <v>2937</v>
      </c>
      <c r="D42" t="s">
        <v>13</v>
      </c>
      <c r="E42" t="s">
        <v>115</v>
      </c>
      <c r="F42" t="s">
        <v>2</v>
      </c>
      <c r="G42" s="91" t="s">
        <v>3433</v>
      </c>
    </row>
    <row r="43" spans="2:7" x14ac:dyDescent="0.2">
      <c r="B43" s="90" t="s">
        <v>3586</v>
      </c>
      <c r="C43" s="85" t="s">
        <v>2774</v>
      </c>
      <c r="D43" t="s">
        <v>13</v>
      </c>
      <c r="E43" t="s">
        <v>34</v>
      </c>
      <c r="F43" t="s">
        <v>2</v>
      </c>
      <c r="G43" s="91"/>
    </row>
    <row r="44" spans="2:7" x14ac:dyDescent="0.2">
      <c r="B44" s="90" t="s">
        <v>3586</v>
      </c>
      <c r="C44" s="85" t="s">
        <v>2775</v>
      </c>
      <c r="D44" t="s">
        <v>13</v>
      </c>
      <c r="E44" t="s">
        <v>27</v>
      </c>
      <c r="F44" t="s">
        <v>2</v>
      </c>
      <c r="G44" s="91"/>
    </row>
    <row r="45" spans="2:7" x14ac:dyDescent="0.2">
      <c r="B45" s="90" t="s">
        <v>3586</v>
      </c>
      <c r="C45" s="85" t="s">
        <v>2775</v>
      </c>
      <c r="D45" t="s">
        <v>13</v>
      </c>
      <c r="E45" t="s">
        <v>34</v>
      </c>
      <c r="F45" t="s">
        <v>2</v>
      </c>
      <c r="G45" s="91" t="s">
        <v>3425</v>
      </c>
    </row>
    <row r="46" spans="2:7" x14ac:dyDescent="0.2">
      <c r="B46" s="90" t="s">
        <v>3586</v>
      </c>
      <c r="C46" s="85" t="s">
        <v>151</v>
      </c>
      <c r="D46" t="s">
        <v>13</v>
      </c>
      <c r="E46" t="s">
        <v>27</v>
      </c>
      <c r="F46" t="s">
        <v>2</v>
      </c>
      <c r="G46" s="91"/>
    </row>
    <row r="47" spans="2:7" x14ac:dyDescent="0.2">
      <c r="B47" s="90" t="s">
        <v>3586</v>
      </c>
      <c r="C47" s="85" t="s">
        <v>2949</v>
      </c>
      <c r="D47" t="s">
        <v>13</v>
      </c>
      <c r="E47" t="s">
        <v>49</v>
      </c>
      <c r="F47" t="s">
        <v>2</v>
      </c>
      <c r="G47" s="91" t="s">
        <v>3420</v>
      </c>
    </row>
    <row r="48" spans="2:7" x14ac:dyDescent="0.2">
      <c r="B48" s="90" t="s">
        <v>3586</v>
      </c>
      <c r="C48" s="85" t="s">
        <v>235</v>
      </c>
      <c r="D48" t="s">
        <v>13</v>
      </c>
      <c r="E48" t="s">
        <v>42</v>
      </c>
      <c r="F48" t="s">
        <v>29</v>
      </c>
      <c r="G48" s="91" t="s">
        <v>3423</v>
      </c>
    </row>
    <row r="49" spans="2:7" x14ac:dyDescent="0.2">
      <c r="B49" s="90" t="s">
        <v>3587</v>
      </c>
      <c r="C49" s="85" t="s">
        <v>2774</v>
      </c>
      <c r="D49" t="s">
        <v>13</v>
      </c>
      <c r="E49" t="s">
        <v>34</v>
      </c>
      <c r="F49" t="s">
        <v>2</v>
      </c>
      <c r="G49" s="91" t="s">
        <v>3419</v>
      </c>
    </row>
    <row r="50" spans="2:7" x14ac:dyDescent="0.2">
      <c r="B50" s="90" t="s">
        <v>3587</v>
      </c>
      <c r="C50" s="85" t="s">
        <v>2775</v>
      </c>
      <c r="D50" t="s">
        <v>13</v>
      </c>
      <c r="E50" t="s">
        <v>27</v>
      </c>
      <c r="F50" t="s">
        <v>2</v>
      </c>
      <c r="G50" s="91"/>
    </row>
    <row r="51" spans="2:7" x14ac:dyDescent="0.2">
      <c r="B51" s="90" t="s">
        <v>3587</v>
      </c>
      <c r="C51" s="85" t="s">
        <v>2775</v>
      </c>
      <c r="D51" t="s">
        <v>13</v>
      </c>
      <c r="E51" t="s">
        <v>34</v>
      </c>
      <c r="F51" t="s">
        <v>2</v>
      </c>
      <c r="G51" s="91" t="s">
        <v>3425</v>
      </c>
    </row>
    <row r="52" spans="2:7" x14ac:dyDescent="0.2">
      <c r="B52" s="90" t="s">
        <v>3587</v>
      </c>
      <c r="C52" s="85" t="s">
        <v>3386</v>
      </c>
      <c r="D52" t="s">
        <v>13</v>
      </c>
      <c r="E52" t="s">
        <v>27</v>
      </c>
      <c r="F52" t="s">
        <v>29</v>
      </c>
      <c r="G52" s="91" t="s">
        <v>3421</v>
      </c>
    </row>
    <row r="53" spans="2:7" x14ac:dyDescent="0.2">
      <c r="B53" s="90" t="s">
        <v>3587</v>
      </c>
      <c r="C53" s="85" t="s">
        <v>151</v>
      </c>
      <c r="D53" t="s">
        <v>13</v>
      </c>
      <c r="E53" t="s">
        <v>27</v>
      </c>
      <c r="F53" t="s">
        <v>2</v>
      </c>
      <c r="G53" s="91"/>
    </row>
    <row r="54" spans="2:7" x14ac:dyDescent="0.2">
      <c r="B54" s="90" t="s">
        <v>3587</v>
      </c>
      <c r="C54" s="85" t="s">
        <v>2949</v>
      </c>
      <c r="D54" t="s">
        <v>13</v>
      </c>
      <c r="E54" t="s">
        <v>49</v>
      </c>
      <c r="F54" t="s">
        <v>2</v>
      </c>
      <c r="G54" s="91" t="s">
        <v>3420</v>
      </c>
    </row>
    <row r="55" spans="2:7" x14ac:dyDescent="0.2">
      <c r="B55" s="90" t="s">
        <v>3587</v>
      </c>
      <c r="C55" s="85" t="s">
        <v>3335</v>
      </c>
      <c r="D55" t="s">
        <v>13</v>
      </c>
      <c r="E55" t="s">
        <v>34</v>
      </c>
      <c r="F55" t="s">
        <v>29</v>
      </c>
      <c r="G55" s="91" t="s">
        <v>3424</v>
      </c>
    </row>
    <row r="56" spans="2:7" x14ac:dyDescent="0.2">
      <c r="B56" s="90" t="s">
        <v>3587</v>
      </c>
      <c r="C56" s="85" t="s">
        <v>3254</v>
      </c>
      <c r="D56" t="s">
        <v>13</v>
      </c>
      <c r="E56" t="s">
        <v>34</v>
      </c>
      <c r="F56" t="s">
        <v>29</v>
      </c>
      <c r="G56" s="91" t="s">
        <v>3422</v>
      </c>
    </row>
    <row r="57" spans="2:7" x14ac:dyDescent="0.2">
      <c r="B57" s="90" t="s">
        <v>3587</v>
      </c>
      <c r="C57" s="85" t="s">
        <v>235</v>
      </c>
      <c r="D57" t="s">
        <v>13</v>
      </c>
      <c r="E57" t="s">
        <v>42</v>
      </c>
      <c r="F57" t="s">
        <v>2</v>
      </c>
      <c r="G57" s="91"/>
    </row>
    <row r="58" spans="2:7" x14ac:dyDescent="0.2">
      <c r="B58" s="92" t="s">
        <v>3588</v>
      </c>
      <c r="C58" s="85" t="s">
        <v>2774</v>
      </c>
      <c r="D58" t="s">
        <v>13</v>
      </c>
      <c r="E58" t="s">
        <v>34</v>
      </c>
      <c r="F58" t="s">
        <v>2</v>
      </c>
      <c r="G58" s="91"/>
    </row>
    <row r="59" spans="2:7" x14ac:dyDescent="0.2">
      <c r="B59" s="92" t="s">
        <v>3588</v>
      </c>
      <c r="C59" s="85" t="s">
        <v>2775</v>
      </c>
      <c r="D59" t="s">
        <v>13</v>
      </c>
      <c r="E59" t="s">
        <v>27</v>
      </c>
      <c r="F59" t="s">
        <v>2</v>
      </c>
      <c r="G59" s="91"/>
    </row>
    <row r="60" spans="2:7" x14ac:dyDescent="0.2">
      <c r="B60" s="92" t="s">
        <v>3588</v>
      </c>
      <c r="C60" s="85" t="s">
        <v>2775</v>
      </c>
      <c r="D60" t="s">
        <v>13</v>
      </c>
      <c r="E60" t="s">
        <v>27</v>
      </c>
      <c r="F60" t="s">
        <v>2</v>
      </c>
      <c r="G60" s="91"/>
    </row>
    <row r="61" spans="2:7" x14ac:dyDescent="0.2">
      <c r="B61" s="92" t="s">
        <v>3588</v>
      </c>
      <c r="C61" s="85" t="s">
        <v>3386</v>
      </c>
      <c r="D61" t="s">
        <v>13</v>
      </c>
      <c r="E61" t="s">
        <v>27</v>
      </c>
      <c r="F61" t="s">
        <v>2</v>
      </c>
      <c r="G61" s="91"/>
    </row>
    <row r="62" spans="2:7" x14ac:dyDescent="0.2">
      <c r="B62" s="92" t="s">
        <v>3588</v>
      </c>
      <c r="C62" s="85" t="s">
        <v>151</v>
      </c>
      <c r="D62" t="s">
        <v>13</v>
      </c>
      <c r="E62" t="s">
        <v>27</v>
      </c>
      <c r="F62" t="s">
        <v>2</v>
      </c>
      <c r="G62" s="91"/>
    </row>
    <row r="63" spans="2:7" x14ac:dyDescent="0.2">
      <c r="B63" s="92" t="s">
        <v>3588</v>
      </c>
      <c r="C63" s="85" t="s">
        <v>3010</v>
      </c>
      <c r="D63" t="s">
        <v>13</v>
      </c>
      <c r="E63" t="s">
        <v>49</v>
      </c>
      <c r="F63" t="s">
        <v>29</v>
      </c>
      <c r="G63" s="91" t="s">
        <v>3418</v>
      </c>
    </row>
    <row r="64" spans="2:7" x14ac:dyDescent="0.2">
      <c r="B64" s="92" t="s">
        <v>3588</v>
      </c>
      <c r="C64" s="85" t="s">
        <v>235</v>
      </c>
      <c r="D64" t="s">
        <v>13</v>
      </c>
      <c r="E64" t="s">
        <v>42</v>
      </c>
      <c r="F64" t="s">
        <v>29</v>
      </c>
      <c r="G64" s="91" t="s">
        <v>3417</v>
      </c>
    </row>
    <row r="65" spans="2:7" x14ac:dyDescent="0.2">
      <c r="B65" s="92" t="s">
        <v>3588</v>
      </c>
      <c r="C65" s="85" t="s">
        <v>2949</v>
      </c>
      <c r="D65" t="s">
        <v>13</v>
      </c>
      <c r="E65" t="s">
        <v>49</v>
      </c>
      <c r="F65" t="s">
        <v>29</v>
      </c>
      <c r="G65" s="91" t="s">
        <v>3418</v>
      </c>
    </row>
    <row r="66" spans="2:7" x14ac:dyDescent="0.2">
      <c r="B66" s="92" t="s">
        <v>3589</v>
      </c>
      <c r="C66" s="85" t="s">
        <v>2774</v>
      </c>
      <c r="D66" t="s">
        <v>13</v>
      </c>
      <c r="E66" t="s">
        <v>34</v>
      </c>
      <c r="F66" t="s">
        <v>2</v>
      </c>
      <c r="G66" s="91"/>
    </row>
    <row r="67" spans="2:7" x14ac:dyDescent="0.2">
      <c r="B67" s="92" t="s">
        <v>3589</v>
      </c>
      <c r="C67" s="85" t="s">
        <v>2775</v>
      </c>
      <c r="D67" t="s">
        <v>13</v>
      </c>
      <c r="E67" t="s">
        <v>27</v>
      </c>
      <c r="F67" t="s">
        <v>2</v>
      </c>
      <c r="G67" s="91"/>
    </row>
    <row r="68" spans="2:7" x14ac:dyDescent="0.2">
      <c r="B68" s="92" t="s">
        <v>3589</v>
      </c>
      <c r="C68" s="85" t="s">
        <v>2775</v>
      </c>
      <c r="D68" t="s">
        <v>13</v>
      </c>
      <c r="E68" t="s">
        <v>27</v>
      </c>
      <c r="F68" t="s">
        <v>2</v>
      </c>
      <c r="G68" s="91" t="s">
        <v>3412</v>
      </c>
    </row>
    <row r="69" spans="2:7" x14ac:dyDescent="0.2">
      <c r="B69" s="92" t="s">
        <v>3589</v>
      </c>
      <c r="C69" s="85" t="s">
        <v>2949</v>
      </c>
      <c r="D69" t="s">
        <v>13</v>
      </c>
      <c r="E69" t="s">
        <v>34</v>
      </c>
      <c r="F69" t="s">
        <v>29</v>
      </c>
      <c r="G69" s="91" t="s">
        <v>3416</v>
      </c>
    </row>
    <row r="70" spans="2:7" x14ac:dyDescent="0.2">
      <c r="B70" s="92" t="s">
        <v>3589</v>
      </c>
      <c r="C70" s="85" t="s">
        <v>3386</v>
      </c>
      <c r="D70" t="s">
        <v>13</v>
      </c>
      <c r="E70" t="s">
        <v>27</v>
      </c>
      <c r="F70" t="s">
        <v>2</v>
      </c>
      <c r="G70" s="91" t="s">
        <v>3414</v>
      </c>
    </row>
    <row r="71" spans="2:7" x14ac:dyDescent="0.2">
      <c r="B71" s="92" t="s">
        <v>3589</v>
      </c>
      <c r="C71" s="85" t="s">
        <v>151</v>
      </c>
      <c r="D71" t="s">
        <v>13</v>
      </c>
      <c r="E71" t="s">
        <v>27</v>
      </c>
      <c r="F71" t="s">
        <v>2</v>
      </c>
      <c r="G71" s="91"/>
    </row>
    <row r="72" spans="2:7" x14ac:dyDescent="0.2">
      <c r="B72" s="92" t="s">
        <v>3589</v>
      </c>
      <c r="C72" s="85" t="s">
        <v>3010</v>
      </c>
      <c r="D72" t="s">
        <v>13</v>
      </c>
      <c r="E72" t="s">
        <v>34</v>
      </c>
      <c r="F72" t="s">
        <v>2</v>
      </c>
      <c r="G72" s="91"/>
    </row>
    <row r="73" spans="2:7" x14ac:dyDescent="0.2">
      <c r="B73" s="92" t="s">
        <v>3589</v>
      </c>
      <c r="C73" s="85" t="s">
        <v>235</v>
      </c>
      <c r="D73" t="s">
        <v>13</v>
      </c>
      <c r="E73" t="s">
        <v>49</v>
      </c>
      <c r="F73" t="s">
        <v>2</v>
      </c>
      <c r="G73" s="91" t="s">
        <v>3413</v>
      </c>
    </row>
    <row r="74" spans="2:7" x14ac:dyDescent="0.2">
      <c r="B74" s="92" t="s">
        <v>3589</v>
      </c>
      <c r="C74" s="85" t="s">
        <v>2937</v>
      </c>
      <c r="D74" t="s">
        <v>13</v>
      </c>
      <c r="E74" t="s">
        <v>49</v>
      </c>
      <c r="F74" t="s">
        <v>29</v>
      </c>
      <c r="G74" s="91" t="s">
        <v>3415</v>
      </c>
    </row>
    <row r="75" spans="2:7" x14ac:dyDescent="0.2">
      <c r="B75" s="92" t="s">
        <v>3590</v>
      </c>
      <c r="C75" s="85" t="s">
        <v>2774</v>
      </c>
      <c r="D75" t="s">
        <v>13</v>
      </c>
      <c r="E75" t="s">
        <v>34</v>
      </c>
      <c r="F75" t="s">
        <v>2</v>
      </c>
      <c r="G75" s="91"/>
    </row>
    <row r="76" spans="2:7" x14ac:dyDescent="0.2">
      <c r="B76" s="92" t="s">
        <v>3590</v>
      </c>
      <c r="C76" s="85" t="s">
        <v>2775</v>
      </c>
      <c r="D76" t="s">
        <v>13</v>
      </c>
      <c r="E76" t="s">
        <v>27</v>
      </c>
      <c r="F76" t="s">
        <v>2</v>
      </c>
      <c r="G76" s="91"/>
    </row>
    <row r="77" spans="2:7" x14ac:dyDescent="0.2">
      <c r="B77" s="92" t="s">
        <v>3590</v>
      </c>
      <c r="C77" s="85" t="s">
        <v>2775</v>
      </c>
      <c r="D77" t="s">
        <v>13</v>
      </c>
      <c r="E77" t="s">
        <v>49</v>
      </c>
      <c r="F77" t="s">
        <v>29</v>
      </c>
      <c r="G77" s="91" t="s">
        <v>3411</v>
      </c>
    </row>
    <row r="78" spans="2:7" x14ac:dyDescent="0.2">
      <c r="B78" s="92" t="s">
        <v>3590</v>
      </c>
      <c r="C78" s="85" t="s">
        <v>2949</v>
      </c>
      <c r="D78" t="s">
        <v>13</v>
      </c>
      <c r="E78" t="s">
        <v>34</v>
      </c>
      <c r="F78" t="s">
        <v>2</v>
      </c>
      <c r="G78" s="91" t="s">
        <v>3410</v>
      </c>
    </row>
    <row r="79" spans="2:7" x14ac:dyDescent="0.2">
      <c r="B79" s="92" t="s">
        <v>3590</v>
      </c>
      <c r="C79" s="85" t="s">
        <v>3386</v>
      </c>
      <c r="D79" t="s">
        <v>13</v>
      </c>
      <c r="E79" t="s">
        <v>27</v>
      </c>
      <c r="F79" t="s">
        <v>2</v>
      </c>
      <c r="G79" s="91" t="s">
        <v>3409</v>
      </c>
    </row>
    <row r="80" spans="2:7" x14ac:dyDescent="0.2">
      <c r="B80" s="92" t="s">
        <v>3590</v>
      </c>
      <c r="C80" s="85" t="s">
        <v>151</v>
      </c>
      <c r="D80" t="s">
        <v>13</v>
      </c>
      <c r="E80" t="s">
        <v>27</v>
      </c>
      <c r="F80" t="s">
        <v>2</v>
      </c>
      <c r="G80" s="91"/>
    </row>
    <row r="81" spans="2:7" x14ac:dyDescent="0.2">
      <c r="B81" s="92" t="s">
        <v>3590</v>
      </c>
      <c r="C81" s="85" t="s">
        <v>3010</v>
      </c>
      <c r="D81" t="s">
        <v>13</v>
      </c>
      <c r="E81" t="s">
        <v>34</v>
      </c>
      <c r="F81" t="s">
        <v>2</v>
      </c>
      <c r="G81" s="91"/>
    </row>
    <row r="82" spans="2:7" x14ac:dyDescent="0.2">
      <c r="B82" s="92" t="s">
        <v>3590</v>
      </c>
      <c r="C82" s="85" t="s">
        <v>235</v>
      </c>
      <c r="D82" t="s">
        <v>13</v>
      </c>
      <c r="E82" t="s">
        <v>49</v>
      </c>
      <c r="F82" t="s">
        <v>2</v>
      </c>
      <c r="G82" s="91"/>
    </row>
    <row r="83" spans="2:7" x14ac:dyDescent="0.2">
      <c r="B83" s="92" t="s">
        <v>3591</v>
      </c>
      <c r="C83" s="85" t="s">
        <v>2774</v>
      </c>
      <c r="D83" t="s">
        <v>13</v>
      </c>
      <c r="E83" t="s">
        <v>34</v>
      </c>
      <c r="F83" t="s">
        <v>2</v>
      </c>
      <c r="G83" s="91"/>
    </row>
    <row r="84" spans="2:7" x14ac:dyDescent="0.2">
      <c r="B84" s="92" t="s">
        <v>3591</v>
      </c>
      <c r="C84" s="85" t="s">
        <v>2775</v>
      </c>
      <c r="D84" t="s">
        <v>13</v>
      </c>
      <c r="E84" t="s">
        <v>27</v>
      </c>
      <c r="F84" t="s">
        <v>2</v>
      </c>
      <c r="G84" s="91"/>
    </row>
    <row r="85" spans="2:7" x14ac:dyDescent="0.2">
      <c r="B85" s="92" t="s">
        <v>3591</v>
      </c>
      <c r="C85" s="85" t="s">
        <v>2775</v>
      </c>
      <c r="D85" t="s">
        <v>13</v>
      </c>
      <c r="E85" t="s">
        <v>27</v>
      </c>
      <c r="F85" t="s">
        <v>2</v>
      </c>
      <c r="G85" s="91"/>
    </row>
    <row r="86" spans="2:7" x14ac:dyDescent="0.2">
      <c r="B86" s="92" t="s">
        <v>3591</v>
      </c>
      <c r="C86" s="85" t="s">
        <v>2949</v>
      </c>
      <c r="D86" t="s">
        <v>13</v>
      </c>
      <c r="E86" t="s">
        <v>34</v>
      </c>
      <c r="F86" t="s">
        <v>2</v>
      </c>
      <c r="G86" s="91" t="s">
        <v>3407</v>
      </c>
    </row>
    <row r="87" spans="2:7" x14ac:dyDescent="0.2">
      <c r="B87" s="92" t="s">
        <v>3591</v>
      </c>
      <c r="C87" s="85" t="s">
        <v>3386</v>
      </c>
      <c r="D87" t="s">
        <v>13</v>
      </c>
      <c r="E87" t="s">
        <v>27</v>
      </c>
      <c r="F87" t="s">
        <v>2</v>
      </c>
      <c r="G87" s="91"/>
    </row>
    <row r="88" spans="2:7" x14ac:dyDescent="0.2">
      <c r="B88" s="92" t="s">
        <v>3591</v>
      </c>
      <c r="C88" s="85" t="s">
        <v>151</v>
      </c>
      <c r="D88" t="s">
        <v>13</v>
      </c>
      <c r="E88" t="s">
        <v>27</v>
      </c>
      <c r="F88" t="s">
        <v>2</v>
      </c>
      <c r="G88" s="91"/>
    </row>
    <row r="89" spans="2:7" x14ac:dyDescent="0.2">
      <c r="B89" s="92" t="s">
        <v>3591</v>
      </c>
      <c r="C89" s="85" t="s">
        <v>3010</v>
      </c>
      <c r="D89" t="s">
        <v>13</v>
      </c>
      <c r="E89" t="s">
        <v>34</v>
      </c>
      <c r="F89" t="s">
        <v>2</v>
      </c>
      <c r="G89" s="91"/>
    </row>
    <row r="90" spans="2:7" x14ac:dyDescent="0.2">
      <c r="B90" s="92" t="s">
        <v>3591</v>
      </c>
      <c r="C90" s="85" t="s">
        <v>2937</v>
      </c>
      <c r="D90" t="s">
        <v>13</v>
      </c>
      <c r="E90" t="s">
        <v>34</v>
      </c>
      <c r="F90" t="s">
        <v>29</v>
      </c>
      <c r="G90" s="91" t="s">
        <v>3408</v>
      </c>
    </row>
    <row r="91" spans="2:7" x14ac:dyDescent="0.2">
      <c r="B91" s="92" t="s">
        <v>3592</v>
      </c>
      <c r="C91" s="85" t="s">
        <v>2774</v>
      </c>
      <c r="D91" t="s">
        <v>13</v>
      </c>
      <c r="E91" t="s">
        <v>34</v>
      </c>
      <c r="F91" t="s">
        <v>2</v>
      </c>
      <c r="G91" s="91"/>
    </row>
    <row r="92" spans="2:7" x14ac:dyDescent="0.2">
      <c r="B92" s="92" t="s">
        <v>3592</v>
      </c>
      <c r="C92" s="85" t="s">
        <v>2775</v>
      </c>
      <c r="D92" t="s">
        <v>13</v>
      </c>
      <c r="E92" t="s">
        <v>27</v>
      </c>
      <c r="F92" t="s">
        <v>2</v>
      </c>
      <c r="G92" s="91"/>
    </row>
    <row r="93" spans="2:7" x14ac:dyDescent="0.2">
      <c r="B93" s="92" t="s">
        <v>3592</v>
      </c>
      <c r="C93" s="85" t="s">
        <v>2775</v>
      </c>
      <c r="D93" t="s">
        <v>13</v>
      </c>
      <c r="E93" t="s">
        <v>27</v>
      </c>
      <c r="F93" t="s">
        <v>2</v>
      </c>
      <c r="G93" s="91"/>
    </row>
    <row r="94" spans="2:7" x14ac:dyDescent="0.2">
      <c r="B94" s="92" t="s">
        <v>3592</v>
      </c>
      <c r="C94" s="85" t="s">
        <v>2949</v>
      </c>
      <c r="D94" t="s">
        <v>13</v>
      </c>
      <c r="E94" t="s">
        <v>34</v>
      </c>
      <c r="F94" t="s">
        <v>2</v>
      </c>
      <c r="G94" s="91" t="s">
        <v>3403</v>
      </c>
    </row>
    <row r="95" spans="2:7" x14ac:dyDescent="0.2">
      <c r="B95" s="92" t="s">
        <v>3592</v>
      </c>
      <c r="C95" s="85" t="s">
        <v>3386</v>
      </c>
      <c r="D95" t="s">
        <v>13</v>
      </c>
      <c r="E95" t="s">
        <v>27</v>
      </c>
      <c r="F95" t="s">
        <v>2</v>
      </c>
      <c r="G95" s="91" t="s">
        <v>3404</v>
      </c>
    </row>
    <row r="96" spans="2:7" x14ac:dyDescent="0.2">
      <c r="B96" s="92" t="s">
        <v>3592</v>
      </c>
      <c r="C96" s="85" t="s">
        <v>151</v>
      </c>
      <c r="D96" t="s">
        <v>13</v>
      </c>
      <c r="E96" t="s">
        <v>27</v>
      </c>
      <c r="F96" t="s">
        <v>2</v>
      </c>
      <c r="G96" s="91" t="s">
        <v>3405</v>
      </c>
    </row>
    <row r="97" spans="2:7" x14ac:dyDescent="0.2">
      <c r="B97" s="92" t="s">
        <v>3592</v>
      </c>
      <c r="C97" s="85" t="s">
        <v>3010</v>
      </c>
      <c r="D97" t="s">
        <v>13</v>
      </c>
      <c r="E97" t="s">
        <v>34</v>
      </c>
      <c r="F97" t="s">
        <v>2</v>
      </c>
      <c r="G97" s="91" t="s">
        <v>3406</v>
      </c>
    </row>
    <row r="98" spans="2:7" x14ac:dyDescent="0.2">
      <c r="B98" s="92" t="s">
        <v>3593</v>
      </c>
      <c r="C98" s="85" t="s">
        <v>2774</v>
      </c>
      <c r="D98" t="s">
        <v>13</v>
      </c>
      <c r="E98" t="s">
        <v>34</v>
      </c>
      <c r="F98" t="s">
        <v>2</v>
      </c>
      <c r="G98" s="91"/>
    </row>
    <row r="99" spans="2:7" x14ac:dyDescent="0.2">
      <c r="B99" s="92" t="s">
        <v>3593</v>
      </c>
      <c r="C99" s="85" t="s">
        <v>2775</v>
      </c>
      <c r="D99" t="s">
        <v>13</v>
      </c>
      <c r="E99" t="s">
        <v>27</v>
      </c>
      <c r="F99" t="s">
        <v>2</v>
      </c>
      <c r="G99" s="91" t="s">
        <v>3402</v>
      </c>
    </row>
    <row r="100" spans="2:7" x14ac:dyDescent="0.2">
      <c r="B100" s="92" t="s">
        <v>3593</v>
      </c>
      <c r="C100" s="85" t="s">
        <v>2775</v>
      </c>
      <c r="D100" t="s">
        <v>13</v>
      </c>
      <c r="E100" t="s">
        <v>27</v>
      </c>
      <c r="F100" t="s">
        <v>2</v>
      </c>
      <c r="G100" s="91"/>
    </row>
    <row r="101" spans="2:7" x14ac:dyDescent="0.2">
      <c r="B101" s="92" t="s">
        <v>3593</v>
      </c>
      <c r="C101" s="85" t="s">
        <v>2949</v>
      </c>
      <c r="D101" t="s">
        <v>13</v>
      </c>
      <c r="E101" t="s">
        <v>34</v>
      </c>
      <c r="F101" t="s">
        <v>2</v>
      </c>
      <c r="G101" s="91" t="s">
        <v>3398</v>
      </c>
    </row>
    <row r="102" spans="2:7" x14ac:dyDescent="0.2">
      <c r="B102" s="92" t="s">
        <v>3593</v>
      </c>
      <c r="C102" s="85" t="s">
        <v>3386</v>
      </c>
      <c r="D102" t="s">
        <v>13</v>
      </c>
      <c r="E102" t="s">
        <v>27</v>
      </c>
      <c r="F102" t="s">
        <v>2</v>
      </c>
      <c r="G102" s="91"/>
    </row>
    <row r="103" spans="2:7" x14ac:dyDescent="0.2">
      <c r="B103" s="92" t="s">
        <v>3593</v>
      </c>
      <c r="C103" s="85" t="s">
        <v>151</v>
      </c>
      <c r="D103" t="s">
        <v>13</v>
      </c>
      <c r="E103" t="s">
        <v>27</v>
      </c>
      <c r="F103" t="s">
        <v>2</v>
      </c>
      <c r="G103" s="91"/>
    </row>
    <row r="104" spans="2:7" x14ac:dyDescent="0.2">
      <c r="B104" s="92" t="s">
        <v>3593</v>
      </c>
      <c r="C104" s="85" t="s">
        <v>2937</v>
      </c>
      <c r="D104" t="s">
        <v>13</v>
      </c>
      <c r="E104" t="s">
        <v>115</v>
      </c>
      <c r="F104" t="s">
        <v>29</v>
      </c>
      <c r="G104" s="91" t="s">
        <v>3401</v>
      </c>
    </row>
    <row r="105" spans="2:7" x14ac:dyDescent="0.2">
      <c r="B105" s="92" t="s">
        <v>3594</v>
      </c>
      <c r="C105" s="85" t="s">
        <v>2774</v>
      </c>
      <c r="D105" t="s">
        <v>13</v>
      </c>
      <c r="E105" t="s">
        <v>34</v>
      </c>
      <c r="F105" t="s">
        <v>2</v>
      </c>
      <c r="G105" s="91"/>
    </row>
    <row r="106" spans="2:7" x14ac:dyDescent="0.2">
      <c r="B106" s="92" t="s">
        <v>3594</v>
      </c>
      <c r="C106" s="85" t="s">
        <v>2775</v>
      </c>
      <c r="D106" t="s">
        <v>13</v>
      </c>
      <c r="E106" t="s">
        <v>27</v>
      </c>
      <c r="F106" t="s">
        <v>2</v>
      </c>
      <c r="G106" s="91"/>
    </row>
    <row r="107" spans="2:7" x14ac:dyDescent="0.2">
      <c r="B107" s="92" t="s">
        <v>3594</v>
      </c>
      <c r="C107" s="85" t="s">
        <v>2775</v>
      </c>
      <c r="D107" t="s">
        <v>13</v>
      </c>
      <c r="E107" t="s">
        <v>27</v>
      </c>
      <c r="F107" t="s">
        <v>2</v>
      </c>
      <c r="G107" s="91"/>
    </row>
    <row r="108" spans="2:7" x14ac:dyDescent="0.2">
      <c r="B108" s="92" t="s">
        <v>3594</v>
      </c>
      <c r="C108" s="85" t="s">
        <v>2949</v>
      </c>
      <c r="D108" t="s">
        <v>13</v>
      </c>
      <c r="E108" t="s">
        <v>34</v>
      </c>
      <c r="F108" t="s">
        <v>2</v>
      </c>
      <c r="G108" s="91" t="s">
        <v>3397</v>
      </c>
    </row>
    <row r="109" spans="2:7" x14ac:dyDescent="0.2">
      <c r="B109" s="92" t="s">
        <v>3594</v>
      </c>
      <c r="C109" s="85" t="s">
        <v>3335</v>
      </c>
      <c r="D109" t="s">
        <v>13</v>
      </c>
      <c r="E109" t="s">
        <v>34</v>
      </c>
      <c r="F109" t="s">
        <v>29</v>
      </c>
      <c r="G109" s="91" t="s">
        <v>3399</v>
      </c>
    </row>
    <row r="110" spans="2:7" x14ac:dyDescent="0.2">
      <c r="B110" s="92" t="s">
        <v>3594</v>
      </c>
      <c r="C110" s="85" t="s">
        <v>3386</v>
      </c>
      <c r="D110" t="s">
        <v>13</v>
      </c>
      <c r="E110" t="s">
        <v>27</v>
      </c>
      <c r="F110" t="s">
        <v>2</v>
      </c>
      <c r="G110" s="91" t="s">
        <v>3396</v>
      </c>
    </row>
    <row r="111" spans="2:7" x14ac:dyDescent="0.2">
      <c r="B111" s="92" t="s">
        <v>3594</v>
      </c>
      <c r="C111" s="85" t="s">
        <v>151</v>
      </c>
      <c r="D111" t="s">
        <v>13</v>
      </c>
      <c r="E111" t="s">
        <v>27</v>
      </c>
      <c r="F111" t="s">
        <v>2</v>
      </c>
      <c r="G111" s="91" t="s">
        <v>3400</v>
      </c>
    </row>
    <row r="112" spans="2:7" x14ac:dyDescent="0.2">
      <c r="B112" s="92" t="s">
        <v>3595</v>
      </c>
      <c r="C112" s="85" t="s">
        <v>2774</v>
      </c>
      <c r="D112" t="s">
        <v>13</v>
      </c>
      <c r="E112" t="s">
        <v>34</v>
      </c>
      <c r="F112" t="s">
        <v>2</v>
      </c>
      <c r="G112" s="91"/>
    </row>
    <row r="113" spans="2:7" x14ac:dyDescent="0.2">
      <c r="B113" s="92" t="s">
        <v>3595</v>
      </c>
      <c r="C113" s="85" t="s">
        <v>2775</v>
      </c>
      <c r="D113" t="s">
        <v>13</v>
      </c>
      <c r="E113" t="s">
        <v>27</v>
      </c>
      <c r="F113" t="s">
        <v>2</v>
      </c>
      <c r="G113" s="91"/>
    </row>
    <row r="114" spans="2:7" x14ac:dyDescent="0.2">
      <c r="B114" s="92" t="s">
        <v>3595</v>
      </c>
      <c r="C114" s="85" t="s">
        <v>2775</v>
      </c>
      <c r="D114" t="s">
        <v>13</v>
      </c>
      <c r="E114" t="s">
        <v>27</v>
      </c>
      <c r="F114" t="s">
        <v>2</v>
      </c>
      <c r="G114" s="91"/>
    </row>
    <row r="115" spans="2:7" x14ac:dyDescent="0.2">
      <c r="B115" s="92" t="s">
        <v>3595</v>
      </c>
      <c r="C115" s="85" t="s">
        <v>2949</v>
      </c>
      <c r="D115" t="s">
        <v>13</v>
      </c>
      <c r="E115" t="s">
        <v>34</v>
      </c>
      <c r="F115" t="s">
        <v>2</v>
      </c>
      <c r="G115" s="91" t="s">
        <v>3393</v>
      </c>
    </row>
    <row r="116" spans="2:7" x14ac:dyDescent="0.2">
      <c r="B116" s="92" t="s">
        <v>3595</v>
      </c>
      <c r="C116" s="85" t="s">
        <v>3335</v>
      </c>
      <c r="D116" t="s">
        <v>13</v>
      </c>
      <c r="E116" t="s">
        <v>34</v>
      </c>
      <c r="F116" t="s">
        <v>29</v>
      </c>
      <c r="G116" s="91" t="s">
        <v>3395</v>
      </c>
    </row>
    <row r="117" spans="2:7" x14ac:dyDescent="0.2">
      <c r="B117" s="92" t="s">
        <v>3595</v>
      </c>
      <c r="C117" s="85" t="s">
        <v>3386</v>
      </c>
      <c r="D117" t="s">
        <v>13</v>
      </c>
      <c r="E117" t="s">
        <v>27</v>
      </c>
      <c r="F117" t="s">
        <v>2</v>
      </c>
      <c r="G117" s="91" t="s">
        <v>3392</v>
      </c>
    </row>
    <row r="118" spans="2:7" x14ac:dyDescent="0.2">
      <c r="B118" s="92" t="s">
        <v>3596</v>
      </c>
      <c r="C118" s="85" t="s">
        <v>2774</v>
      </c>
      <c r="D118" t="s">
        <v>13</v>
      </c>
      <c r="E118" t="s">
        <v>34</v>
      </c>
      <c r="F118" t="s">
        <v>2</v>
      </c>
      <c r="G118" s="91"/>
    </row>
    <row r="119" spans="2:7" x14ac:dyDescent="0.2">
      <c r="B119" s="92" t="s">
        <v>3596</v>
      </c>
      <c r="C119" s="85" t="s">
        <v>2775</v>
      </c>
      <c r="D119" t="s">
        <v>13</v>
      </c>
      <c r="E119" t="s">
        <v>27</v>
      </c>
      <c r="F119" t="s">
        <v>2</v>
      </c>
      <c r="G119" s="91"/>
    </row>
    <row r="120" spans="2:7" x14ac:dyDescent="0.2">
      <c r="B120" s="92" t="s">
        <v>3596</v>
      </c>
      <c r="C120" s="85" t="s">
        <v>2775</v>
      </c>
      <c r="D120" t="s">
        <v>13</v>
      </c>
      <c r="E120" t="s">
        <v>27</v>
      </c>
      <c r="F120" t="s">
        <v>2</v>
      </c>
      <c r="G120" s="91"/>
    </row>
    <row r="121" spans="2:7" x14ac:dyDescent="0.2">
      <c r="B121" s="92" t="s">
        <v>3596</v>
      </c>
      <c r="C121" s="85" t="s">
        <v>2949</v>
      </c>
      <c r="D121" t="s">
        <v>13</v>
      </c>
      <c r="E121" t="s">
        <v>34</v>
      </c>
      <c r="F121" t="s">
        <v>2</v>
      </c>
      <c r="G121" s="91"/>
    </row>
    <row r="122" spans="2:7" x14ac:dyDescent="0.2">
      <c r="B122" s="92" t="s">
        <v>3596</v>
      </c>
      <c r="C122" s="85" t="s">
        <v>3335</v>
      </c>
      <c r="D122" t="s">
        <v>13</v>
      </c>
      <c r="E122" t="s">
        <v>34</v>
      </c>
      <c r="F122" t="s">
        <v>2</v>
      </c>
      <c r="G122" s="91"/>
    </row>
    <row r="123" spans="2:7" x14ac:dyDescent="0.2">
      <c r="B123" s="92" t="s">
        <v>3596</v>
      </c>
      <c r="C123" s="85" t="s">
        <v>3386</v>
      </c>
      <c r="D123" t="s">
        <v>13</v>
      </c>
      <c r="E123" t="s">
        <v>27</v>
      </c>
      <c r="F123" t="s">
        <v>2</v>
      </c>
      <c r="G123" s="91"/>
    </row>
    <row r="124" spans="2:7" x14ac:dyDescent="0.2">
      <c r="B124" s="92" t="s">
        <v>3596</v>
      </c>
      <c r="C124" s="85" t="s">
        <v>3366</v>
      </c>
      <c r="D124" t="s">
        <v>13</v>
      </c>
      <c r="E124" t="s">
        <v>49</v>
      </c>
      <c r="F124" t="s">
        <v>29</v>
      </c>
      <c r="G124" s="91" t="s">
        <v>3391</v>
      </c>
    </row>
    <row r="125" spans="2:7" x14ac:dyDescent="0.2">
      <c r="B125" s="92" t="s">
        <v>3596</v>
      </c>
      <c r="C125" s="85" t="s">
        <v>151</v>
      </c>
      <c r="D125" t="s">
        <v>13</v>
      </c>
      <c r="E125" t="s">
        <v>49</v>
      </c>
      <c r="F125" t="s">
        <v>29</v>
      </c>
      <c r="G125" s="91" t="s">
        <v>3394</v>
      </c>
    </row>
    <row r="126" spans="2:7" ht="18" x14ac:dyDescent="0.25">
      <c r="B126" s="93" t="s">
        <v>3500</v>
      </c>
      <c r="C126" s="85"/>
      <c r="G126" s="91"/>
    </row>
    <row r="127" spans="2:7" x14ac:dyDescent="0.2">
      <c r="B127" s="90" t="s">
        <v>3502</v>
      </c>
      <c r="C127" s="85" t="s">
        <v>2774</v>
      </c>
      <c r="D127" t="s">
        <v>13</v>
      </c>
      <c r="E127" t="s">
        <v>34</v>
      </c>
      <c r="F127" t="s">
        <v>2</v>
      </c>
      <c r="G127" s="91"/>
    </row>
    <row r="128" spans="2:7" x14ac:dyDescent="0.2">
      <c r="B128" s="90" t="s">
        <v>3502</v>
      </c>
      <c r="C128" s="85" t="s">
        <v>2775</v>
      </c>
      <c r="D128" t="s">
        <v>13</v>
      </c>
      <c r="E128" t="s">
        <v>27</v>
      </c>
      <c r="F128" t="s">
        <v>2</v>
      </c>
      <c r="G128" s="91"/>
    </row>
    <row r="129" spans="2:7" x14ac:dyDescent="0.2">
      <c r="B129" s="90" t="s">
        <v>3502</v>
      </c>
      <c r="C129" s="85" t="s">
        <v>2775</v>
      </c>
      <c r="D129" t="s">
        <v>13</v>
      </c>
      <c r="E129" t="s">
        <v>27</v>
      </c>
      <c r="F129" t="s">
        <v>2</v>
      </c>
      <c r="G129" s="91"/>
    </row>
    <row r="130" spans="2:7" x14ac:dyDescent="0.2">
      <c r="B130" s="90" t="s">
        <v>3502</v>
      </c>
      <c r="C130" s="85" t="s">
        <v>2949</v>
      </c>
      <c r="D130" t="s">
        <v>13</v>
      </c>
      <c r="E130" t="s">
        <v>34</v>
      </c>
      <c r="F130" t="s">
        <v>2</v>
      </c>
      <c r="G130" s="91"/>
    </row>
    <row r="131" spans="2:7" x14ac:dyDescent="0.2">
      <c r="B131" s="90" t="s">
        <v>3502</v>
      </c>
      <c r="C131" s="85" t="s">
        <v>3335</v>
      </c>
      <c r="D131" t="s">
        <v>13</v>
      </c>
      <c r="E131" t="s">
        <v>34</v>
      </c>
      <c r="F131" t="s">
        <v>2</v>
      </c>
      <c r="G131" s="91"/>
    </row>
    <row r="132" spans="2:7" x14ac:dyDescent="0.2">
      <c r="B132" s="90" t="s">
        <v>3502</v>
      </c>
      <c r="C132" s="85" t="s">
        <v>3386</v>
      </c>
      <c r="D132" t="s">
        <v>13</v>
      </c>
      <c r="E132" t="s">
        <v>27</v>
      </c>
      <c r="F132" t="s">
        <v>2</v>
      </c>
      <c r="G132" s="91"/>
    </row>
    <row r="133" spans="2:7" x14ac:dyDescent="0.2">
      <c r="B133" s="90" t="s">
        <v>3502</v>
      </c>
      <c r="C133" s="85" t="s">
        <v>3366</v>
      </c>
      <c r="D133" t="s">
        <v>13</v>
      </c>
      <c r="E133" t="s">
        <v>34</v>
      </c>
      <c r="F133" t="s">
        <v>2</v>
      </c>
      <c r="G133" s="91"/>
    </row>
    <row r="134" spans="2:7" x14ac:dyDescent="0.2">
      <c r="B134" s="90" t="s">
        <v>3503</v>
      </c>
      <c r="C134" s="85" t="s">
        <v>2774</v>
      </c>
      <c r="D134" t="s">
        <v>13</v>
      </c>
      <c r="E134" t="s">
        <v>34</v>
      </c>
      <c r="F134" t="s">
        <v>2</v>
      </c>
      <c r="G134" s="91"/>
    </row>
    <row r="135" spans="2:7" x14ac:dyDescent="0.2">
      <c r="B135" s="90" t="s">
        <v>3503</v>
      </c>
      <c r="C135" s="85" t="s">
        <v>2775</v>
      </c>
      <c r="D135" t="s">
        <v>13</v>
      </c>
      <c r="E135" t="s">
        <v>27</v>
      </c>
      <c r="F135" t="s">
        <v>2</v>
      </c>
      <c r="G135" s="91"/>
    </row>
    <row r="136" spans="2:7" x14ac:dyDescent="0.2">
      <c r="B136" s="90" t="s">
        <v>3503</v>
      </c>
      <c r="C136" s="85" t="s">
        <v>2775</v>
      </c>
      <c r="D136" t="s">
        <v>13</v>
      </c>
      <c r="E136" t="s">
        <v>27</v>
      </c>
      <c r="F136" t="s">
        <v>2</v>
      </c>
      <c r="G136" s="91"/>
    </row>
    <row r="137" spans="2:7" x14ac:dyDescent="0.2">
      <c r="B137" s="90" t="s">
        <v>3503</v>
      </c>
      <c r="C137" s="85" t="s">
        <v>2949</v>
      </c>
      <c r="D137" t="s">
        <v>13</v>
      </c>
      <c r="E137" t="s">
        <v>34</v>
      </c>
      <c r="F137" t="s">
        <v>2</v>
      </c>
      <c r="G137" s="91"/>
    </row>
    <row r="138" spans="2:7" x14ac:dyDescent="0.2">
      <c r="B138" s="90" t="s">
        <v>3503</v>
      </c>
      <c r="C138" s="85" t="s">
        <v>3335</v>
      </c>
      <c r="D138" t="s">
        <v>13</v>
      </c>
      <c r="E138" t="s">
        <v>34</v>
      </c>
      <c r="F138" t="s">
        <v>2</v>
      </c>
      <c r="G138" s="91" t="s">
        <v>3389</v>
      </c>
    </row>
    <row r="139" spans="2:7" x14ac:dyDescent="0.2">
      <c r="B139" s="90" t="s">
        <v>3503</v>
      </c>
      <c r="C139" s="85" t="s">
        <v>3386</v>
      </c>
      <c r="D139" t="s">
        <v>13</v>
      </c>
      <c r="E139" t="s">
        <v>27</v>
      </c>
      <c r="F139" t="s">
        <v>2</v>
      </c>
      <c r="G139" s="91" t="s">
        <v>3387</v>
      </c>
    </row>
    <row r="140" spans="2:7" x14ac:dyDescent="0.2">
      <c r="B140" s="90" t="s">
        <v>3503</v>
      </c>
      <c r="C140" s="85" t="s">
        <v>3366</v>
      </c>
      <c r="D140" t="s">
        <v>13</v>
      </c>
      <c r="E140" t="s">
        <v>27</v>
      </c>
      <c r="F140" t="s">
        <v>29</v>
      </c>
      <c r="G140" s="91" t="s">
        <v>3390</v>
      </c>
    </row>
    <row r="141" spans="2:7" x14ac:dyDescent="0.2">
      <c r="B141" s="90" t="s">
        <v>3503</v>
      </c>
      <c r="C141" s="85" t="s">
        <v>3366</v>
      </c>
      <c r="D141" t="s">
        <v>13</v>
      </c>
      <c r="E141" t="s">
        <v>34</v>
      </c>
      <c r="F141" t="s">
        <v>2</v>
      </c>
      <c r="G141" s="91" t="s">
        <v>3388</v>
      </c>
    </row>
    <row r="142" spans="2:7" x14ac:dyDescent="0.2">
      <c r="B142" s="90" t="s">
        <v>3504</v>
      </c>
      <c r="C142" s="85" t="s">
        <v>2774</v>
      </c>
      <c r="D142" t="s">
        <v>13</v>
      </c>
      <c r="E142" t="s">
        <v>34</v>
      </c>
      <c r="F142" t="s">
        <v>2</v>
      </c>
      <c r="G142" s="91" t="s">
        <v>3385</v>
      </c>
    </row>
    <row r="143" spans="2:7" x14ac:dyDescent="0.2">
      <c r="B143" s="90" t="s">
        <v>3504</v>
      </c>
      <c r="C143" s="85" t="s">
        <v>2775</v>
      </c>
      <c r="D143" t="s">
        <v>13</v>
      </c>
      <c r="E143" t="s">
        <v>27</v>
      </c>
      <c r="F143" t="s">
        <v>2</v>
      </c>
      <c r="G143" s="91"/>
    </row>
    <row r="144" spans="2:7" x14ac:dyDescent="0.2">
      <c r="B144" s="90" t="s">
        <v>3504</v>
      </c>
      <c r="C144" s="85" t="s">
        <v>2775</v>
      </c>
      <c r="D144" t="s">
        <v>13</v>
      </c>
      <c r="E144" t="s">
        <v>27</v>
      </c>
      <c r="F144" t="s">
        <v>2</v>
      </c>
      <c r="G144" s="91"/>
    </row>
    <row r="145" spans="2:7" x14ac:dyDescent="0.2">
      <c r="B145" s="90" t="s">
        <v>3504</v>
      </c>
      <c r="C145" s="85" t="s">
        <v>2949</v>
      </c>
      <c r="D145" t="s">
        <v>13</v>
      </c>
      <c r="E145" t="s">
        <v>34</v>
      </c>
      <c r="F145" t="s">
        <v>2</v>
      </c>
      <c r="G145" s="91"/>
    </row>
    <row r="146" spans="2:7" x14ac:dyDescent="0.2">
      <c r="B146" s="90" t="s">
        <v>3504</v>
      </c>
      <c r="C146" s="85" t="s">
        <v>3335</v>
      </c>
      <c r="D146" t="s">
        <v>13</v>
      </c>
      <c r="E146" t="s">
        <v>34</v>
      </c>
      <c r="F146" t="s">
        <v>2</v>
      </c>
      <c r="G146" s="91" t="s">
        <v>3384</v>
      </c>
    </row>
    <row r="147" spans="2:7" x14ac:dyDescent="0.2">
      <c r="B147" s="90" t="s">
        <v>3505</v>
      </c>
      <c r="C147" s="85" t="s">
        <v>2774</v>
      </c>
      <c r="D147" t="s">
        <v>13</v>
      </c>
      <c r="E147" t="s">
        <v>34</v>
      </c>
      <c r="F147" t="s">
        <v>2</v>
      </c>
      <c r="G147" s="91"/>
    </row>
    <row r="148" spans="2:7" x14ac:dyDescent="0.2">
      <c r="B148" s="90" t="s">
        <v>3505</v>
      </c>
      <c r="C148" s="85" t="s">
        <v>2775</v>
      </c>
      <c r="D148" t="s">
        <v>13</v>
      </c>
      <c r="E148" t="s">
        <v>27</v>
      </c>
      <c r="F148" t="s">
        <v>2</v>
      </c>
      <c r="G148" s="91"/>
    </row>
    <row r="149" spans="2:7" x14ac:dyDescent="0.2">
      <c r="B149" s="90" t="s">
        <v>3505</v>
      </c>
      <c r="C149" s="85" t="s">
        <v>2775</v>
      </c>
      <c r="D149" t="s">
        <v>13</v>
      </c>
      <c r="E149" t="s">
        <v>27</v>
      </c>
      <c r="F149" t="s">
        <v>2</v>
      </c>
      <c r="G149" s="91"/>
    </row>
    <row r="150" spans="2:7" x14ac:dyDescent="0.2">
      <c r="B150" s="90" t="s">
        <v>3505</v>
      </c>
      <c r="C150" s="85" t="s">
        <v>2949</v>
      </c>
      <c r="D150" t="s">
        <v>13</v>
      </c>
      <c r="E150" t="s">
        <v>34</v>
      </c>
      <c r="F150" t="s">
        <v>2</v>
      </c>
      <c r="G150" s="91"/>
    </row>
    <row r="151" spans="2:7" x14ac:dyDescent="0.2">
      <c r="B151" s="90" t="s">
        <v>3505</v>
      </c>
      <c r="C151" s="85" t="s">
        <v>3366</v>
      </c>
      <c r="D151" t="s">
        <v>13</v>
      </c>
      <c r="E151" t="s">
        <v>49</v>
      </c>
      <c r="F151" t="s">
        <v>29</v>
      </c>
      <c r="G151" s="91" t="s">
        <v>3381</v>
      </c>
    </row>
    <row r="152" spans="2:7" x14ac:dyDescent="0.2">
      <c r="B152" s="90" t="s">
        <v>3505</v>
      </c>
      <c r="C152" s="85" t="s">
        <v>3335</v>
      </c>
      <c r="D152" t="s">
        <v>13</v>
      </c>
      <c r="E152" t="s">
        <v>27</v>
      </c>
      <c r="F152" t="s">
        <v>29</v>
      </c>
      <c r="G152" s="91" t="s">
        <v>3380</v>
      </c>
    </row>
    <row r="153" spans="2:7" x14ac:dyDescent="0.2">
      <c r="B153" s="90" t="s">
        <v>3505</v>
      </c>
      <c r="C153" s="85" t="s">
        <v>2937</v>
      </c>
      <c r="D153" t="s">
        <v>13</v>
      </c>
      <c r="E153" t="s">
        <v>49</v>
      </c>
      <c r="F153" t="s">
        <v>29</v>
      </c>
      <c r="G153" s="91" t="s">
        <v>3382</v>
      </c>
    </row>
    <row r="154" spans="2:7" x14ac:dyDescent="0.2">
      <c r="B154" s="90" t="s">
        <v>3506</v>
      </c>
      <c r="C154" s="85" t="s">
        <v>2774</v>
      </c>
      <c r="D154" t="s">
        <v>13</v>
      </c>
      <c r="E154" t="s">
        <v>34</v>
      </c>
      <c r="F154" t="s">
        <v>2</v>
      </c>
      <c r="G154" s="91"/>
    </row>
    <row r="155" spans="2:7" x14ac:dyDescent="0.2">
      <c r="B155" s="90" t="s">
        <v>3506</v>
      </c>
      <c r="C155" s="85" t="s">
        <v>2775</v>
      </c>
      <c r="D155" t="s">
        <v>13</v>
      </c>
      <c r="E155" t="s">
        <v>27</v>
      </c>
      <c r="F155" t="s">
        <v>2</v>
      </c>
      <c r="G155" s="91"/>
    </row>
    <row r="156" spans="2:7" x14ac:dyDescent="0.2">
      <c r="B156" s="90" t="s">
        <v>3506</v>
      </c>
      <c r="C156" s="85" t="s">
        <v>2775</v>
      </c>
      <c r="D156" t="s">
        <v>13</v>
      </c>
      <c r="E156" t="s">
        <v>27</v>
      </c>
      <c r="F156" t="s">
        <v>2</v>
      </c>
      <c r="G156" s="91"/>
    </row>
    <row r="157" spans="2:7" x14ac:dyDescent="0.2">
      <c r="B157" s="90" t="s">
        <v>3506</v>
      </c>
      <c r="C157" s="85" t="s">
        <v>2949</v>
      </c>
      <c r="D157" t="s">
        <v>13</v>
      </c>
      <c r="E157" t="s">
        <v>34</v>
      </c>
      <c r="F157" t="s">
        <v>2</v>
      </c>
      <c r="G157" s="91"/>
    </row>
    <row r="158" spans="2:7" x14ac:dyDescent="0.2">
      <c r="B158" s="90" t="s">
        <v>3506</v>
      </c>
      <c r="C158" s="85" t="s">
        <v>3366</v>
      </c>
      <c r="D158" t="s">
        <v>13</v>
      </c>
      <c r="E158" t="s">
        <v>27</v>
      </c>
      <c r="F158" t="s">
        <v>29</v>
      </c>
      <c r="G158" s="91" t="s">
        <v>3379</v>
      </c>
    </row>
    <row r="159" spans="2:7" x14ac:dyDescent="0.2">
      <c r="B159" s="90" t="s">
        <v>3506</v>
      </c>
      <c r="C159" s="85" t="s">
        <v>2937</v>
      </c>
      <c r="D159" t="s">
        <v>13</v>
      </c>
      <c r="E159" t="s">
        <v>49</v>
      </c>
      <c r="F159" t="s">
        <v>29</v>
      </c>
      <c r="G159" s="91" t="s">
        <v>3378</v>
      </c>
    </row>
    <row r="160" spans="2:7" x14ac:dyDescent="0.2">
      <c r="B160" s="90" t="s">
        <v>3507</v>
      </c>
      <c r="C160" s="85" t="s">
        <v>2774</v>
      </c>
      <c r="D160" t="s">
        <v>13</v>
      </c>
      <c r="E160" t="s">
        <v>34</v>
      </c>
      <c r="F160" t="s">
        <v>2</v>
      </c>
      <c r="G160" s="91" t="s">
        <v>3375</v>
      </c>
    </row>
    <row r="161" spans="2:7" x14ac:dyDescent="0.2">
      <c r="B161" s="90" t="s">
        <v>3507</v>
      </c>
      <c r="C161" s="85" t="s">
        <v>2775</v>
      </c>
      <c r="D161" t="s">
        <v>13</v>
      </c>
      <c r="E161" t="s">
        <v>27</v>
      </c>
      <c r="F161" t="s">
        <v>2</v>
      </c>
      <c r="G161" s="91"/>
    </row>
    <row r="162" spans="2:7" x14ac:dyDescent="0.2">
      <c r="B162" s="90" t="s">
        <v>3507</v>
      </c>
      <c r="C162" s="85" t="s">
        <v>2775</v>
      </c>
      <c r="D162" t="s">
        <v>13</v>
      </c>
      <c r="E162" t="s">
        <v>27</v>
      </c>
      <c r="F162" t="s">
        <v>2</v>
      </c>
      <c r="G162" s="91"/>
    </row>
    <row r="163" spans="2:7" x14ac:dyDescent="0.2">
      <c r="B163" s="90" t="s">
        <v>3507</v>
      </c>
      <c r="C163" s="85" t="s">
        <v>2949</v>
      </c>
      <c r="D163" t="s">
        <v>13</v>
      </c>
      <c r="E163" t="s">
        <v>34</v>
      </c>
      <c r="F163" t="s">
        <v>2</v>
      </c>
      <c r="G163" s="91" t="s">
        <v>3374</v>
      </c>
    </row>
    <row r="164" spans="2:7" x14ac:dyDescent="0.2">
      <c r="B164" s="90" t="s">
        <v>3507</v>
      </c>
      <c r="C164" s="85" t="s">
        <v>3366</v>
      </c>
      <c r="D164" t="s">
        <v>13</v>
      </c>
      <c r="E164" t="s">
        <v>27</v>
      </c>
      <c r="F164" t="s">
        <v>2</v>
      </c>
      <c r="G164" s="91" t="s">
        <v>3373</v>
      </c>
    </row>
    <row r="165" spans="2:7" x14ac:dyDescent="0.2">
      <c r="B165" s="90" t="s">
        <v>3507</v>
      </c>
      <c r="C165" s="85" t="s">
        <v>2937</v>
      </c>
      <c r="D165" t="s">
        <v>13</v>
      </c>
      <c r="E165" t="s">
        <v>43</v>
      </c>
      <c r="F165" t="s">
        <v>29</v>
      </c>
      <c r="G165" s="91" t="s">
        <v>3376</v>
      </c>
    </row>
    <row r="166" spans="2:7" x14ac:dyDescent="0.2">
      <c r="B166" s="90" t="s">
        <v>3507</v>
      </c>
      <c r="C166" s="85" t="s">
        <v>2941</v>
      </c>
      <c r="D166" t="s">
        <v>13</v>
      </c>
      <c r="E166" t="s">
        <v>34</v>
      </c>
      <c r="F166" t="s">
        <v>29</v>
      </c>
      <c r="G166" s="91" t="s">
        <v>3372</v>
      </c>
    </row>
    <row r="167" spans="2:7" x14ac:dyDescent="0.2">
      <c r="B167" s="90" t="s">
        <v>3507</v>
      </c>
      <c r="C167" s="85" t="s">
        <v>235</v>
      </c>
      <c r="D167" t="s">
        <v>13</v>
      </c>
      <c r="E167" t="s">
        <v>49</v>
      </c>
      <c r="F167" t="s">
        <v>29</v>
      </c>
      <c r="G167" s="91" t="s">
        <v>3377</v>
      </c>
    </row>
    <row r="168" spans="2:7" x14ac:dyDescent="0.2">
      <c r="B168" s="90" t="s">
        <v>3508</v>
      </c>
      <c r="C168" s="85" t="s">
        <v>2774</v>
      </c>
      <c r="D168" t="s">
        <v>13</v>
      </c>
      <c r="E168" t="s">
        <v>34</v>
      </c>
      <c r="F168" t="s">
        <v>2</v>
      </c>
      <c r="G168" s="91"/>
    </row>
    <row r="169" spans="2:7" x14ac:dyDescent="0.2">
      <c r="B169" s="90" t="s">
        <v>3508</v>
      </c>
      <c r="C169" s="85" t="s">
        <v>2775</v>
      </c>
      <c r="D169" t="s">
        <v>13</v>
      </c>
      <c r="E169" t="s">
        <v>27</v>
      </c>
      <c r="F169" t="s">
        <v>2</v>
      </c>
      <c r="G169" s="91"/>
    </row>
    <row r="170" spans="2:7" x14ac:dyDescent="0.2">
      <c r="B170" s="90" t="s">
        <v>3508</v>
      </c>
      <c r="C170" s="85" t="s">
        <v>2775</v>
      </c>
      <c r="D170" t="s">
        <v>13</v>
      </c>
      <c r="E170" t="s">
        <v>27</v>
      </c>
      <c r="F170" t="s">
        <v>2</v>
      </c>
      <c r="G170" s="91"/>
    </row>
    <row r="171" spans="2:7" x14ac:dyDescent="0.2">
      <c r="B171" s="90" t="s">
        <v>3508</v>
      </c>
      <c r="C171" s="85" t="s">
        <v>2949</v>
      </c>
      <c r="D171" t="s">
        <v>13</v>
      </c>
      <c r="E171" t="s">
        <v>34</v>
      </c>
      <c r="F171" t="s">
        <v>2</v>
      </c>
      <c r="G171" s="91"/>
    </row>
    <row r="172" spans="2:7" x14ac:dyDescent="0.2">
      <c r="B172" s="90" t="s">
        <v>3508</v>
      </c>
      <c r="C172" s="85" t="s">
        <v>3366</v>
      </c>
      <c r="D172" t="s">
        <v>13</v>
      </c>
      <c r="E172" t="s">
        <v>27</v>
      </c>
      <c r="F172" t="s">
        <v>2</v>
      </c>
      <c r="G172" s="91" t="s">
        <v>3368</v>
      </c>
    </row>
    <row r="173" spans="2:7" x14ac:dyDescent="0.2">
      <c r="B173" s="90" t="s">
        <v>3509</v>
      </c>
      <c r="C173" s="85" t="s">
        <v>2774</v>
      </c>
      <c r="D173" t="s">
        <v>13</v>
      </c>
      <c r="E173" t="s">
        <v>34</v>
      </c>
      <c r="F173" t="s">
        <v>2</v>
      </c>
      <c r="G173" s="91" t="s">
        <v>3370</v>
      </c>
    </row>
    <row r="174" spans="2:7" x14ac:dyDescent="0.2">
      <c r="B174" s="90" t="s">
        <v>3509</v>
      </c>
      <c r="C174" s="85" t="s">
        <v>2775</v>
      </c>
      <c r="D174" t="s">
        <v>13</v>
      </c>
      <c r="E174" t="s">
        <v>27</v>
      </c>
      <c r="F174" t="s">
        <v>2</v>
      </c>
      <c r="G174" s="91"/>
    </row>
    <row r="175" spans="2:7" x14ac:dyDescent="0.2">
      <c r="B175" s="90" t="s">
        <v>3509</v>
      </c>
      <c r="C175" s="85" t="s">
        <v>2775</v>
      </c>
      <c r="D175" t="s">
        <v>13</v>
      </c>
      <c r="E175" t="s">
        <v>27</v>
      </c>
      <c r="F175" t="s">
        <v>2</v>
      </c>
      <c r="G175" s="91"/>
    </row>
    <row r="176" spans="2:7" x14ac:dyDescent="0.2">
      <c r="B176" s="90" t="s">
        <v>3509</v>
      </c>
      <c r="C176" s="85" t="s">
        <v>2949</v>
      </c>
      <c r="D176" t="s">
        <v>13</v>
      </c>
      <c r="E176" t="s">
        <v>34</v>
      </c>
      <c r="F176" t="s">
        <v>2</v>
      </c>
      <c r="G176" s="91"/>
    </row>
    <row r="177" spans="2:7" x14ac:dyDescent="0.2">
      <c r="B177" s="90" t="s">
        <v>3509</v>
      </c>
      <c r="C177" s="85" t="s">
        <v>3366</v>
      </c>
      <c r="D177" t="s">
        <v>13</v>
      </c>
      <c r="E177" t="s">
        <v>27</v>
      </c>
      <c r="F177" t="s">
        <v>2</v>
      </c>
      <c r="G177" s="91" t="s">
        <v>3368</v>
      </c>
    </row>
    <row r="178" spans="2:7" x14ac:dyDescent="0.2">
      <c r="B178" s="90" t="s">
        <v>3509</v>
      </c>
      <c r="C178" s="85" t="s">
        <v>3341</v>
      </c>
      <c r="D178" t="s">
        <v>13</v>
      </c>
      <c r="E178" t="s">
        <v>49</v>
      </c>
      <c r="F178" t="s">
        <v>29</v>
      </c>
      <c r="G178" s="91" t="s">
        <v>3369</v>
      </c>
    </row>
    <row r="179" spans="2:7" x14ac:dyDescent="0.2">
      <c r="B179" s="90" t="s">
        <v>3509</v>
      </c>
      <c r="C179" s="85" t="s">
        <v>2937</v>
      </c>
      <c r="D179" t="s">
        <v>13</v>
      </c>
      <c r="E179" t="s">
        <v>49</v>
      </c>
      <c r="F179" t="s">
        <v>29</v>
      </c>
      <c r="G179" s="91" t="s">
        <v>3371</v>
      </c>
    </row>
    <row r="180" spans="2:7" x14ac:dyDescent="0.2">
      <c r="B180" s="90" t="s">
        <v>3510</v>
      </c>
      <c r="C180" s="85" t="s">
        <v>2774</v>
      </c>
      <c r="D180" t="s">
        <v>13</v>
      </c>
      <c r="E180" t="s">
        <v>34</v>
      </c>
      <c r="F180" t="s">
        <v>2</v>
      </c>
      <c r="G180" s="91"/>
    </row>
    <row r="181" spans="2:7" x14ac:dyDescent="0.2">
      <c r="B181" s="90" t="s">
        <v>3510</v>
      </c>
      <c r="C181" s="85" t="s">
        <v>2775</v>
      </c>
      <c r="D181" t="s">
        <v>13</v>
      </c>
      <c r="E181" t="s">
        <v>27</v>
      </c>
      <c r="F181" t="s">
        <v>2</v>
      </c>
      <c r="G181" s="91"/>
    </row>
    <row r="182" spans="2:7" x14ac:dyDescent="0.2">
      <c r="B182" s="90" t="s">
        <v>3510</v>
      </c>
      <c r="C182" s="85" t="s">
        <v>2775</v>
      </c>
      <c r="D182" t="s">
        <v>13</v>
      </c>
      <c r="E182" t="s">
        <v>27</v>
      </c>
      <c r="F182" t="s">
        <v>2</v>
      </c>
      <c r="G182" s="91"/>
    </row>
    <row r="183" spans="2:7" x14ac:dyDescent="0.2">
      <c r="B183" s="90" t="s">
        <v>3510</v>
      </c>
      <c r="C183" s="85" t="s">
        <v>2949</v>
      </c>
      <c r="D183" t="s">
        <v>13</v>
      </c>
      <c r="E183" t="s">
        <v>34</v>
      </c>
      <c r="F183" t="s">
        <v>2</v>
      </c>
      <c r="G183" s="91"/>
    </row>
    <row r="184" spans="2:7" x14ac:dyDescent="0.2">
      <c r="B184" s="90" t="s">
        <v>3510</v>
      </c>
      <c r="C184" s="85" t="s">
        <v>3341</v>
      </c>
      <c r="D184" t="s">
        <v>13</v>
      </c>
      <c r="E184" t="s">
        <v>27</v>
      </c>
      <c r="F184" t="s">
        <v>29</v>
      </c>
      <c r="G184" s="91" t="s">
        <v>3365</v>
      </c>
    </row>
    <row r="185" spans="2:7" x14ac:dyDescent="0.2">
      <c r="B185" s="90" t="s">
        <v>3510</v>
      </c>
      <c r="C185" s="85" t="s">
        <v>2941</v>
      </c>
      <c r="D185" t="s">
        <v>13</v>
      </c>
      <c r="E185" t="s">
        <v>34</v>
      </c>
      <c r="F185" t="s">
        <v>29</v>
      </c>
      <c r="G185" s="91" t="s">
        <v>3364</v>
      </c>
    </row>
    <row r="186" spans="2:7" x14ac:dyDescent="0.2">
      <c r="B186" s="90" t="s">
        <v>3510</v>
      </c>
      <c r="C186" s="85" t="s">
        <v>3366</v>
      </c>
      <c r="D186" t="s">
        <v>13</v>
      </c>
      <c r="E186" t="s">
        <v>27</v>
      </c>
      <c r="F186" t="s">
        <v>2</v>
      </c>
      <c r="G186" s="91" t="s">
        <v>3367</v>
      </c>
    </row>
    <row r="187" spans="2:7" x14ac:dyDescent="0.2">
      <c r="B187" s="90" t="s">
        <v>3511</v>
      </c>
      <c r="C187" s="85" t="s">
        <v>2774</v>
      </c>
      <c r="D187" t="s">
        <v>13</v>
      </c>
      <c r="E187" t="s">
        <v>34</v>
      </c>
      <c r="F187" t="s">
        <v>2</v>
      </c>
      <c r="G187" s="91" t="s">
        <v>3360</v>
      </c>
    </row>
    <row r="188" spans="2:7" x14ac:dyDescent="0.2">
      <c r="B188" s="90" t="s">
        <v>3511</v>
      </c>
      <c r="C188" s="85" t="s">
        <v>2775</v>
      </c>
      <c r="D188" t="s">
        <v>13</v>
      </c>
      <c r="E188" t="s">
        <v>27</v>
      </c>
      <c r="F188" t="s">
        <v>2</v>
      </c>
      <c r="G188" s="91"/>
    </row>
    <row r="189" spans="2:7" x14ac:dyDescent="0.2">
      <c r="B189" s="90" t="s">
        <v>3511</v>
      </c>
      <c r="C189" s="85" t="s">
        <v>2775</v>
      </c>
      <c r="D189" t="s">
        <v>13</v>
      </c>
      <c r="E189" t="s">
        <v>27</v>
      </c>
      <c r="F189" t="s">
        <v>29</v>
      </c>
      <c r="G189" s="91" t="s">
        <v>3361</v>
      </c>
    </row>
    <row r="190" spans="2:7" x14ac:dyDescent="0.2">
      <c r="B190" s="90" t="s">
        <v>3511</v>
      </c>
      <c r="C190" s="85" t="s">
        <v>2775</v>
      </c>
      <c r="D190" t="s">
        <v>13</v>
      </c>
      <c r="E190" t="s">
        <v>27</v>
      </c>
      <c r="F190" t="s">
        <v>2</v>
      </c>
      <c r="G190" s="91"/>
    </row>
    <row r="191" spans="2:7" x14ac:dyDescent="0.2">
      <c r="B191" s="90" t="s">
        <v>3511</v>
      </c>
      <c r="C191" s="85" t="s">
        <v>2949</v>
      </c>
      <c r="D191" t="s">
        <v>13</v>
      </c>
      <c r="E191" t="s">
        <v>34</v>
      </c>
      <c r="F191" t="s">
        <v>2</v>
      </c>
      <c r="G191" s="91"/>
    </row>
    <row r="192" spans="2:7" x14ac:dyDescent="0.2">
      <c r="B192" s="90" t="s">
        <v>3511</v>
      </c>
      <c r="C192" s="85" t="s">
        <v>3341</v>
      </c>
      <c r="D192" t="s">
        <v>13</v>
      </c>
      <c r="E192" t="s">
        <v>27</v>
      </c>
      <c r="F192" t="s">
        <v>2</v>
      </c>
      <c r="G192" s="91" t="s">
        <v>3362</v>
      </c>
    </row>
    <row r="193" spans="2:7" x14ac:dyDescent="0.2">
      <c r="B193" s="90" t="s">
        <v>3511</v>
      </c>
      <c r="C193" s="85" t="s">
        <v>2941</v>
      </c>
      <c r="D193" t="s">
        <v>13</v>
      </c>
      <c r="E193" t="s">
        <v>27</v>
      </c>
      <c r="F193" t="s">
        <v>29</v>
      </c>
      <c r="G193" s="91" t="s">
        <v>3363</v>
      </c>
    </row>
    <row r="194" spans="2:7" x14ac:dyDescent="0.2">
      <c r="B194" s="90" t="s">
        <v>3512</v>
      </c>
      <c r="C194" s="85" t="s">
        <v>2774</v>
      </c>
      <c r="D194" t="s">
        <v>13</v>
      </c>
      <c r="E194" t="s">
        <v>34</v>
      </c>
      <c r="F194" t="s">
        <v>2</v>
      </c>
      <c r="G194" s="91"/>
    </row>
    <row r="195" spans="2:7" x14ac:dyDescent="0.2">
      <c r="B195" s="90" t="s">
        <v>3512</v>
      </c>
      <c r="C195" s="85" t="s">
        <v>2775</v>
      </c>
      <c r="D195" t="s">
        <v>13</v>
      </c>
      <c r="E195" t="s">
        <v>27</v>
      </c>
      <c r="F195" t="s">
        <v>2</v>
      </c>
      <c r="G195" s="91" t="s">
        <v>3344</v>
      </c>
    </row>
    <row r="196" spans="2:7" x14ac:dyDescent="0.2">
      <c r="B196" s="90" t="s">
        <v>3512</v>
      </c>
      <c r="C196" s="85" t="s">
        <v>2775</v>
      </c>
      <c r="D196" t="s">
        <v>13</v>
      </c>
      <c r="E196" t="s">
        <v>27</v>
      </c>
      <c r="F196" t="s">
        <v>2</v>
      </c>
      <c r="G196" s="91" t="s">
        <v>3345</v>
      </c>
    </row>
    <row r="197" spans="2:7" x14ac:dyDescent="0.2">
      <c r="B197" s="90" t="s">
        <v>3512</v>
      </c>
      <c r="C197" s="85" t="s">
        <v>2775</v>
      </c>
      <c r="D197" t="s">
        <v>13</v>
      </c>
      <c r="E197" t="s">
        <v>27</v>
      </c>
      <c r="F197" t="s">
        <v>2</v>
      </c>
      <c r="G197" s="91" t="s">
        <v>3359</v>
      </c>
    </row>
    <row r="198" spans="2:7" x14ac:dyDescent="0.2">
      <c r="B198" s="90" t="s">
        <v>3512</v>
      </c>
      <c r="C198" s="85" t="s">
        <v>2949</v>
      </c>
      <c r="D198" t="s">
        <v>13</v>
      </c>
      <c r="E198" t="s">
        <v>34</v>
      </c>
      <c r="F198" t="s">
        <v>2</v>
      </c>
      <c r="G198" s="91" t="s">
        <v>3354</v>
      </c>
    </row>
    <row r="199" spans="2:7" x14ac:dyDescent="0.2">
      <c r="B199" s="90" t="s">
        <v>3512</v>
      </c>
      <c r="C199" s="85" t="s">
        <v>3341</v>
      </c>
      <c r="D199" t="s">
        <v>13</v>
      </c>
      <c r="E199" t="s">
        <v>27</v>
      </c>
      <c r="F199" t="s">
        <v>2</v>
      </c>
      <c r="G199" s="91"/>
    </row>
    <row r="200" spans="2:7" x14ac:dyDescent="0.2">
      <c r="B200" s="90" t="s">
        <v>3512</v>
      </c>
      <c r="C200" s="85" t="s">
        <v>3341</v>
      </c>
      <c r="D200" t="s">
        <v>13</v>
      </c>
      <c r="E200" t="s">
        <v>21</v>
      </c>
      <c r="F200" t="s">
        <v>29</v>
      </c>
      <c r="G200" s="91" t="s">
        <v>3357</v>
      </c>
    </row>
    <row r="201" spans="2:7" x14ac:dyDescent="0.2">
      <c r="B201" s="90" t="s">
        <v>3512</v>
      </c>
      <c r="C201" s="85" t="s">
        <v>235</v>
      </c>
      <c r="D201" t="s">
        <v>13</v>
      </c>
      <c r="E201" t="s">
        <v>27</v>
      </c>
      <c r="F201" t="s">
        <v>29</v>
      </c>
      <c r="G201" s="91" t="s">
        <v>3358</v>
      </c>
    </row>
    <row r="202" spans="2:7" x14ac:dyDescent="0.2">
      <c r="B202" s="90" t="s">
        <v>3512</v>
      </c>
      <c r="C202" s="85" t="s">
        <v>151</v>
      </c>
      <c r="D202" t="s">
        <v>13</v>
      </c>
      <c r="E202" t="s">
        <v>34</v>
      </c>
      <c r="F202" t="s">
        <v>29</v>
      </c>
      <c r="G202" s="91" t="s">
        <v>3356</v>
      </c>
    </row>
    <row r="203" spans="2:7" x14ac:dyDescent="0.2">
      <c r="B203" s="90" t="s">
        <v>3513</v>
      </c>
      <c r="C203" s="85" t="s">
        <v>2774</v>
      </c>
      <c r="D203" t="s">
        <v>13</v>
      </c>
      <c r="E203" t="s">
        <v>34</v>
      </c>
      <c r="F203" t="s">
        <v>2</v>
      </c>
      <c r="G203" s="91"/>
    </row>
    <row r="204" spans="2:7" x14ac:dyDescent="0.2">
      <c r="B204" s="90" t="s">
        <v>3513</v>
      </c>
      <c r="C204" s="85" t="s">
        <v>2775</v>
      </c>
      <c r="D204" t="s">
        <v>13</v>
      </c>
      <c r="E204" t="s">
        <v>27</v>
      </c>
      <c r="F204" t="s">
        <v>2</v>
      </c>
      <c r="G204" s="91" t="s">
        <v>3344</v>
      </c>
    </row>
    <row r="205" spans="2:7" x14ac:dyDescent="0.2">
      <c r="B205" s="90" t="s">
        <v>3513</v>
      </c>
      <c r="C205" s="85" t="s">
        <v>2775</v>
      </c>
      <c r="D205" t="s">
        <v>13</v>
      </c>
      <c r="E205" t="s">
        <v>27</v>
      </c>
      <c r="F205" t="s">
        <v>2</v>
      </c>
      <c r="G205" s="91" t="s">
        <v>3345</v>
      </c>
    </row>
    <row r="206" spans="2:7" x14ac:dyDescent="0.2">
      <c r="B206" s="90" t="s">
        <v>3513</v>
      </c>
      <c r="C206" s="85" t="s">
        <v>2775</v>
      </c>
      <c r="D206" t="s">
        <v>13</v>
      </c>
      <c r="E206" t="s">
        <v>27</v>
      </c>
      <c r="F206" t="s">
        <v>2</v>
      </c>
      <c r="G206" s="91" t="s">
        <v>3355</v>
      </c>
    </row>
    <row r="207" spans="2:7" x14ac:dyDescent="0.2">
      <c r="B207" s="90" t="s">
        <v>3513</v>
      </c>
      <c r="C207" s="85" t="s">
        <v>2949</v>
      </c>
      <c r="D207" t="s">
        <v>13</v>
      </c>
      <c r="E207" t="s">
        <v>34</v>
      </c>
      <c r="F207" t="s">
        <v>2</v>
      </c>
      <c r="G207" s="91" t="s">
        <v>3354</v>
      </c>
    </row>
    <row r="208" spans="2:7" x14ac:dyDescent="0.2">
      <c r="B208" s="90" t="s">
        <v>3513</v>
      </c>
      <c r="C208" s="85" t="s">
        <v>3341</v>
      </c>
      <c r="D208" t="s">
        <v>13</v>
      </c>
      <c r="E208" t="s">
        <v>27</v>
      </c>
      <c r="F208" t="s">
        <v>2</v>
      </c>
      <c r="G208" s="91"/>
    </row>
    <row r="209" spans="2:7" x14ac:dyDescent="0.2">
      <c r="B209" s="90" t="s">
        <v>3513</v>
      </c>
      <c r="C209" s="85" t="s">
        <v>3341</v>
      </c>
      <c r="D209" t="s">
        <v>13</v>
      </c>
      <c r="E209" t="s">
        <v>34</v>
      </c>
      <c r="F209" t="s">
        <v>29</v>
      </c>
      <c r="G209" s="91" t="s">
        <v>3353</v>
      </c>
    </row>
    <row r="210" spans="2:7" x14ac:dyDescent="0.2">
      <c r="B210" s="90" t="s">
        <v>3513</v>
      </c>
      <c r="C210" s="85" t="s">
        <v>235</v>
      </c>
      <c r="D210" t="s">
        <v>13</v>
      </c>
      <c r="E210" t="s">
        <v>49</v>
      </c>
      <c r="F210" t="s">
        <v>2</v>
      </c>
      <c r="G210" s="91" t="s">
        <v>3352</v>
      </c>
    </row>
    <row r="211" spans="2:7" x14ac:dyDescent="0.2">
      <c r="B211" s="90" t="s">
        <v>3514</v>
      </c>
      <c r="C211" s="85" t="s">
        <v>2774</v>
      </c>
      <c r="D211" t="s">
        <v>13</v>
      </c>
      <c r="E211" t="s">
        <v>34</v>
      </c>
      <c r="F211" t="s">
        <v>2</v>
      </c>
      <c r="G211" s="91"/>
    </row>
    <row r="212" spans="2:7" x14ac:dyDescent="0.2">
      <c r="B212" s="90" t="s">
        <v>3514</v>
      </c>
      <c r="C212" s="85" t="s">
        <v>2775</v>
      </c>
      <c r="D212" t="s">
        <v>13</v>
      </c>
      <c r="E212" t="s">
        <v>27</v>
      </c>
      <c r="F212" t="s">
        <v>2</v>
      </c>
      <c r="G212" s="91" t="s">
        <v>3344</v>
      </c>
    </row>
    <row r="213" spans="2:7" x14ac:dyDescent="0.2">
      <c r="B213" s="90" t="s">
        <v>3514</v>
      </c>
      <c r="C213" s="85" t="s">
        <v>2775</v>
      </c>
      <c r="D213" t="s">
        <v>13</v>
      </c>
      <c r="E213" t="s">
        <v>27</v>
      </c>
      <c r="F213" t="s">
        <v>2</v>
      </c>
      <c r="G213" s="91" t="s">
        <v>3345</v>
      </c>
    </row>
    <row r="214" spans="2:7" x14ac:dyDescent="0.2">
      <c r="B214" s="90" t="s">
        <v>3514</v>
      </c>
      <c r="C214" s="85" t="s">
        <v>2949</v>
      </c>
      <c r="D214" t="s">
        <v>13</v>
      </c>
      <c r="E214" t="s">
        <v>34</v>
      </c>
      <c r="F214" t="s">
        <v>2</v>
      </c>
      <c r="G214" s="91"/>
    </row>
    <row r="215" spans="2:7" x14ac:dyDescent="0.2">
      <c r="B215" s="90" t="s">
        <v>3514</v>
      </c>
      <c r="C215" s="85" t="s">
        <v>3341</v>
      </c>
      <c r="D215" t="s">
        <v>13</v>
      </c>
      <c r="E215" t="s">
        <v>27</v>
      </c>
      <c r="F215" t="s">
        <v>2</v>
      </c>
      <c r="G215" s="91"/>
    </row>
    <row r="216" spans="2:7" x14ac:dyDescent="0.2">
      <c r="B216" s="90" t="s">
        <v>3514</v>
      </c>
      <c r="C216" s="85" t="s">
        <v>3341</v>
      </c>
      <c r="D216" t="s">
        <v>13</v>
      </c>
      <c r="E216" t="s">
        <v>34</v>
      </c>
      <c r="F216" t="s">
        <v>2</v>
      </c>
      <c r="G216" s="91" t="s">
        <v>3343</v>
      </c>
    </row>
    <row r="217" spans="2:7" x14ac:dyDescent="0.2">
      <c r="B217" s="90" t="s">
        <v>3514</v>
      </c>
      <c r="C217" s="85" t="s">
        <v>3075</v>
      </c>
      <c r="D217" t="s">
        <v>13</v>
      </c>
      <c r="E217" t="s">
        <v>49</v>
      </c>
      <c r="F217" t="s">
        <v>29</v>
      </c>
      <c r="G217" s="91" t="s">
        <v>3351</v>
      </c>
    </row>
    <row r="218" spans="2:7" x14ac:dyDescent="0.2">
      <c r="B218" s="90" t="s">
        <v>3514</v>
      </c>
      <c r="C218" s="85" t="s">
        <v>2941</v>
      </c>
      <c r="D218" t="s">
        <v>13</v>
      </c>
      <c r="E218" t="s">
        <v>49</v>
      </c>
      <c r="F218" t="s">
        <v>29</v>
      </c>
      <c r="G218" s="91" t="s">
        <v>3349</v>
      </c>
    </row>
    <row r="219" spans="2:7" x14ac:dyDescent="0.2">
      <c r="B219" s="90" t="s">
        <v>3514</v>
      </c>
      <c r="C219" s="85" t="s">
        <v>3088</v>
      </c>
      <c r="D219" t="s">
        <v>13</v>
      </c>
      <c r="E219" t="s">
        <v>49</v>
      </c>
      <c r="F219" t="s">
        <v>29</v>
      </c>
      <c r="G219" s="91" t="s">
        <v>3349</v>
      </c>
    </row>
    <row r="220" spans="2:7" x14ac:dyDescent="0.2">
      <c r="B220" s="90" t="s">
        <v>3514</v>
      </c>
      <c r="C220" s="85" t="s">
        <v>2937</v>
      </c>
      <c r="D220" t="s">
        <v>13</v>
      </c>
      <c r="E220" t="s">
        <v>27</v>
      </c>
      <c r="F220" t="s">
        <v>29</v>
      </c>
      <c r="G220" s="91" t="s">
        <v>3350</v>
      </c>
    </row>
    <row r="221" spans="2:7" x14ac:dyDescent="0.2">
      <c r="B221" s="90" t="s">
        <v>3515</v>
      </c>
      <c r="C221" s="85" t="s">
        <v>2774</v>
      </c>
      <c r="D221" t="s">
        <v>13</v>
      </c>
      <c r="E221" t="s">
        <v>34</v>
      </c>
      <c r="F221" t="s">
        <v>2</v>
      </c>
      <c r="G221" s="91" t="s">
        <v>3348</v>
      </c>
    </row>
    <row r="222" spans="2:7" x14ac:dyDescent="0.2">
      <c r="B222" s="90" t="s">
        <v>3515</v>
      </c>
      <c r="C222" s="85" t="s">
        <v>2775</v>
      </c>
      <c r="D222" t="s">
        <v>13</v>
      </c>
      <c r="E222" t="s">
        <v>27</v>
      </c>
      <c r="F222" t="s">
        <v>2</v>
      </c>
      <c r="G222" s="91" t="s">
        <v>3344</v>
      </c>
    </row>
    <row r="223" spans="2:7" x14ac:dyDescent="0.2">
      <c r="B223" s="90" t="s">
        <v>3515</v>
      </c>
      <c r="C223" s="85" t="s">
        <v>2775</v>
      </c>
      <c r="D223" t="s">
        <v>13</v>
      </c>
      <c r="E223" t="s">
        <v>27</v>
      </c>
      <c r="F223" t="s">
        <v>2</v>
      </c>
      <c r="G223" s="91" t="s">
        <v>3345</v>
      </c>
    </row>
    <row r="224" spans="2:7" x14ac:dyDescent="0.2">
      <c r="B224" s="90" t="s">
        <v>3515</v>
      </c>
      <c r="C224" s="85" t="s">
        <v>2949</v>
      </c>
      <c r="D224" t="s">
        <v>13</v>
      </c>
      <c r="E224" t="s">
        <v>34</v>
      </c>
      <c r="F224" t="s">
        <v>2</v>
      </c>
      <c r="G224" s="91" t="s">
        <v>3346</v>
      </c>
    </row>
    <row r="225" spans="2:7" x14ac:dyDescent="0.2">
      <c r="B225" s="90" t="s">
        <v>3515</v>
      </c>
      <c r="C225" s="85" t="s">
        <v>3341</v>
      </c>
      <c r="D225" t="s">
        <v>13</v>
      </c>
      <c r="E225" t="s">
        <v>27</v>
      </c>
      <c r="F225" t="s">
        <v>2</v>
      </c>
      <c r="G225" s="91"/>
    </row>
    <row r="226" spans="2:7" x14ac:dyDescent="0.2">
      <c r="B226" s="90" t="s">
        <v>3515</v>
      </c>
      <c r="C226" s="85" t="s">
        <v>3341</v>
      </c>
      <c r="D226" t="s">
        <v>13</v>
      </c>
      <c r="E226" t="s">
        <v>34</v>
      </c>
      <c r="F226" t="s">
        <v>2</v>
      </c>
      <c r="G226" s="91" t="s">
        <v>3343</v>
      </c>
    </row>
    <row r="227" spans="2:7" x14ac:dyDescent="0.2">
      <c r="B227" s="90" t="s">
        <v>3515</v>
      </c>
      <c r="C227" s="85" t="s">
        <v>3075</v>
      </c>
      <c r="D227" t="s">
        <v>13</v>
      </c>
      <c r="E227" t="s">
        <v>27</v>
      </c>
      <c r="F227" t="s">
        <v>2</v>
      </c>
      <c r="G227" s="91" t="s">
        <v>3347</v>
      </c>
    </row>
    <row r="228" spans="2:7" x14ac:dyDescent="0.2">
      <c r="B228" s="90" t="s">
        <v>3516</v>
      </c>
      <c r="C228" s="85" t="s">
        <v>2774</v>
      </c>
      <c r="D228" t="s">
        <v>13</v>
      </c>
      <c r="E228" t="s">
        <v>34</v>
      </c>
      <c r="F228" t="s">
        <v>2</v>
      </c>
      <c r="G228" s="91" t="s">
        <v>3340</v>
      </c>
    </row>
    <row r="229" spans="2:7" x14ac:dyDescent="0.2">
      <c r="B229" s="90" t="s">
        <v>3516</v>
      </c>
      <c r="C229" s="85" t="s">
        <v>3292</v>
      </c>
      <c r="D229" t="s">
        <v>13</v>
      </c>
      <c r="E229" t="s">
        <v>34</v>
      </c>
      <c r="F229" t="s">
        <v>2</v>
      </c>
      <c r="G229" s="91"/>
    </row>
    <row r="230" spans="2:7" x14ac:dyDescent="0.2">
      <c r="B230" s="90" t="s">
        <v>3516</v>
      </c>
      <c r="C230" s="85" t="s">
        <v>3292</v>
      </c>
      <c r="D230" t="s">
        <v>13</v>
      </c>
      <c r="E230" t="s">
        <v>27</v>
      </c>
      <c r="F230" t="s">
        <v>2</v>
      </c>
      <c r="G230" s="91"/>
    </row>
    <row r="231" spans="2:7" x14ac:dyDescent="0.2">
      <c r="B231" s="90" t="s">
        <v>3516</v>
      </c>
      <c r="C231" s="85" t="s">
        <v>2775</v>
      </c>
      <c r="D231" t="s">
        <v>13</v>
      </c>
      <c r="E231" t="s">
        <v>27</v>
      </c>
      <c r="F231" t="s">
        <v>2</v>
      </c>
      <c r="G231" s="91"/>
    </row>
    <row r="232" spans="2:7" x14ac:dyDescent="0.2">
      <c r="B232" s="90" t="s">
        <v>3516</v>
      </c>
      <c r="C232" s="85" t="s">
        <v>2775</v>
      </c>
      <c r="D232" t="s">
        <v>13</v>
      </c>
      <c r="E232" t="s">
        <v>27</v>
      </c>
      <c r="F232" t="s">
        <v>2</v>
      </c>
      <c r="G232" s="91"/>
    </row>
    <row r="233" spans="2:7" x14ac:dyDescent="0.2">
      <c r="B233" s="90" t="s">
        <v>3516</v>
      </c>
      <c r="C233" s="85" t="s">
        <v>2949</v>
      </c>
      <c r="D233" t="s">
        <v>13</v>
      </c>
      <c r="E233" t="s">
        <v>49</v>
      </c>
      <c r="F233" t="s">
        <v>29</v>
      </c>
      <c r="G233" s="91" t="s">
        <v>3338</v>
      </c>
    </row>
    <row r="234" spans="2:7" x14ac:dyDescent="0.2">
      <c r="B234" s="90" t="s">
        <v>3516</v>
      </c>
      <c r="C234" s="85" t="s">
        <v>2949</v>
      </c>
      <c r="D234" t="s">
        <v>13</v>
      </c>
      <c r="E234" t="s">
        <v>34</v>
      </c>
      <c r="F234" t="s">
        <v>2</v>
      </c>
      <c r="G234" s="91" t="s">
        <v>3338</v>
      </c>
    </row>
    <row r="235" spans="2:7" x14ac:dyDescent="0.2">
      <c r="B235" s="90" t="s">
        <v>3516</v>
      </c>
      <c r="C235" s="85" t="s">
        <v>235</v>
      </c>
      <c r="D235" t="s">
        <v>13</v>
      </c>
      <c r="E235" t="s">
        <v>49</v>
      </c>
      <c r="F235" t="s">
        <v>29</v>
      </c>
      <c r="G235" s="91" t="s">
        <v>3339</v>
      </c>
    </row>
    <row r="236" spans="2:7" x14ac:dyDescent="0.2">
      <c r="B236" s="90" t="s">
        <v>3516</v>
      </c>
      <c r="C236" s="85" t="s">
        <v>3341</v>
      </c>
      <c r="D236" t="s">
        <v>13</v>
      </c>
      <c r="E236" t="s">
        <v>27</v>
      </c>
      <c r="F236" t="s">
        <v>2</v>
      </c>
      <c r="G236" s="91"/>
    </row>
    <row r="237" spans="2:7" x14ac:dyDescent="0.2">
      <c r="B237" s="90" t="s">
        <v>3517</v>
      </c>
      <c r="C237" s="85" t="s">
        <v>2774</v>
      </c>
      <c r="D237" t="s">
        <v>13</v>
      </c>
      <c r="E237" t="s">
        <v>34</v>
      </c>
      <c r="F237" t="s">
        <v>2</v>
      </c>
      <c r="G237" s="91"/>
    </row>
    <row r="238" spans="2:7" x14ac:dyDescent="0.2">
      <c r="B238" s="90" t="s">
        <v>3517</v>
      </c>
      <c r="C238" s="85" t="s">
        <v>3292</v>
      </c>
      <c r="D238" t="s">
        <v>13</v>
      </c>
      <c r="E238" t="s">
        <v>34</v>
      </c>
      <c r="F238" t="s">
        <v>2</v>
      </c>
      <c r="G238" s="91"/>
    </row>
    <row r="239" spans="2:7" x14ac:dyDescent="0.2">
      <c r="B239" s="90" t="s">
        <v>3517</v>
      </c>
      <c r="C239" s="85" t="s">
        <v>3292</v>
      </c>
      <c r="D239" t="s">
        <v>13</v>
      </c>
      <c r="E239" t="s">
        <v>27</v>
      </c>
      <c r="F239" t="s">
        <v>2</v>
      </c>
      <c r="G239" s="91"/>
    </row>
    <row r="240" spans="2:7" x14ac:dyDescent="0.2">
      <c r="B240" s="90" t="s">
        <v>3517</v>
      </c>
      <c r="C240" s="85" t="s">
        <v>2775</v>
      </c>
      <c r="D240" t="s">
        <v>13</v>
      </c>
      <c r="E240" t="s">
        <v>27</v>
      </c>
      <c r="F240" t="s">
        <v>2</v>
      </c>
      <c r="G240" s="91" t="s">
        <v>3332</v>
      </c>
    </row>
    <row r="241" spans="2:7" x14ac:dyDescent="0.2">
      <c r="B241" s="90" t="s">
        <v>3517</v>
      </c>
      <c r="C241" s="85" t="s">
        <v>2775</v>
      </c>
      <c r="D241" t="s">
        <v>13</v>
      </c>
      <c r="E241" t="s">
        <v>27</v>
      </c>
      <c r="F241" t="s">
        <v>2</v>
      </c>
      <c r="G241" s="91" t="s">
        <v>3331</v>
      </c>
    </row>
    <row r="242" spans="2:7" x14ac:dyDescent="0.2">
      <c r="B242" s="90" t="s">
        <v>3517</v>
      </c>
      <c r="C242" s="85" t="s">
        <v>2949</v>
      </c>
      <c r="D242" t="s">
        <v>13</v>
      </c>
      <c r="E242" t="s">
        <v>34</v>
      </c>
      <c r="F242" t="s">
        <v>2</v>
      </c>
      <c r="G242" s="91" t="s">
        <v>3334</v>
      </c>
    </row>
    <row r="243" spans="2:7" x14ac:dyDescent="0.2">
      <c r="B243" s="90" t="s">
        <v>3517</v>
      </c>
      <c r="C243" s="85" t="s">
        <v>3254</v>
      </c>
      <c r="D243" t="s">
        <v>13</v>
      </c>
      <c r="E243" t="s">
        <v>49</v>
      </c>
      <c r="F243" t="s">
        <v>29</v>
      </c>
      <c r="G243" s="91" t="s">
        <v>3337</v>
      </c>
    </row>
    <row r="244" spans="2:7" x14ac:dyDescent="0.2">
      <c r="B244" s="90" t="s">
        <v>3517</v>
      </c>
      <c r="C244" s="85" t="s">
        <v>235</v>
      </c>
      <c r="D244" t="s">
        <v>13</v>
      </c>
      <c r="E244" t="s">
        <v>49</v>
      </c>
      <c r="F244" t="s">
        <v>29</v>
      </c>
      <c r="G244" s="91" t="s">
        <v>3333</v>
      </c>
    </row>
    <row r="245" spans="2:7" x14ac:dyDescent="0.2">
      <c r="B245" s="90" t="s">
        <v>3517</v>
      </c>
      <c r="C245" s="85" t="s">
        <v>3335</v>
      </c>
      <c r="D245" t="s">
        <v>13</v>
      </c>
      <c r="E245" t="s">
        <v>27</v>
      </c>
      <c r="F245" t="s">
        <v>29</v>
      </c>
      <c r="G245" s="91" t="s">
        <v>3336</v>
      </c>
    </row>
    <row r="246" spans="2:7" x14ac:dyDescent="0.2">
      <c r="B246" s="90" t="s">
        <v>3518</v>
      </c>
      <c r="C246" s="85" t="s">
        <v>2774</v>
      </c>
      <c r="D246" t="s">
        <v>13</v>
      </c>
      <c r="E246" t="s">
        <v>34</v>
      </c>
      <c r="F246" t="s">
        <v>2</v>
      </c>
      <c r="G246" s="91"/>
    </row>
    <row r="247" spans="2:7" x14ac:dyDescent="0.2">
      <c r="B247" s="90" t="s">
        <v>3518</v>
      </c>
      <c r="C247" s="85" t="s">
        <v>3292</v>
      </c>
      <c r="D247" t="s">
        <v>13</v>
      </c>
      <c r="E247" t="s">
        <v>34</v>
      </c>
      <c r="F247" t="s">
        <v>2</v>
      </c>
      <c r="G247" s="91"/>
    </row>
    <row r="248" spans="2:7" x14ac:dyDescent="0.2">
      <c r="B248" s="90" t="s">
        <v>3518</v>
      </c>
      <c r="C248" s="85" t="s">
        <v>3292</v>
      </c>
      <c r="D248" t="s">
        <v>13</v>
      </c>
      <c r="E248" t="s">
        <v>27</v>
      </c>
      <c r="F248" t="s">
        <v>2</v>
      </c>
      <c r="G248" s="91"/>
    </row>
    <row r="249" spans="2:7" x14ac:dyDescent="0.2">
      <c r="B249" s="90" t="s">
        <v>3518</v>
      </c>
      <c r="C249" s="85" t="s">
        <v>235</v>
      </c>
      <c r="D249" t="s">
        <v>13</v>
      </c>
      <c r="E249" t="s">
        <v>49</v>
      </c>
      <c r="F249" t="s">
        <v>29</v>
      </c>
      <c r="G249" s="91" t="s">
        <v>3325</v>
      </c>
    </row>
    <row r="250" spans="2:7" x14ac:dyDescent="0.2">
      <c r="B250" s="90" t="s">
        <v>3518</v>
      </c>
      <c r="C250" s="85" t="s">
        <v>2775</v>
      </c>
      <c r="D250" t="s">
        <v>13</v>
      </c>
      <c r="E250" t="s">
        <v>27</v>
      </c>
      <c r="F250" t="s">
        <v>2</v>
      </c>
      <c r="G250" s="91"/>
    </row>
    <row r="251" spans="2:7" x14ac:dyDescent="0.2">
      <c r="B251" s="90" t="s">
        <v>3518</v>
      </c>
      <c r="C251" s="85" t="s">
        <v>2937</v>
      </c>
      <c r="D251" t="s">
        <v>13</v>
      </c>
      <c r="E251" t="s">
        <v>27</v>
      </c>
      <c r="F251" t="s">
        <v>2</v>
      </c>
      <c r="G251" s="91" t="s">
        <v>3326</v>
      </c>
    </row>
    <row r="252" spans="2:7" x14ac:dyDescent="0.2">
      <c r="B252" s="90" t="s">
        <v>3518</v>
      </c>
      <c r="C252" s="85" t="s">
        <v>3321</v>
      </c>
      <c r="D252" t="s">
        <v>14</v>
      </c>
      <c r="E252" t="s">
        <v>49</v>
      </c>
      <c r="F252" t="s">
        <v>29</v>
      </c>
      <c r="G252" s="91" t="s">
        <v>3327</v>
      </c>
    </row>
    <row r="253" spans="2:7" x14ac:dyDescent="0.2">
      <c r="B253" s="90" t="s">
        <v>3518</v>
      </c>
      <c r="C253" s="85" t="s">
        <v>2949</v>
      </c>
      <c r="D253" t="s">
        <v>13</v>
      </c>
      <c r="E253" t="s">
        <v>27</v>
      </c>
      <c r="F253" t="s">
        <v>29</v>
      </c>
      <c r="G253" s="91" t="s">
        <v>3328</v>
      </c>
    </row>
    <row r="254" spans="2:7" x14ac:dyDescent="0.2">
      <c r="B254" s="92" t="s">
        <v>3519</v>
      </c>
      <c r="C254" s="85" t="s">
        <v>2774</v>
      </c>
      <c r="D254" t="s">
        <v>13</v>
      </c>
      <c r="E254" t="s">
        <v>34</v>
      </c>
      <c r="F254" t="s">
        <v>2</v>
      </c>
      <c r="G254" s="91"/>
    </row>
    <row r="255" spans="2:7" x14ac:dyDescent="0.2">
      <c r="B255" s="92" t="s">
        <v>3519</v>
      </c>
      <c r="C255" s="85" t="s">
        <v>3292</v>
      </c>
      <c r="D255" t="s">
        <v>13</v>
      </c>
      <c r="E255" t="s">
        <v>34</v>
      </c>
      <c r="F255" t="s">
        <v>2</v>
      </c>
      <c r="G255" s="91"/>
    </row>
    <row r="256" spans="2:7" x14ac:dyDescent="0.2">
      <c r="B256" s="92" t="s">
        <v>3519</v>
      </c>
      <c r="C256" s="85" t="s">
        <v>3292</v>
      </c>
      <c r="D256" t="s">
        <v>13</v>
      </c>
      <c r="E256" t="s">
        <v>27</v>
      </c>
      <c r="F256" t="s">
        <v>2</v>
      </c>
      <c r="G256" s="91"/>
    </row>
    <row r="257" spans="2:7" x14ac:dyDescent="0.2">
      <c r="B257" s="92" t="s">
        <v>3519</v>
      </c>
      <c r="C257" s="85" t="s">
        <v>235</v>
      </c>
      <c r="D257" t="s">
        <v>13</v>
      </c>
      <c r="E257" t="s">
        <v>34</v>
      </c>
      <c r="F257" t="s">
        <v>29</v>
      </c>
      <c r="G257" s="91" t="s">
        <v>3323</v>
      </c>
    </row>
    <row r="258" spans="2:7" x14ac:dyDescent="0.2">
      <c r="B258" s="92" t="s">
        <v>3519</v>
      </c>
      <c r="C258" s="85" t="s">
        <v>2775</v>
      </c>
      <c r="D258" t="s">
        <v>13</v>
      </c>
      <c r="E258" t="s">
        <v>27</v>
      </c>
      <c r="F258" t="s">
        <v>2</v>
      </c>
      <c r="G258" s="91" t="s">
        <v>3324</v>
      </c>
    </row>
    <row r="259" spans="2:7" x14ac:dyDescent="0.2">
      <c r="B259" s="92" t="s">
        <v>3519</v>
      </c>
      <c r="C259" s="85" t="s">
        <v>2937</v>
      </c>
      <c r="D259" t="s">
        <v>13</v>
      </c>
      <c r="E259" t="s">
        <v>27</v>
      </c>
      <c r="F259" t="s">
        <v>2</v>
      </c>
      <c r="G259" s="91"/>
    </row>
    <row r="260" spans="2:7" x14ac:dyDescent="0.2">
      <c r="B260" s="92" t="s">
        <v>3519</v>
      </c>
      <c r="C260" s="85" t="s">
        <v>3321</v>
      </c>
      <c r="D260" t="s">
        <v>14</v>
      </c>
      <c r="E260" t="s">
        <v>27</v>
      </c>
      <c r="F260" t="s">
        <v>2</v>
      </c>
      <c r="G260" s="91" t="s">
        <v>3322</v>
      </c>
    </row>
    <row r="261" spans="2:7" x14ac:dyDescent="0.2">
      <c r="B261" s="92" t="s">
        <v>3520</v>
      </c>
      <c r="C261" s="85" t="s">
        <v>2843</v>
      </c>
      <c r="D261" t="s">
        <v>14</v>
      </c>
      <c r="E261" t="s">
        <v>34</v>
      </c>
      <c r="F261" t="s">
        <v>2</v>
      </c>
      <c r="G261" s="91"/>
    </row>
    <row r="262" spans="2:7" x14ac:dyDescent="0.2">
      <c r="B262" s="92" t="s">
        <v>3520</v>
      </c>
      <c r="C262" s="85" t="s">
        <v>2774</v>
      </c>
      <c r="D262" t="s">
        <v>13</v>
      </c>
      <c r="E262" t="s">
        <v>34</v>
      </c>
      <c r="F262" t="s">
        <v>2</v>
      </c>
      <c r="G262" s="91"/>
    </row>
    <row r="263" spans="2:7" x14ac:dyDescent="0.2">
      <c r="B263" s="92" t="s">
        <v>3520</v>
      </c>
      <c r="C263" s="85" t="s">
        <v>3292</v>
      </c>
      <c r="D263" t="s">
        <v>13</v>
      </c>
      <c r="E263" t="s">
        <v>34</v>
      </c>
      <c r="F263" t="s">
        <v>2</v>
      </c>
      <c r="G263" s="91"/>
    </row>
    <row r="264" spans="2:7" x14ac:dyDescent="0.2">
      <c r="B264" s="92" t="s">
        <v>3520</v>
      </c>
      <c r="C264" s="85" t="s">
        <v>3292</v>
      </c>
      <c r="D264" t="s">
        <v>13</v>
      </c>
      <c r="E264" t="s">
        <v>27</v>
      </c>
      <c r="F264" t="s">
        <v>2</v>
      </c>
      <c r="G264" s="91"/>
    </row>
    <row r="265" spans="2:7" x14ac:dyDescent="0.2">
      <c r="B265" s="92" t="s">
        <v>3520</v>
      </c>
      <c r="C265" s="85" t="s">
        <v>235</v>
      </c>
      <c r="D265" t="s">
        <v>13</v>
      </c>
      <c r="E265" t="s">
        <v>49</v>
      </c>
      <c r="F265" t="s">
        <v>2</v>
      </c>
      <c r="G265" s="91"/>
    </row>
    <row r="266" spans="2:7" x14ac:dyDescent="0.2">
      <c r="B266" s="92" t="s">
        <v>3520</v>
      </c>
      <c r="C266" s="85" t="s">
        <v>2775</v>
      </c>
      <c r="D266" t="s">
        <v>13</v>
      </c>
      <c r="E266" t="s">
        <v>27</v>
      </c>
      <c r="F266" t="s">
        <v>2</v>
      </c>
      <c r="G266" s="91"/>
    </row>
    <row r="267" spans="2:7" x14ac:dyDescent="0.2">
      <c r="B267" s="92" t="s">
        <v>3520</v>
      </c>
      <c r="C267" s="85" t="s">
        <v>2937</v>
      </c>
      <c r="D267" t="s">
        <v>13</v>
      </c>
      <c r="E267" t="s">
        <v>27</v>
      </c>
      <c r="F267" t="s">
        <v>2</v>
      </c>
      <c r="G267" s="91"/>
    </row>
    <row r="268" spans="2:7" x14ac:dyDescent="0.2">
      <c r="B268" s="92" t="s">
        <v>3520</v>
      </c>
      <c r="C268" s="85" t="s">
        <v>3088</v>
      </c>
      <c r="D268" t="s">
        <v>13</v>
      </c>
      <c r="E268" t="s">
        <v>27</v>
      </c>
      <c r="F268" t="s">
        <v>29</v>
      </c>
      <c r="G268" s="91" t="s">
        <v>3320</v>
      </c>
    </row>
    <row r="269" spans="2:7" x14ac:dyDescent="0.2">
      <c r="B269" s="92" t="s">
        <v>3521</v>
      </c>
      <c r="C269" s="85" t="s">
        <v>2843</v>
      </c>
      <c r="D269" t="s">
        <v>14</v>
      </c>
      <c r="E269" t="s">
        <v>34</v>
      </c>
      <c r="F269" t="s">
        <v>2</v>
      </c>
      <c r="G269" s="91"/>
    </row>
    <row r="270" spans="2:7" x14ac:dyDescent="0.2">
      <c r="B270" s="92" t="s">
        <v>3521</v>
      </c>
      <c r="C270" s="85" t="s">
        <v>2774</v>
      </c>
      <c r="D270" t="s">
        <v>13</v>
      </c>
      <c r="E270" t="s">
        <v>34</v>
      </c>
      <c r="F270" t="s">
        <v>2</v>
      </c>
      <c r="G270" s="91"/>
    </row>
    <row r="271" spans="2:7" x14ac:dyDescent="0.2">
      <c r="B271" s="92" t="s">
        <v>3521</v>
      </c>
      <c r="C271" s="85" t="s">
        <v>3292</v>
      </c>
      <c r="D271" t="s">
        <v>13</v>
      </c>
      <c r="E271" t="s">
        <v>34</v>
      </c>
      <c r="F271" t="s">
        <v>2</v>
      </c>
      <c r="G271" s="91" t="s">
        <v>3312</v>
      </c>
    </row>
    <row r="272" spans="2:7" x14ac:dyDescent="0.2">
      <c r="B272" s="92" t="s">
        <v>3521</v>
      </c>
      <c r="C272" s="85" t="s">
        <v>3292</v>
      </c>
      <c r="D272" t="s">
        <v>13</v>
      </c>
      <c r="E272" t="s">
        <v>27</v>
      </c>
      <c r="F272" t="s">
        <v>2</v>
      </c>
      <c r="G272" s="91"/>
    </row>
    <row r="273" spans="2:7" x14ac:dyDescent="0.2">
      <c r="B273" s="92" t="s">
        <v>3521</v>
      </c>
      <c r="C273" s="85" t="s">
        <v>235</v>
      </c>
      <c r="D273" t="s">
        <v>13</v>
      </c>
      <c r="E273" t="s">
        <v>49</v>
      </c>
      <c r="F273" t="s">
        <v>29</v>
      </c>
      <c r="G273" s="91" t="s">
        <v>3317</v>
      </c>
    </row>
    <row r="274" spans="2:7" x14ac:dyDescent="0.2">
      <c r="B274" s="92" t="s">
        <v>3521</v>
      </c>
      <c r="C274" s="85" t="s">
        <v>2775</v>
      </c>
      <c r="D274" t="s">
        <v>13</v>
      </c>
      <c r="E274" t="s">
        <v>27</v>
      </c>
      <c r="F274" t="s">
        <v>2</v>
      </c>
      <c r="G274" s="91" t="s">
        <v>3318</v>
      </c>
    </row>
    <row r="275" spans="2:7" x14ac:dyDescent="0.2">
      <c r="B275" s="92" t="s">
        <v>3521</v>
      </c>
      <c r="C275" s="85" t="s">
        <v>2775</v>
      </c>
      <c r="D275" t="s">
        <v>13</v>
      </c>
      <c r="E275" t="s">
        <v>34</v>
      </c>
      <c r="F275" t="s">
        <v>29</v>
      </c>
      <c r="G275" s="91" t="s">
        <v>3315</v>
      </c>
    </row>
    <row r="276" spans="2:7" x14ac:dyDescent="0.2">
      <c r="B276" s="92" t="s">
        <v>3521</v>
      </c>
      <c r="C276" s="85" t="s">
        <v>2937</v>
      </c>
      <c r="D276" t="s">
        <v>13</v>
      </c>
      <c r="E276" t="s">
        <v>27</v>
      </c>
      <c r="F276" t="s">
        <v>2</v>
      </c>
      <c r="G276" s="91"/>
    </row>
    <row r="277" spans="2:7" x14ac:dyDescent="0.2">
      <c r="B277" s="92" t="s">
        <v>3521</v>
      </c>
      <c r="C277" s="85" t="s">
        <v>3088</v>
      </c>
      <c r="D277" t="s">
        <v>13</v>
      </c>
      <c r="E277" t="s">
        <v>49</v>
      </c>
      <c r="F277" t="s">
        <v>29</v>
      </c>
      <c r="G277" s="91" t="s">
        <v>3316</v>
      </c>
    </row>
    <row r="278" spans="2:7" x14ac:dyDescent="0.2">
      <c r="B278" s="92" t="s">
        <v>3521</v>
      </c>
      <c r="C278" s="85" t="s">
        <v>3088</v>
      </c>
      <c r="D278" t="s">
        <v>13</v>
      </c>
      <c r="E278" t="s">
        <v>27</v>
      </c>
      <c r="F278" t="s">
        <v>2</v>
      </c>
      <c r="G278" s="91" t="s">
        <v>3319</v>
      </c>
    </row>
    <row r="279" spans="2:7" x14ac:dyDescent="0.2">
      <c r="B279" s="92" t="s">
        <v>3522</v>
      </c>
      <c r="C279" s="85" t="s">
        <v>2843</v>
      </c>
      <c r="D279" t="s">
        <v>14</v>
      </c>
      <c r="E279" t="s">
        <v>34</v>
      </c>
      <c r="F279" t="s">
        <v>2</v>
      </c>
      <c r="G279" s="91"/>
    </row>
    <row r="280" spans="2:7" x14ac:dyDescent="0.2">
      <c r="B280" s="92" t="s">
        <v>3522</v>
      </c>
      <c r="C280" s="85" t="s">
        <v>2774</v>
      </c>
      <c r="D280" t="s">
        <v>13</v>
      </c>
      <c r="E280" t="s">
        <v>34</v>
      </c>
      <c r="F280" t="s">
        <v>2</v>
      </c>
      <c r="G280" s="91"/>
    </row>
    <row r="281" spans="2:7" x14ac:dyDescent="0.2">
      <c r="B281" s="92" t="s">
        <v>3522</v>
      </c>
      <c r="C281" s="85" t="s">
        <v>3292</v>
      </c>
      <c r="D281" t="s">
        <v>13</v>
      </c>
      <c r="E281" t="s">
        <v>27</v>
      </c>
      <c r="F281" t="s">
        <v>2</v>
      </c>
      <c r="G281" s="91" t="s">
        <v>3310</v>
      </c>
    </row>
    <row r="282" spans="2:7" x14ac:dyDescent="0.2">
      <c r="B282" s="92" t="s">
        <v>3522</v>
      </c>
      <c r="C282" s="85" t="s">
        <v>235</v>
      </c>
      <c r="D282" t="s">
        <v>13</v>
      </c>
      <c r="E282" t="s">
        <v>49</v>
      </c>
      <c r="F282" t="s">
        <v>2</v>
      </c>
      <c r="G282" s="91"/>
    </row>
    <row r="283" spans="2:7" x14ac:dyDescent="0.2">
      <c r="B283" s="92" t="s">
        <v>3522</v>
      </c>
      <c r="C283" s="85" t="s">
        <v>3301</v>
      </c>
      <c r="D283" t="s">
        <v>13</v>
      </c>
      <c r="E283" t="s">
        <v>27</v>
      </c>
      <c r="F283" t="s">
        <v>29</v>
      </c>
      <c r="G283" s="91" t="s">
        <v>3311</v>
      </c>
    </row>
    <row r="284" spans="2:7" x14ac:dyDescent="0.2">
      <c r="B284" s="92" t="s">
        <v>3522</v>
      </c>
      <c r="C284" s="85" t="s">
        <v>3088</v>
      </c>
      <c r="D284" t="s">
        <v>13</v>
      </c>
      <c r="E284" t="s">
        <v>49</v>
      </c>
      <c r="F284" t="s">
        <v>29</v>
      </c>
      <c r="G284" s="91" t="s">
        <v>3309</v>
      </c>
    </row>
    <row r="285" spans="2:7" x14ac:dyDescent="0.2">
      <c r="B285" s="92" t="s">
        <v>3522</v>
      </c>
      <c r="C285" s="85" t="s">
        <v>2775</v>
      </c>
      <c r="D285" t="s">
        <v>13</v>
      </c>
      <c r="E285" t="s">
        <v>27</v>
      </c>
      <c r="F285" t="s">
        <v>2</v>
      </c>
      <c r="G285" s="91"/>
    </row>
    <row r="286" spans="2:7" x14ac:dyDescent="0.2">
      <c r="B286" s="92" t="s">
        <v>3522</v>
      </c>
      <c r="C286" s="85" t="s">
        <v>2937</v>
      </c>
      <c r="D286" t="s">
        <v>13</v>
      </c>
      <c r="E286" t="s">
        <v>27</v>
      </c>
      <c r="F286" t="s">
        <v>2</v>
      </c>
      <c r="G286" s="91"/>
    </row>
    <row r="287" spans="2:7" x14ac:dyDescent="0.2">
      <c r="B287" s="92" t="s">
        <v>3522</v>
      </c>
      <c r="C287" s="85" t="s">
        <v>2937</v>
      </c>
      <c r="D287" t="s">
        <v>13</v>
      </c>
      <c r="E287" t="s">
        <v>115</v>
      </c>
      <c r="F287" t="s">
        <v>29</v>
      </c>
      <c r="G287" s="91" t="s">
        <v>3308</v>
      </c>
    </row>
    <row r="288" spans="2:7" x14ac:dyDescent="0.2">
      <c r="B288" s="92" t="s">
        <v>3523</v>
      </c>
      <c r="C288" s="85" t="s">
        <v>2843</v>
      </c>
      <c r="D288" t="s">
        <v>14</v>
      </c>
      <c r="E288" t="s">
        <v>34</v>
      </c>
      <c r="F288" t="s">
        <v>2</v>
      </c>
      <c r="G288" s="91" t="s">
        <v>3306</v>
      </c>
    </row>
    <row r="289" spans="2:7" x14ac:dyDescent="0.2">
      <c r="B289" s="92" t="s">
        <v>3523</v>
      </c>
      <c r="C289" s="85" t="s">
        <v>2774</v>
      </c>
      <c r="D289" t="s">
        <v>13</v>
      </c>
      <c r="E289" t="s">
        <v>34</v>
      </c>
      <c r="F289" t="s">
        <v>2</v>
      </c>
      <c r="G289" s="91"/>
    </row>
    <row r="290" spans="2:7" x14ac:dyDescent="0.2">
      <c r="B290" s="92" t="s">
        <v>3523</v>
      </c>
      <c r="C290" s="85" t="s">
        <v>3292</v>
      </c>
      <c r="D290" t="s">
        <v>13</v>
      </c>
      <c r="E290" t="s">
        <v>27</v>
      </c>
      <c r="F290" t="s">
        <v>2</v>
      </c>
      <c r="G290" s="91"/>
    </row>
    <row r="291" spans="2:7" x14ac:dyDescent="0.2">
      <c r="B291" s="92" t="s">
        <v>3523</v>
      </c>
      <c r="C291" s="85" t="s">
        <v>235</v>
      </c>
      <c r="D291" t="s">
        <v>13</v>
      </c>
      <c r="E291" t="s">
        <v>49</v>
      </c>
      <c r="F291" t="s">
        <v>2</v>
      </c>
      <c r="G291" s="91" t="s">
        <v>3307</v>
      </c>
    </row>
    <row r="292" spans="2:7" x14ac:dyDescent="0.2">
      <c r="B292" s="92" t="s">
        <v>3523</v>
      </c>
      <c r="C292" s="85" t="s">
        <v>3301</v>
      </c>
      <c r="D292" t="s">
        <v>13</v>
      </c>
      <c r="E292" t="s">
        <v>27</v>
      </c>
      <c r="F292" t="s">
        <v>2</v>
      </c>
      <c r="G292" s="91"/>
    </row>
    <row r="293" spans="2:7" x14ac:dyDescent="0.2">
      <c r="B293" s="92" t="s">
        <v>3523</v>
      </c>
      <c r="C293" s="85" t="s">
        <v>3088</v>
      </c>
      <c r="D293" t="s">
        <v>13</v>
      </c>
      <c r="E293" t="s">
        <v>49</v>
      </c>
      <c r="F293" t="s">
        <v>2</v>
      </c>
      <c r="G293" s="91" t="s">
        <v>3305</v>
      </c>
    </row>
    <row r="294" spans="2:7" x14ac:dyDescent="0.2">
      <c r="B294" s="92" t="s">
        <v>3523</v>
      </c>
      <c r="C294" s="85" t="s">
        <v>2775</v>
      </c>
      <c r="D294" t="s">
        <v>13</v>
      </c>
      <c r="E294" t="s">
        <v>27</v>
      </c>
      <c r="F294" t="s">
        <v>2</v>
      </c>
      <c r="G294" s="91"/>
    </row>
    <row r="295" spans="2:7" x14ac:dyDescent="0.2">
      <c r="B295" s="92" t="s">
        <v>3524</v>
      </c>
      <c r="C295" s="85" t="s">
        <v>2843</v>
      </c>
      <c r="D295" t="s">
        <v>14</v>
      </c>
      <c r="E295" t="s">
        <v>34</v>
      </c>
      <c r="F295" t="s">
        <v>2</v>
      </c>
      <c r="G295" s="91"/>
    </row>
    <row r="296" spans="2:7" x14ac:dyDescent="0.2">
      <c r="B296" s="92" t="s">
        <v>3524</v>
      </c>
      <c r="C296" s="85" t="s">
        <v>2774</v>
      </c>
      <c r="D296" t="s">
        <v>13</v>
      </c>
      <c r="E296" t="s">
        <v>34</v>
      </c>
      <c r="F296" t="s">
        <v>2</v>
      </c>
      <c r="G296" s="91"/>
    </row>
    <row r="297" spans="2:7" x14ac:dyDescent="0.2">
      <c r="B297" s="92" t="s">
        <v>3524</v>
      </c>
      <c r="C297" s="85" t="s">
        <v>3292</v>
      </c>
      <c r="D297" t="s">
        <v>13</v>
      </c>
      <c r="E297" t="s">
        <v>27</v>
      </c>
      <c r="F297" t="s">
        <v>2</v>
      </c>
      <c r="G297" s="91" t="s">
        <v>3303</v>
      </c>
    </row>
    <row r="298" spans="2:7" x14ac:dyDescent="0.2">
      <c r="B298" s="92" t="s">
        <v>3524</v>
      </c>
      <c r="C298" s="85" t="s">
        <v>235</v>
      </c>
      <c r="D298" t="s">
        <v>13</v>
      </c>
      <c r="E298" t="s">
        <v>49</v>
      </c>
      <c r="F298" t="s">
        <v>29</v>
      </c>
      <c r="G298" s="91" t="s">
        <v>3304</v>
      </c>
    </row>
    <row r="299" spans="2:7" x14ac:dyDescent="0.2">
      <c r="B299" s="92" t="s">
        <v>3524</v>
      </c>
      <c r="C299" s="85" t="s">
        <v>3301</v>
      </c>
      <c r="D299" t="s">
        <v>13</v>
      </c>
      <c r="E299" t="s">
        <v>27</v>
      </c>
      <c r="F299" t="s">
        <v>2</v>
      </c>
      <c r="G299" s="91" t="s">
        <v>3302</v>
      </c>
    </row>
    <row r="300" spans="2:7" x14ac:dyDescent="0.2">
      <c r="B300" s="92" t="s">
        <v>3525</v>
      </c>
      <c r="C300" s="85" t="s">
        <v>2843</v>
      </c>
      <c r="D300" t="s">
        <v>14</v>
      </c>
      <c r="E300" t="s">
        <v>34</v>
      </c>
      <c r="F300" t="s">
        <v>2</v>
      </c>
      <c r="G300" s="91"/>
    </row>
    <row r="301" spans="2:7" x14ac:dyDescent="0.2">
      <c r="B301" s="92" t="s">
        <v>3525</v>
      </c>
      <c r="C301" s="85" t="s">
        <v>2774</v>
      </c>
      <c r="D301" t="s">
        <v>13</v>
      </c>
      <c r="E301" t="s">
        <v>34</v>
      </c>
      <c r="F301" t="s">
        <v>2</v>
      </c>
      <c r="G301" s="91"/>
    </row>
    <row r="302" spans="2:7" x14ac:dyDescent="0.2">
      <c r="B302" s="92" t="s">
        <v>3525</v>
      </c>
      <c r="C302" s="85" t="s">
        <v>3292</v>
      </c>
      <c r="D302" t="s">
        <v>13</v>
      </c>
      <c r="E302" t="s">
        <v>27</v>
      </c>
      <c r="F302" t="s">
        <v>2</v>
      </c>
      <c r="G302" s="91"/>
    </row>
    <row r="303" spans="2:7" x14ac:dyDescent="0.2">
      <c r="B303" s="92" t="s">
        <v>3525</v>
      </c>
      <c r="C303" s="85" t="s">
        <v>235</v>
      </c>
      <c r="D303" t="s">
        <v>13</v>
      </c>
      <c r="E303" t="s">
        <v>49</v>
      </c>
      <c r="F303" t="s">
        <v>2</v>
      </c>
      <c r="G303" s="91"/>
    </row>
    <row r="304" spans="2:7" x14ac:dyDescent="0.2">
      <c r="B304" s="92" t="s">
        <v>3525</v>
      </c>
      <c r="C304" s="85" t="s">
        <v>3235</v>
      </c>
      <c r="D304" t="s">
        <v>13</v>
      </c>
      <c r="E304" t="s">
        <v>49</v>
      </c>
      <c r="F304" t="s">
        <v>29</v>
      </c>
      <c r="G304" s="91" t="s">
        <v>3300</v>
      </c>
    </row>
    <row r="305" spans="2:7" x14ac:dyDescent="0.2">
      <c r="B305" s="92" t="s">
        <v>3526</v>
      </c>
      <c r="C305" s="85" t="s">
        <v>2843</v>
      </c>
      <c r="D305" t="s">
        <v>14</v>
      </c>
      <c r="E305" t="s">
        <v>34</v>
      </c>
      <c r="F305" t="s">
        <v>2</v>
      </c>
      <c r="G305" s="91"/>
    </row>
    <row r="306" spans="2:7" x14ac:dyDescent="0.2">
      <c r="B306" s="92" t="s">
        <v>3526</v>
      </c>
      <c r="C306" s="85" t="s">
        <v>2774</v>
      </c>
      <c r="D306" t="s">
        <v>13</v>
      </c>
      <c r="E306" t="s">
        <v>34</v>
      </c>
      <c r="F306" t="s">
        <v>2</v>
      </c>
      <c r="G306" s="91" t="s">
        <v>3298</v>
      </c>
    </row>
    <row r="307" spans="2:7" x14ac:dyDescent="0.2">
      <c r="B307" s="92" t="s">
        <v>3526</v>
      </c>
      <c r="C307" s="85" t="s">
        <v>2978</v>
      </c>
      <c r="D307" t="s">
        <v>13</v>
      </c>
      <c r="E307" t="s">
        <v>49</v>
      </c>
      <c r="F307" t="s">
        <v>29</v>
      </c>
      <c r="G307" s="91" t="s">
        <v>3297</v>
      </c>
    </row>
    <row r="308" spans="2:7" x14ac:dyDescent="0.2">
      <c r="B308" s="92" t="s">
        <v>3526</v>
      </c>
      <c r="C308" s="85" t="s">
        <v>3088</v>
      </c>
      <c r="D308" t="s">
        <v>13</v>
      </c>
      <c r="E308" t="s">
        <v>27</v>
      </c>
      <c r="F308" t="s">
        <v>29</v>
      </c>
      <c r="G308" s="91" t="s">
        <v>3296</v>
      </c>
    </row>
    <row r="309" spans="2:7" x14ac:dyDescent="0.2">
      <c r="B309" s="92" t="s">
        <v>3526</v>
      </c>
      <c r="C309" s="85" t="s">
        <v>3292</v>
      </c>
      <c r="D309" t="s">
        <v>13</v>
      </c>
      <c r="E309" t="s">
        <v>27</v>
      </c>
      <c r="F309" t="s">
        <v>2</v>
      </c>
      <c r="G309" s="91"/>
    </row>
    <row r="310" spans="2:7" x14ac:dyDescent="0.2">
      <c r="B310" s="92" t="s">
        <v>3526</v>
      </c>
      <c r="C310" s="85" t="s">
        <v>235</v>
      </c>
      <c r="D310" t="s">
        <v>13</v>
      </c>
      <c r="E310" t="s">
        <v>49</v>
      </c>
      <c r="F310" t="s">
        <v>2</v>
      </c>
      <c r="G310" s="91"/>
    </row>
    <row r="311" spans="2:7" x14ac:dyDescent="0.2">
      <c r="B311" s="92" t="s">
        <v>3526</v>
      </c>
      <c r="C311" s="85" t="s">
        <v>3191</v>
      </c>
      <c r="D311" t="s">
        <v>13</v>
      </c>
      <c r="E311" t="s">
        <v>49</v>
      </c>
      <c r="F311" t="s">
        <v>29</v>
      </c>
      <c r="G311" s="91" t="s">
        <v>3299</v>
      </c>
    </row>
    <row r="312" spans="2:7" x14ac:dyDescent="0.2">
      <c r="B312" s="92" t="s">
        <v>3527</v>
      </c>
      <c r="C312" s="85" t="s">
        <v>2843</v>
      </c>
      <c r="D312" t="s">
        <v>14</v>
      </c>
      <c r="E312" t="s">
        <v>34</v>
      </c>
      <c r="F312" t="s">
        <v>2</v>
      </c>
      <c r="G312" s="91" t="s">
        <v>3028</v>
      </c>
    </row>
    <row r="313" spans="2:7" x14ac:dyDescent="0.2">
      <c r="B313" s="92" t="s">
        <v>3527</v>
      </c>
      <c r="C313" s="85" t="s">
        <v>2774</v>
      </c>
      <c r="D313" t="s">
        <v>13</v>
      </c>
      <c r="E313" t="s">
        <v>34</v>
      </c>
      <c r="F313" t="s">
        <v>2</v>
      </c>
      <c r="G313" s="91" t="s">
        <v>3257</v>
      </c>
    </row>
    <row r="314" spans="2:7" x14ac:dyDescent="0.2">
      <c r="B314" s="92" t="s">
        <v>3527</v>
      </c>
      <c r="C314" s="85" t="s">
        <v>2978</v>
      </c>
      <c r="D314" t="s">
        <v>13</v>
      </c>
      <c r="E314" t="s">
        <v>27</v>
      </c>
      <c r="F314" t="s">
        <v>2</v>
      </c>
      <c r="G314" s="91" t="s">
        <v>3291</v>
      </c>
    </row>
    <row r="315" spans="2:7" x14ac:dyDescent="0.2">
      <c r="B315" s="92" t="s">
        <v>3527</v>
      </c>
      <c r="C315" s="85" t="s">
        <v>3088</v>
      </c>
      <c r="D315" t="s">
        <v>13</v>
      </c>
      <c r="E315" t="s">
        <v>27</v>
      </c>
      <c r="F315" t="s">
        <v>2</v>
      </c>
      <c r="G315" s="91" t="s">
        <v>3295</v>
      </c>
    </row>
    <row r="316" spans="2:7" x14ac:dyDescent="0.2">
      <c r="B316" s="92" t="s">
        <v>3527</v>
      </c>
      <c r="C316" s="85" t="s">
        <v>3292</v>
      </c>
      <c r="D316" t="s">
        <v>13</v>
      </c>
      <c r="E316" t="s">
        <v>27</v>
      </c>
      <c r="F316" t="s">
        <v>2</v>
      </c>
      <c r="G316" s="91"/>
    </row>
    <row r="317" spans="2:7" x14ac:dyDescent="0.2">
      <c r="B317" s="92" t="s">
        <v>3527</v>
      </c>
      <c r="C317" s="85" t="s">
        <v>235</v>
      </c>
      <c r="D317" t="s">
        <v>13</v>
      </c>
      <c r="E317" t="s">
        <v>49</v>
      </c>
      <c r="F317" t="s">
        <v>2</v>
      </c>
      <c r="G317" s="91"/>
    </row>
    <row r="318" spans="2:7" ht="18" x14ac:dyDescent="0.25">
      <c r="B318" s="93" t="s">
        <v>3501</v>
      </c>
      <c r="C318" s="85"/>
      <c r="G318" s="91"/>
    </row>
    <row r="319" spans="2:7" x14ac:dyDescent="0.2">
      <c r="B319" s="90" t="s">
        <v>3529</v>
      </c>
      <c r="C319" s="85" t="s">
        <v>2843</v>
      </c>
      <c r="D319" t="s">
        <v>14</v>
      </c>
      <c r="E319" t="s">
        <v>34</v>
      </c>
      <c r="F319" t="s">
        <v>2</v>
      </c>
      <c r="G319" s="91"/>
    </row>
    <row r="320" spans="2:7" x14ac:dyDescent="0.2">
      <c r="B320" s="90" t="s">
        <v>3529</v>
      </c>
      <c r="C320" s="85" t="s">
        <v>2774</v>
      </c>
      <c r="D320" t="s">
        <v>13</v>
      </c>
      <c r="E320" t="s">
        <v>34</v>
      </c>
      <c r="F320" t="s">
        <v>2</v>
      </c>
      <c r="G320" s="91"/>
    </row>
    <row r="321" spans="2:7" x14ac:dyDescent="0.2">
      <c r="B321" s="90" t="s">
        <v>3529</v>
      </c>
      <c r="C321" s="85" t="s">
        <v>2978</v>
      </c>
      <c r="D321" t="s">
        <v>13</v>
      </c>
      <c r="E321" t="s">
        <v>27</v>
      </c>
      <c r="F321" t="s">
        <v>29</v>
      </c>
      <c r="G321" s="91" t="s">
        <v>3287</v>
      </c>
    </row>
    <row r="322" spans="2:7" x14ac:dyDescent="0.2">
      <c r="B322" s="90" t="s">
        <v>3529</v>
      </c>
      <c r="C322" s="85" t="s">
        <v>3088</v>
      </c>
      <c r="D322" t="s">
        <v>13</v>
      </c>
      <c r="E322" t="s">
        <v>27</v>
      </c>
      <c r="F322" t="s">
        <v>2</v>
      </c>
      <c r="G322" s="91" t="s">
        <v>3289</v>
      </c>
    </row>
    <row r="323" spans="2:7" x14ac:dyDescent="0.2">
      <c r="B323" s="90" t="s">
        <v>3529</v>
      </c>
      <c r="C323" s="85" t="s">
        <v>2949</v>
      </c>
      <c r="D323" t="s">
        <v>13</v>
      </c>
      <c r="E323" t="s">
        <v>27</v>
      </c>
      <c r="F323" t="s">
        <v>29</v>
      </c>
      <c r="G323" s="91" t="s">
        <v>3294</v>
      </c>
    </row>
    <row r="324" spans="2:7" x14ac:dyDescent="0.2">
      <c r="B324" s="90" t="s">
        <v>3529</v>
      </c>
      <c r="C324" s="85" t="s">
        <v>3191</v>
      </c>
      <c r="D324" t="s">
        <v>13</v>
      </c>
      <c r="E324" t="s">
        <v>27</v>
      </c>
      <c r="F324" t="s">
        <v>29</v>
      </c>
      <c r="G324" s="91" t="s">
        <v>3288</v>
      </c>
    </row>
    <row r="325" spans="2:7" x14ac:dyDescent="0.2">
      <c r="B325" s="90" t="s">
        <v>3529</v>
      </c>
      <c r="C325" s="85" t="s">
        <v>2937</v>
      </c>
      <c r="D325" t="s">
        <v>13</v>
      </c>
      <c r="E325" t="s">
        <v>34</v>
      </c>
      <c r="F325" t="s">
        <v>29</v>
      </c>
      <c r="G325" s="91" t="s">
        <v>3290</v>
      </c>
    </row>
    <row r="326" spans="2:7" x14ac:dyDescent="0.2">
      <c r="B326" s="90" t="s">
        <v>3530</v>
      </c>
      <c r="C326" s="85" t="s">
        <v>2843</v>
      </c>
      <c r="D326" t="s">
        <v>14</v>
      </c>
      <c r="E326" t="s">
        <v>34</v>
      </c>
      <c r="F326" t="s">
        <v>2</v>
      </c>
      <c r="G326" s="91"/>
    </row>
    <row r="327" spans="2:7" x14ac:dyDescent="0.2">
      <c r="B327" s="90" t="s">
        <v>3530</v>
      </c>
      <c r="C327" s="85" t="s">
        <v>2774</v>
      </c>
      <c r="D327" t="s">
        <v>13</v>
      </c>
      <c r="E327" t="s">
        <v>34</v>
      </c>
      <c r="F327" t="s">
        <v>2</v>
      </c>
      <c r="G327" s="91"/>
    </row>
    <row r="328" spans="2:7" x14ac:dyDescent="0.2">
      <c r="B328" s="90" t="s">
        <v>3530</v>
      </c>
      <c r="C328" s="85" t="s">
        <v>2978</v>
      </c>
      <c r="D328" t="s">
        <v>13</v>
      </c>
      <c r="E328" t="s">
        <v>27</v>
      </c>
      <c r="F328" t="s">
        <v>2</v>
      </c>
      <c r="G328" s="91"/>
    </row>
    <row r="329" spans="2:7" x14ac:dyDescent="0.2">
      <c r="B329" s="90" t="s">
        <v>3530</v>
      </c>
      <c r="C329" s="85" t="s">
        <v>3088</v>
      </c>
      <c r="D329" t="s">
        <v>13</v>
      </c>
      <c r="E329" t="s">
        <v>27</v>
      </c>
      <c r="F329" t="s">
        <v>2</v>
      </c>
      <c r="G329" s="91"/>
    </row>
    <row r="330" spans="2:7" x14ac:dyDescent="0.2">
      <c r="B330" s="90" t="s">
        <v>3530</v>
      </c>
      <c r="C330" s="85" t="s">
        <v>2949</v>
      </c>
      <c r="D330" t="s">
        <v>13</v>
      </c>
      <c r="E330" t="s">
        <v>27</v>
      </c>
      <c r="F330" t="s">
        <v>2</v>
      </c>
      <c r="G330" s="91"/>
    </row>
    <row r="331" spans="2:7" x14ac:dyDescent="0.2">
      <c r="B331" s="90" t="s">
        <v>3530</v>
      </c>
      <c r="C331" s="85" t="s">
        <v>235</v>
      </c>
      <c r="D331" t="s">
        <v>13</v>
      </c>
      <c r="E331" t="s">
        <v>49</v>
      </c>
      <c r="F331" t="s">
        <v>29</v>
      </c>
      <c r="G331" s="91" t="s">
        <v>3286</v>
      </c>
    </row>
    <row r="332" spans="2:7" x14ac:dyDescent="0.2">
      <c r="B332" s="90" t="s">
        <v>3530</v>
      </c>
      <c r="C332" s="85" t="s">
        <v>2775</v>
      </c>
      <c r="D332" t="s">
        <v>13</v>
      </c>
      <c r="E332" t="s">
        <v>49</v>
      </c>
      <c r="F332" t="s">
        <v>29</v>
      </c>
      <c r="G332" s="91" t="s">
        <v>3293</v>
      </c>
    </row>
    <row r="333" spans="2:7" x14ac:dyDescent="0.2">
      <c r="B333" s="90" t="s">
        <v>3531</v>
      </c>
      <c r="C333" s="85" t="s">
        <v>2843</v>
      </c>
      <c r="D333" t="s">
        <v>14</v>
      </c>
      <c r="E333" t="s">
        <v>34</v>
      </c>
      <c r="F333" t="s">
        <v>2</v>
      </c>
      <c r="G333" s="91"/>
    </row>
    <row r="334" spans="2:7" x14ac:dyDescent="0.2">
      <c r="B334" s="90" t="s">
        <v>3531</v>
      </c>
      <c r="C334" s="85" t="s">
        <v>2774</v>
      </c>
      <c r="D334" t="s">
        <v>13</v>
      </c>
      <c r="E334" t="s">
        <v>34</v>
      </c>
      <c r="F334" t="s">
        <v>2</v>
      </c>
      <c r="G334" s="91" t="s">
        <v>3283</v>
      </c>
    </row>
    <row r="335" spans="2:7" x14ac:dyDescent="0.2">
      <c r="B335" s="90" t="s">
        <v>3531</v>
      </c>
      <c r="C335" s="85" t="s">
        <v>2978</v>
      </c>
      <c r="D335" t="s">
        <v>13</v>
      </c>
      <c r="E335" t="s">
        <v>27</v>
      </c>
      <c r="F335" t="s">
        <v>2</v>
      </c>
      <c r="G335" s="91" t="s">
        <v>3284</v>
      </c>
    </row>
    <row r="336" spans="2:7" x14ac:dyDescent="0.2">
      <c r="B336" s="90" t="s">
        <v>3531</v>
      </c>
      <c r="C336" s="85" t="s">
        <v>3235</v>
      </c>
      <c r="D336" t="s">
        <v>13</v>
      </c>
      <c r="E336" t="s">
        <v>49</v>
      </c>
      <c r="F336" t="s">
        <v>29</v>
      </c>
      <c r="G336" s="91" t="s">
        <v>3285</v>
      </c>
    </row>
    <row r="337" spans="2:7" x14ac:dyDescent="0.2">
      <c r="B337" s="90" t="s">
        <v>3531</v>
      </c>
      <c r="C337" s="85" t="s">
        <v>3088</v>
      </c>
      <c r="D337" t="s">
        <v>13</v>
      </c>
      <c r="E337" t="s">
        <v>27</v>
      </c>
      <c r="F337" t="s">
        <v>2</v>
      </c>
      <c r="G337" s="91" t="s">
        <v>3282</v>
      </c>
    </row>
    <row r="338" spans="2:7" x14ac:dyDescent="0.2">
      <c r="B338" s="90" t="s">
        <v>3532</v>
      </c>
      <c r="C338" s="85" t="s">
        <v>2843</v>
      </c>
      <c r="D338" t="s">
        <v>14</v>
      </c>
      <c r="E338" t="s">
        <v>34</v>
      </c>
      <c r="F338" t="s">
        <v>2</v>
      </c>
      <c r="G338" s="91"/>
    </row>
    <row r="339" spans="2:7" x14ac:dyDescent="0.2">
      <c r="B339" s="90" t="s">
        <v>3532</v>
      </c>
      <c r="C339" s="85" t="s">
        <v>2774</v>
      </c>
      <c r="D339" t="s">
        <v>13</v>
      </c>
      <c r="E339" t="s">
        <v>34</v>
      </c>
      <c r="F339" t="s">
        <v>2</v>
      </c>
      <c r="G339" s="91" t="s">
        <v>3281</v>
      </c>
    </row>
    <row r="340" spans="2:7" x14ac:dyDescent="0.2">
      <c r="B340" s="90" t="s">
        <v>3532</v>
      </c>
      <c r="C340" s="85" t="s">
        <v>2978</v>
      </c>
      <c r="D340" t="s">
        <v>13</v>
      </c>
      <c r="E340" t="s">
        <v>27</v>
      </c>
      <c r="F340" t="s">
        <v>2</v>
      </c>
      <c r="G340" s="91"/>
    </row>
    <row r="341" spans="2:7" x14ac:dyDescent="0.2">
      <c r="B341" s="90" t="s">
        <v>3532</v>
      </c>
      <c r="C341" s="85" t="s">
        <v>235</v>
      </c>
      <c r="D341" t="s">
        <v>13</v>
      </c>
      <c r="E341" t="s">
        <v>49</v>
      </c>
      <c r="F341" t="s">
        <v>29</v>
      </c>
      <c r="G341" s="91" t="s">
        <v>3279</v>
      </c>
    </row>
    <row r="342" spans="2:7" x14ac:dyDescent="0.2">
      <c r="B342" s="90" t="s">
        <v>3532</v>
      </c>
      <c r="C342" s="85" t="s">
        <v>235</v>
      </c>
      <c r="D342" t="s">
        <v>13</v>
      </c>
      <c r="E342" t="s">
        <v>49</v>
      </c>
      <c r="F342" t="s">
        <v>29</v>
      </c>
      <c r="G342" s="91" t="s">
        <v>3277</v>
      </c>
    </row>
    <row r="343" spans="2:7" x14ac:dyDescent="0.2">
      <c r="B343" s="90" t="s">
        <v>3532</v>
      </c>
      <c r="C343" s="85" t="s">
        <v>3235</v>
      </c>
      <c r="D343" t="s">
        <v>13</v>
      </c>
      <c r="E343" t="s">
        <v>49</v>
      </c>
      <c r="F343" t="s">
        <v>29</v>
      </c>
      <c r="G343" s="91" t="s">
        <v>3278</v>
      </c>
    </row>
    <row r="344" spans="2:7" x14ac:dyDescent="0.2">
      <c r="B344" s="90" t="s">
        <v>3532</v>
      </c>
      <c r="C344" s="85" t="s">
        <v>3088</v>
      </c>
      <c r="D344" t="s">
        <v>13</v>
      </c>
      <c r="E344" t="s">
        <v>8</v>
      </c>
      <c r="F344" t="s">
        <v>29</v>
      </c>
      <c r="G344" s="91" t="s">
        <v>3280</v>
      </c>
    </row>
    <row r="345" spans="2:7" x14ac:dyDescent="0.2">
      <c r="B345" s="90" t="s">
        <v>3533</v>
      </c>
      <c r="C345" s="85" t="s">
        <v>2843</v>
      </c>
      <c r="D345" t="s">
        <v>14</v>
      </c>
      <c r="E345" t="s">
        <v>34</v>
      </c>
      <c r="F345" t="s">
        <v>2</v>
      </c>
      <c r="G345" s="91" t="s">
        <v>3275</v>
      </c>
    </row>
    <row r="346" spans="2:7" x14ac:dyDescent="0.2">
      <c r="B346" s="90" t="s">
        <v>3533</v>
      </c>
      <c r="C346" s="85" t="s">
        <v>2941</v>
      </c>
      <c r="D346" t="s">
        <v>13</v>
      </c>
      <c r="E346" t="s">
        <v>27</v>
      </c>
      <c r="F346" t="s">
        <v>29</v>
      </c>
      <c r="G346" s="91" t="s">
        <v>3272</v>
      </c>
    </row>
    <row r="347" spans="2:7" x14ac:dyDescent="0.2">
      <c r="B347" s="90" t="s">
        <v>3533</v>
      </c>
      <c r="C347" s="85" t="s">
        <v>2774</v>
      </c>
      <c r="D347" t="s">
        <v>13</v>
      </c>
      <c r="E347" t="s">
        <v>34</v>
      </c>
      <c r="F347" t="s">
        <v>2</v>
      </c>
      <c r="G347" s="91"/>
    </row>
    <row r="348" spans="2:7" x14ac:dyDescent="0.2">
      <c r="B348" s="90" t="s">
        <v>3533</v>
      </c>
      <c r="C348" s="85" t="s">
        <v>3088</v>
      </c>
      <c r="D348" t="s">
        <v>13</v>
      </c>
      <c r="E348" t="s">
        <v>27</v>
      </c>
      <c r="F348" t="s">
        <v>29</v>
      </c>
      <c r="G348" s="91" t="s">
        <v>3273</v>
      </c>
    </row>
    <row r="349" spans="2:7" x14ac:dyDescent="0.2">
      <c r="B349" s="90" t="s">
        <v>3533</v>
      </c>
      <c r="C349" s="85" t="s">
        <v>3235</v>
      </c>
      <c r="D349" t="s">
        <v>13</v>
      </c>
      <c r="E349" t="s">
        <v>27</v>
      </c>
      <c r="F349" t="s">
        <v>29</v>
      </c>
      <c r="G349" s="91" t="s">
        <v>3274</v>
      </c>
    </row>
    <row r="350" spans="2:7" x14ac:dyDescent="0.2">
      <c r="B350" s="90" t="s">
        <v>3533</v>
      </c>
      <c r="C350" s="85" t="s">
        <v>2978</v>
      </c>
      <c r="D350" t="s">
        <v>13</v>
      </c>
      <c r="E350" t="s">
        <v>27</v>
      </c>
      <c r="F350" t="s">
        <v>2</v>
      </c>
      <c r="G350" s="91" t="s">
        <v>3276</v>
      </c>
    </row>
    <row r="351" spans="2:7" x14ac:dyDescent="0.2">
      <c r="B351" s="90" t="s">
        <v>3534</v>
      </c>
      <c r="C351" s="85" t="s">
        <v>2843</v>
      </c>
      <c r="D351" t="s">
        <v>14</v>
      </c>
      <c r="E351" t="s">
        <v>34</v>
      </c>
      <c r="F351" t="s">
        <v>2</v>
      </c>
      <c r="G351" s="91"/>
    </row>
    <row r="352" spans="2:7" x14ac:dyDescent="0.2">
      <c r="B352" s="90" t="s">
        <v>3534</v>
      </c>
      <c r="C352" s="85" t="s">
        <v>2941</v>
      </c>
      <c r="D352" t="s">
        <v>13</v>
      </c>
      <c r="E352" t="s">
        <v>27</v>
      </c>
      <c r="F352" t="s">
        <v>29</v>
      </c>
      <c r="G352" s="91" t="s">
        <v>3270</v>
      </c>
    </row>
    <row r="353" spans="2:7" x14ac:dyDescent="0.2">
      <c r="B353" s="90" t="s">
        <v>3534</v>
      </c>
      <c r="C353" s="85" t="s">
        <v>2774</v>
      </c>
      <c r="D353" t="s">
        <v>13</v>
      </c>
      <c r="E353" t="s">
        <v>34</v>
      </c>
      <c r="F353" t="s">
        <v>2</v>
      </c>
      <c r="G353" s="91" t="s">
        <v>3271</v>
      </c>
    </row>
    <row r="354" spans="2:7" x14ac:dyDescent="0.2">
      <c r="B354" s="90" t="s">
        <v>3534</v>
      </c>
      <c r="C354" s="85" t="s">
        <v>2775</v>
      </c>
      <c r="D354" t="s">
        <v>13</v>
      </c>
      <c r="E354" t="s">
        <v>27</v>
      </c>
      <c r="F354" t="s">
        <v>29</v>
      </c>
      <c r="G354" s="91" t="s">
        <v>3267</v>
      </c>
    </row>
    <row r="355" spans="2:7" x14ac:dyDescent="0.2">
      <c r="B355" s="90" t="s">
        <v>3534</v>
      </c>
      <c r="C355" s="85" t="s">
        <v>3088</v>
      </c>
      <c r="D355" t="s">
        <v>13</v>
      </c>
      <c r="E355" t="s">
        <v>27</v>
      </c>
      <c r="F355" t="s">
        <v>2</v>
      </c>
      <c r="G355" s="91"/>
    </row>
    <row r="356" spans="2:7" x14ac:dyDescent="0.2">
      <c r="B356" s="90" t="s">
        <v>3534</v>
      </c>
      <c r="C356" s="85" t="s">
        <v>2949</v>
      </c>
      <c r="D356" t="s">
        <v>13</v>
      </c>
      <c r="E356" t="s">
        <v>27</v>
      </c>
      <c r="F356" t="s">
        <v>29</v>
      </c>
      <c r="G356" s="91" t="s">
        <v>3266</v>
      </c>
    </row>
    <row r="357" spans="2:7" x14ac:dyDescent="0.2">
      <c r="B357" s="90" t="s">
        <v>3534</v>
      </c>
      <c r="C357" s="85" t="s">
        <v>3075</v>
      </c>
      <c r="D357" t="s">
        <v>13</v>
      </c>
      <c r="E357" t="s">
        <v>27</v>
      </c>
      <c r="F357" t="s">
        <v>29</v>
      </c>
      <c r="G357" s="91" t="s">
        <v>3265</v>
      </c>
    </row>
    <row r="358" spans="2:7" x14ac:dyDescent="0.2">
      <c r="B358" s="90" t="s">
        <v>3535</v>
      </c>
      <c r="C358" s="85" t="s">
        <v>2843</v>
      </c>
      <c r="D358" t="s">
        <v>14</v>
      </c>
      <c r="E358" t="s">
        <v>34</v>
      </c>
      <c r="F358" t="s">
        <v>2</v>
      </c>
      <c r="G358" s="91"/>
    </row>
    <row r="359" spans="2:7" x14ac:dyDescent="0.2">
      <c r="B359" s="90" t="s">
        <v>3535</v>
      </c>
      <c r="C359" s="85" t="s">
        <v>2941</v>
      </c>
      <c r="D359" t="s">
        <v>13</v>
      </c>
      <c r="E359" t="s">
        <v>27</v>
      </c>
      <c r="F359" t="s">
        <v>2</v>
      </c>
      <c r="G359" s="91"/>
    </row>
    <row r="360" spans="2:7" x14ac:dyDescent="0.2">
      <c r="B360" s="90" t="s">
        <v>3535</v>
      </c>
      <c r="C360" s="85" t="s">
        <v>3010</v>
      </c>
      <c r="D360" t="s">
        <v>13</v>
      </c>
      <c r="E360" t="s">
        <v>34</v>
      </c>
      <c r="F360" t="s">
        <v>2</v>
      </c>
      <c r="G360" s="91"/>
    </row>
    <row r="361" spans="2:7" x14ac:dyDescent="0.2">
      <c r="B361" s="90" t="s">
        <v>3535</v>
      </c>
      <c r="C361" s="85" t="s">
        <v>2774</v>
      </c>
      <c r="D361" t="s">
        <v>13</v>
      </c>
      <c r="E361" t="s">
        <v>34</v>
      </c>
      <c r="F361" t="s">
        <v>2</v>
      </c>
      <c r="G361" s="91"/>
    </row>
    <row r="362" spans="2:7" x14ac:dyDescent="0.2">
      <c r="B362" s="90" t="s">
        <v>3535</v>
      </c>
      <c r="C362" s="85" t="s">
        <v>3235</v>
      </c>
      <c r="D362" t="s">
        <v>13</v>
      </c>
      <c r="E362" t="s">
        <v>27</v>
      </c>
      <c r="F362" t="s">
        <v>29</v>
      </c>
      <c r="G362" s="91" t="s">
        <v>3263</v>
      </c>
    </row>
    <row r="363" spans="2:7" x14ac:dyDescent="0.2">
      <c r="B363" s="90" t="s">
        <v>3535</v>
      </c>
      <c r="C363" s="85" t="s">
        <v>2775</v>
      </c>
      <c r="D363" t="s">
        <v>13</v>
      </c>
      <c r="E363" t="s">
        <v>49</v>
      </c>
      <c r="F363" t="s">
        <v>2</v>
      </c>
      <c r="G363" s="91"/>
    </row>
    <row r="364" spans="2:7" x14ac:dyDescent="0.2">
      <c r="B364" s="90" t="s">
        <v>3535</v>
      </c>
      <c r="C364" s="85" t="s">
        <v>3259</v>
      </c>
      <c r="D364" t="s">
        <v>13</v>
      </c>
      <c r="E364" t="s">
        <v>27</v>
      </c>
      <c r="F364" t="s">
        <v>29</v>
      </c>
      <c r="G364" s="91" t="s">
        <v>3262</v>
      </c>
    </row>
    <row r="365" spans="2:7" x14ac:dyDescent="0.2">
      <c r="B365" s="90" t="s">
        <v>3535</v>
      </c>
      <c r="C365" s="85" t="s">
        <v>3088</v>
      </c>
      <c r="D365" t="s">
        <v>13</v>
      </c>
      <c r="E365" t="s">
        <v>27</v>
      </c>
      <c r="F365" t="s">
        <v>2</v>
      </c>
      <c r="G365" s="91" t="s">
        <v>3261</v>
      </c>
    </row>
    <row r="366" spans="2:7" x14ac:dyDescent="0.2">
      <c r="B366" s="90" t="s">
        <v>3535</v>
      </c>
      <c r="C366" s="85" t="s">
        <v>2949</v>
      </c>
      <c r="D366" t="s">
        <v>13</v>
      </c>
      <c r="E366" t="s">
        <v>27</v>
      </c>
      <c r="F366" t="s">
        <v>2</v>
      </c>
      <c r="G366" s="91" t="s">
        <v>3264</v>
      </c>
    </row>
    <row r="367" spans="2:7" x14ac:dyDescent="0.2">
      <c r="B367" s="90" t="s">
        <v>3536</v>
      </c>
      <c r="C367" s="85" t="s">
        <v>2843</v>
      </c>
      <c r="D367" t="s">
        <v>14</v>
      </c>
      <c r="E367" t="s">
        <v>34</v>
      </c>
      <c r="F367" t="s">
        <v>2</v>
      </c>
      <c r="G367" s="91"/>
    </row>
    <row r="368" spans="2:7" x14ac:dyDescent="0.2">
      <c r="B368" s="90" t="s">
        <v>3536</v>
      </c>
      <c r="C368" s="85" t="s">
        <v>2941</v>
      </c>
      <c r="D368" t="s">
        <v>13</v>
      </c>
      <c r="E368" t="s">
        <v>27</v>
      </c>
      <c r="F368" t="s">
        <v>2</v>
      </c>
      <c r="G368" s="91" t="s">
        <v>3260</v>
      </c>
    </row>
    <row r="369" spans="2:7" x14ac:dyDescent="0.2">
      <c r="B369" s="90" t="s">
        <v>3536</v>
      </c>
      <c r="C369" s="85" t="s">
        <v>3010</v>
      </c>
      <c r="D369" t="s">
        <v>13</v>
      </c>
      <c r="E369" t="s">
        <v>34</v>
      </c>
      <c r="F369" t="s">
        <v>2</v>
      </c>
      <c r="G369" s="91"/>
    </row>
    <row r="370" spans="2:7" x14ac:dyDescent="0.2">
      <c r="B370" s="90" t="s">
        <v>3536</v>
      </c>
      <c r="C370" s="85" t="s">
        <v>2774</v>
      </c>
      <c r="D370" t="s">
        <v>13</v>
      </c>
      <c r="E370" t="s">
        <v>34</v>
      </c>
      <c r="F370" t="s">
        <v>2</v>
      </c>
      <c r="G370" s="91"/>
    </row>
    <row r="371" spans="2:7" x14ac:dyDescent="0.2">
      <c r="B371" s="90" t="s">
        <v>3536</v>
      </c>
      <c r="C371" s="85" t="s">
        <v>235</v>
      </c>
      <c r="D371" t="s">
        <v>13</v>
      </c>
      <c r="E371" t="s">
        <v>115</v>
      </c>
      <c r="F371" t="s">
        <v>29</v>
      </c>
      <c r="G371" s="91" t="s">
        <v>3258</v>
      </c>
    </row>
    <row r="372" spans="2:7" x14ac:dyDescent="0.2">
      <c r="B372" s="90" t="s">
        <v>3536</v>
      </c>
      <c r="C372" s="85" t="s">
        <v>3235</v>
      </c>
      <c r="D372" t="s">
        <v>13</v>
      </c>
      <c r="E372" t="s">
        <v>27</v>
      </c>
      <c r="F372" t="s">
        <v>2</v>
      </c>
      <c r="G372" s="91"/>
    </row>
    <row r="373" spans="2:7" x14ac:dyDescent="0.2">
      <c r="B373" s="90" t="s">
        <v>3536</v>
      </c>
      <c r="C373" s="85" t="s">
        <v>2775</v>
      </c>
      <c r="D373" t="s">
        <v>13</v>
      </c>
      <c r="E373" t="s">
        <v>49</v>
      </c>
      <c r="F373" t="s">
        <v>2</v>
      </c>
      <c r="G373" s="91"/>
    </row>
    <row r="374" spans="2:7" x14ac:dyDescent="0.2">
      <c r="B374" s="90" t="s">
        <v>3536</v>
      </c>
      <c r="C374" s="85" t="s">
        <v>3259</v>
      </c>
      <c r="D374" t="s">
        <v>13</v>
      </c>
      <c r="E374" t="s">
        <v>27</v>
      </c>
      <c r="F374" t="s">
        <v>2</v>
      </c>
      <c r="G374" s="91"/>
    </row>
    <row r="375" spans="2:7" x14ac:dyDescent="0.2">
      <c r="B375" s="90" t="s">
        <v>3536</v>
      </c>
      <c r="C375" s="85" t="s">
        <v>3088</v>
      </c>
      <c r="D375" t="s">
        <v>13</v>
      </c>
      <c r="E375" t="s">
        <v>27</v>
      </c>
      <c r="F375" t="s">
        <v>2</v>
      </c>
      <c r="G375" s="91" t="s">
        <v>3261</v>
      </c>
    </row>
    <row r="376" spans="2:7" x14ac:dyDescent="0.2">
      <c r="B376" s="90" t="s">
        <v>3537</v>
      </c>
      <c r="C376" s="85" t="s">
        <v>2843</v>
      </c>
      <c r="D376" t="s">
        <v>14</v>
      </c>
      <c r="E376" t="s">
        <v>34</v>
      </c>
      <c r="F376" t="s">
        <v>2</v>
      </c>
      <c r="G376" s="91" t="s">
        <v>3028</v>
      </c>
    </row>
    <row r="377" spans="2:7" x14ac:dyDescent="0.2">
      <c r="B377" s="90" t="s">
        <v>3537</v>
      </c>
      <c r="C377" s="85" t="s">
        <v>2941</v>
      </c>
      <c r="D377" t="s">
        <v>13</v>
      </c>
      <c r="E377" t="s">
        <v>27</v>
      </c>
      <c r="F377" t="s">
        <v>2</v>
      </c>
      <c r="G377" s="91" t="s">
        <v>3253</v>
      </c>
    </row>
    <row r="378" spans="2:7" x14ac:dyDescent="0.2">
      <c r="B378" s="90" t="s">
        <v>3537</v>
      </c>
      <c r="C378" s="85" t="s">
        <v>3010</v>
      </c>
      <c r="D378" t="s">
        <v>13</v>
      </c>
      <c r="E378" t="s">
        <v>34</v>
      </c>
      <c r="F378" t="s">
        <v>2</v>
      </c>
      <c r="G378" s="91"/>
    </row>
    <row r="379" spans="2:7" x14ac:dyDescent="0.2">
      <c r="B379" s="90" t="s">
        <v>3537</v>
      </c>
      <c r="C379" s="85" t="s">
        <v>2774</v>
      </c>
      <c r="D379" t="s">
        <v>13</v>
      </c>
      <c r="E379" t="s">
        <v>34</v>
      </c>
      <c r="F379" t="s">
        <v>2</v>
      </c>
      <c r="G379" s="91" t="s">
        <v>3257</v>
      </c>
    </row>
    <row r="380" spans="2:7" x14ac:dyDescent="0.2">
      <c r="B380" s="90" t="s">
        <v>3537</v>
      </c>
      <c r="C380" s="85" t="s">
        <v>235</v>
      </c>
      <c r="D380" t="s">
        <v>13</v>
      </c>
      <c r="E380" t="s">
        <v>42</v>
      </c>
      <c r="F380" t="s">
        <v>29</v>
      </c>
      <c r="G380" s="91" t="s">
        <v>3252</v>
      </c>
    </row>
    <row r="381" spans="2:7" x14ac:dyDescent="0.2">
      <c r="B381" s="90" t="s">
        <v>3537</v>
      </c>
      <c r="C381" s="85" t="s">
        <v>3235</v>
      </c>
      <c r="D381" t="s">
        <v>13</v>
      </c>
      <c r="E381" t="s">
        <v>27</v>
      </c>
      <c r="F381" t="s">
        <v>2</v>
      </c>
      <c r="G381" s="91" t="s">
        <v>3250</v>
      </c>
    </row>
    <row r="382" spans="2:7" x14ac:dyDescent="0.2">
      <c r="B382" s="90" t="s">
        <v>3537</v>
      </c>
      <c r="C382" s="85" t="s">
        <v>3254</v>
      </c>
      <c r="D382" t="s">
        <v>13</v>
      </c>
      <c r="E382" t="s">
        <v>27</v>
      </c>
      <c r="F382" t="s">
        <v>29</v>
      </c>
      <c r="G382" s="91" t="s">
        <v>3256</v>
      </c>
    </row>
    <row r="383" spans="2:7" x14ac:dyDescent="0.2">
      <c r="B383" s="90" t="s">
        <v>3537</v>
      </c>
      <c r="C383" s="85" t="s">
        <v>2775</v>
      </c>
      <c r="D383" t="s">
        <v>13</v>
      </c>
      <c r="E383" t="s">
        <v>49</v>
      </c>
      <c r="F383" t="s">
        <v>2</v>
      </c>
      <c r="G383" s="91"/>
    </row>
    <row r="384" spans="2:7" x14ac:dyDescent="0.2">
      <c r="B384" s="90" t="s">
        <v>3538</v>
      </c>
      <c r="C384" s="85" t="s">
        <v>2843</v>
      </c>
      <c r="D384" t="s">
        <v>14</v>
      </c>
      <c r="E384" t="s">
        <v>34</v>
      </c>
      <c r="F384" t="s">
        <v>2</v>
      </c>
      <c r="G384" s="91"/>
    </row>
    <row r="385" spans="2:7" x14ac:dyDescent="0.2">
      <c r="B385" s="90" t="s">
        <v>3538</v>
      </c>
      <c r="C385" s="85" t="s">
        <v>2941</v>
      </c>
      <c r="D385" t="s">
        <v>13</v>
      </c>
      <c r="E385" t="s">
        <v>27</v>
      </c>
      <c r="F385" t="s">
        <v>2</v>
      </c>
      <c r="G385" s="91" t="s">
        <v>3251</v>
      </c>
    </row>
    <row r="386" spans="2:7" x14ac:dyDescent="0.2">
      <c r="B386" s="90" t="s">
        <v>3538</v>
      </c>
      <c r="C386" s="85" t="s">
        <v>3010</v>
      </c>
      <c r="D386" t="s">
        <v>13</v>
      </c>
      <c r="E386" t="s">
        <v>34</v>
      </c>
      <c r="F386" t="s">
        <v>2</v>
      </c>
      <c r="G386" s="91"/>
    </row>
    <row r="387" spans="2:7" x14ac:dyDescent="0.2">
      <c r="B387" s="90" t="s">
        <v>3538</v>
      </c>
      <c r="C387" s="85" t="s">
        <v>2774</v>
      </c>
      <c r="D387" t="s">
        <v>13</v>
      </c>
      <c r="E387" t="s">
        <v>34</v>
      </c>
      <c r="F387" t="s">
        <v>2</v>
      </c>
      <c r="G387" s="91"/>
    </row>
    <row r="388" spans="2:7" x14ac:dyDescent="0.2">
      <c r="B388" s="90" t="s">
        <v>3538</v>
      </c>
      <c r="C388" s="85" t="s">
        <v>3223</v>
      </c>
      <c r="D388" t="s">
        <v>13</v>
      </c>
      <c r="E388" t="s">
        <v>27</v>
      </c>
      <c r="F388" t="s">
        <v>2</v>
      </c>
      <c r="G388" s="91"/>
    </row>
    <row r="389" spans="2:7" x14ac:dyDescent="0.2">
      <c r="B389" s="90" t="s">
        <v>3538</v>
      </c>
      <c r="C389" s="85" t="s">
        <v>235</v>
      </c>
      <c r="D389" t="s">
        <v>13</v>
      </c>
      <c r="E389" t="s">
        <v>42</v>
      </c>
      <c r="F389" t="s">
        <v>2</v>
      </c>
      <c r="G389" s="91"/>
    </row>
    <row r="390" spans="2:7" x14ac:dyDescent="0.2">
      <c r="B390" s="90" t="s">
        <v>3538</v>
      </c>
      <c r="C390" s="85" t="s">
        <v>3235</v>
      </c>
      <c r="D390" t="s">
        <v>13</v>
      </c>
      <c r="E390" t="s">
        <v>27</v>
      </c>
      <c r="F390" t="s">
        <v>2</v>
      </c>
      <c r="G390" s="91" t="s">
        <v>3250</v>
      </c>
    </row>
    <row r="391" spans="2:7" x14ac:dyDescent="0.2">
      <c r="B391" s="90" t="s">
        <v>3539</v>
      </c>
      <c r="C391" s="85" t="s">
        <v>2843</v>
      </c>
      <c r="D391" t="s">
        <v>14</v>
      </c>
      <c r="E391" t="s">
        <v>34</v>
      </c>
      <c r="F391" t="s">
        <v>2</v>
      </c>
      <c r="G391" s="91"/>
    </row>
    <row r="392" spans="2:7" x14ac:dyDescent="0.2">
      <c r="B392" s="90" t="s">
        <v>3539</v>
      </c>
      <c r="C392" s="85" t="s">
        <v>2941</v>
      </c>
      <c r="D392" t="s">
        <v>13</v>
      </c>
      <c r="E392" t="s">
        <v>27</v>
      </c>
      <c r="F392" t="s">
        <v>29</v>
      </c>
      <c r="G392" s="91" t="s">
        <v>3249</v>
      </c>
    </row>
    <row r="393" spans="2:7" x14ac:dyDescent="0.2">
      <c r="B393" s="90" t="s">
        <v>3539</v>
      </c>
      <c r="C393" s="85" t="s">
        <v>3010</v>
      </c>
      <c r="D393" t="s">
        <v>13</v>
      </c>
      <c r="E393" t="s">
        <v>34</v>
      </c>
      <c r="F393" t="s">
        <v>2</v>
      </c>
      <c r="G393" s="91"/>
    </row>
    <row r="394" spans="2:7" x14ac:dyDescent="0.2">
      <c r="B394" s="90" t="s">
        <v>3539</v>
      </c>
      <c r="C394" s="85" t="s">
        <v>2774</v>
      </c>
      <c r="D394" t="s">
        <v>13</v>
      </c>
      <c r="E394" t="s">
        <v>34</v>
      </c>
      <c r="F394" t="s">
        <v>2</v>
      </c>
      <c r="G394" s="91" t="s">
        <v>3247</v>
      </c>
    </row>
    <row r="395" spans="2:7" x14ac:dyDescent="0.2">
      <c r="B395" s="90" t="s">
        <v>3539</v>
      </c>
      <c r="C395" s="85" t="s">
        <v>3223</v>
      </c>
      <c r="D395" t="s">
        <v>13</v>
      </c>
      <c r="E395" t="s">
        <v>27</v>
      </c>
      <c r="F395" t="s">
        <v>2</v>
      </c>
      <c r="G395" s="91"/>
    </row>
    <row r="396" spans="2:7" x14ac:dyDescent="0.2">
      <c r="B396" s="90" t="s">
        <v>3539</v>
      </c>
      <c r="C396" s="85" t="s">
        <v>235</v>
      </c>
      <c r="D396" t="s">
        <v>13</v>
      </c>
      <c r="E396" t="s">
        <v>27</v>
      </c>
      <c r="F396" t="s">
        <v>2</v>
      </c>
      <c r="G396" s="91" t="s">
        <v>3240</v>
      </c>
    </row>
    <row r="397" spans="2:7" x14ac:dyDescent="0.2">
      <c r="B397" s="90" t="s">
        <v>3539</v>
      </c>
      <c r="C397" s="85" t="s">
        <v>3235</v>
      </c>
      <c r="D397" t="s">
        <v>13</v>
      </c>
      <c r="E397" t="s">
        <v>27</v>
      </c>
      <c r="F397" t="s">
        <v>2</v>
      </c>
      <c r="G397" s="91"/>
    </row>
    <row r="398" spans="2:7" x14ac:dyDescent="0.2">
      <c r="B398" s="90" t="s">
        <v>3539</v>
      </c>
      <c r="C398" s="85" t="s">
        <v>3075</v>
      </c>
      <c r="D398" t="s">
        <v>13</v>
      </c>
      <c r="E398" t="s">
        <v>27</v>
      </c>
      <c r="F398" t="s">
        <v>29</v>
      </c>
      <c r="G398" s="91" t="s">
        <v>3248</v>
      </c>
    </row>
    <row r="399" spans="2:7" x14ac:dyDescent="0.2">
      <c r="B399" s="90" t="s">
        <v>3539</v>
      </c>
      <c r="C399" s="85" t="s">
        <v>2775</v>
      </c>
      <c r="D399" t="s">
        <v>13</v>
      </c>
      <c r="E399" t="s">
        <v>42</v>
      </c>
      <c r="F399" t="s">
        <v>29</v>
      </c>
      <c r="G399" s="91" t="s">
        <v>3255</v>
      </c>
    </row>
    <row r="400" spans="2:7" x14ac:dyDescent="0.2">
      <c r="B400" s="90" t="s">
        <v>3540</v>
      </c>
      <c r="C400" s="85" t="s">
        <v>2843</v>
      </c>
      <c r="D400" t="s">
        <v>14</v>
      </c>
      <c r="E400" t="s">
        <v>34</v>
      </c>
      <c r="F400" t="s">
        <v>2</v>
      </c>
      <c r="G400" s="91"/>
    </row>
    <row r="401" spans="2:7" x14ac:dyDescent="0.2">
      <c r="B401" s="90" t="s">
        <v>3540</v>
      </c>
      <c r="C401" s="85" t="s">
        <v>2941</v>
      </c>
      <c r="D401" t="s">
        <v>13</v>
      </c>
      <c r="E401" t="s">
        <v>27</v>
      </c>
      <c r="F401" t="s">
        <v>2</v>
      </c>
      <c r="G401" s="91" t="s">
        <v>3244</v>
      </c>
    </row>
    <row r="402" spans="2:7" x14ac:dyDescent="0.2">
      <c r="B402" s="90" t="s">
        <v>3540</v>
      </c>
      <c r="C402" s="85" t="s">
        <v>3010</v>
      </c>
      <c r="D402" t="s">
        <v>13</v>
      </c>
      <c r="E402" t="s">
        <v>49</v>
      </c>
      <c r="F402" t="s">
        <v>29</v>
      </c>
      <c r="G402" s="91" t="s">
        <v>3242</v>
      </c>
    </row>
    <row r="403" spans="2:7" x14ac:dyDescent="0.2">
      <c r="B403" s="90" t="s">
        <v>3540</v>
      </c>
      <c r="C403" s="85" t="s">
        <v>3010</v>
      </c>
      <c r="D403" t="s">
        <v>13</v>
      </c>
      <c r="E403" t="s">
        <v>34</v>
      </c>
      <c r="F403" t="s">
        <v>2</v>
      </c>
      <c r="G403" s="91" t="s">
        <v>3243</v>
      </c>
    </row>
    <row r="404" spans="2:7" x14ac:dyDescent="0.2">
      <c r="B404" s="90" t="s">
        <v>3540</v>
      </c>
      <c r="C404" s="85" t="s">
        <v>2774</v>
      </c>
      <c r="D404" t="s">
        <v>13</v>
      </c>
      <c r="E404" t="s">
        <v>34</v>
      </c>
      <c r="F404" t="s">
        <v>2</v>
      </c>
      <c r="G404" s="91" t="s">
        <v>3241</v>
      </c>
    </row>
    <row r="405" spans="2:7" x14ac:dyDescent="0.2">
      <c r="B405" s="90" t="s">
        <v>3540</v>
      </c>
      <c r="C405" s="85" t="s">
        <v>3223</v>
      </c>
      <c r="D405" t="s">
        <v>13</v>
      </c>
      <c r="E405" t="s">
        <v>27</v>
      </c>
      <c r="F405" t="s">
        <v>2</v>
      </c>
      <c r="G405" s="91"/>
    </row>
    <row r="406" spans="2:7" x14ac:dyDescent="0.2">
      <c r="B406" s="90" t="s">
        <v>3540</v>
      </c>
      <c r="C406" s="85" t="s">
        <v>3225</v>
      </c>
      <c r="D406" t="s">
        <v>13</v>
      </c>
      <c r="E406" t="s">
        <v>27</v>
      </c>
      <c r="F406" t="s">
        <v>29</v>
      </c>
      <c r="G406" s="91" t="s">
        <v>3245</v>
      </c>
    </row>
    <row r="407" spans="2:7" x14ac:dyDescent="0.2">
      <c r="B407" s="90" t="s">
        <v>3540</v>
      </c>
      <c r="C407" s="85" t="s">
        <v>235</v>
      </c>
      <c r="D407" t="s">
        <v>13</v>
      </c>
      <c r="E407" t="s">
        <v>27</v>
      </c>
      <c r="F407" t="s">
        <v>2</v>
      </c>
      <c r="G407" s="91" t="s">
        <v>3240</v>
      </c>
    </row>
    <row r="408" spans="2:7" x14ac:dyDescent="0.2">
      <c r="B408" s="90" t="s">
        <v>3540</v>
      </c>
      <c r="C408" s="85" t="s">
        <v>3235</v>
      </c>
      <c r="D408" t="s">
        <v>13</v>
      </c>
      <c r="E408" t="s">
        <v>27</v>
      </c>
      <c r="F408" t="s">
        <v>2</v>
      </c>
      <c r="G408" s="91" t="s">
        <v>3246</v>
      </c>
    </row>
    <row r="409" spans="2:7" x14ac:dyDescent="0.2">
      <c r="B409" s="90" t="s">
        <v>3540</v>
      </c>
      <c r="C409" s="85" t="s">
        <v>2978</v>
      </c>
      <c r="D409" t="s">
        <v>13</v>
      </c>
      <c r="E409" t="s">
        <v>34</v>
      </c>
      <c r="F409" t="s">
        <v>29</v>
      </c>
      <c r="G409" s="91" t="s">
        <v>3239</v>
      </c>
    </row>
    <row r="410" spans="2:7" x14ac:dyDescent="0.2">
      <c r="B410" s="90" t="s">
        <v>3541</v>
      </c>
      <c r="C410" s="85" t="s">
        <v>2843</v>
      </c>
      <c r="D410" t="s">
        <v>14</v>
      </c>
      <c r="E410" t="s">
        <v>34</v>
      </c>
      <c r="F410" t="s">
        <v>2</v>
      </c>
      <c r="G410" s="91"/>
    </row>
    <row r="411" spans="2:7" x14ac:dyDescent="0.2">
      <c r="B411" s="90" t="s">
        <v>3541</v>
      </c>
      <c r="C411" s="85" t="s">
        <v>2941</v>
      </c>
      <c r="D411" t="s">
        <v>13</v>
      </c>
      <c r="E411" t="s">
        <v>27</v>
      </c>
      <c r="F411" t="s">
        <v>2</v>
      </c>
      <c r="G411" s="91"/>
    </row>
    <row r="412" spans="2:7" x14ac:dyDescent="0.2">
      <c r="B412" s="90" t="s">
        <v>3541</v>
      </c>
      <c r="C412" s="85" t="s">
        <v>3010</v>
      </c>
      <c r="D412" t="s">
        <v>13</v>
      </c>
      <c r="E412" t="s">
        <v>34</v>
      </c>
      <c r="F412" t="s">
        <v>2</v>
      </c>
      <c r="G412" s="91"/>
    </row>
    <row r="413" spans="2:7" x14ac:dyDescent="0.2">
      <c r="B413" s="90" t="s">
        <v>3541</v>
      </c>
      <c r="C413" s="85" t="s">
        <v>2774</v>
      </c>
      <c r="D413" t="s">
        <v>13</v>
      </c>
      <c r="E413" t="s">
        <v>34</v>
      </c>
      <c r="F413" t="s">
        <v>2</v>
      </c>
      <c r="G413" s="91"/>
    </row>
    <row r="414" spans="2:7" x14ac:dyDescent="0.2">
      <c r="B414" s="90" t="s">
        <v>3541</v>
      </c>
      <c r="C414" s="85" t="s">
        <v>3223</v>
      </c>
      <c r="D414" t="s">
        <v>13</v>
      </c>
      <c r="E414" t="s">
        <v>27</v>
      </c>
      <c r="F414" t="s">
        <v>2</v>
      </c>
      <c r="G414" s="91" t="s">
        <v>3232</v>
      </c>
    </row>
    <row r="415" spans="2:7" x14ac:dyDescent="0.2">
      <c r="B415" s="90" t="s">
        <v>3541</v>
      </c>
      <c r="C415" s="85" t="s">
        <v>2949</v>
      </c>
      <c r="D415" t="s">
        <v>13</v>
      </c>
      <c r="E415" t="s">
        <v>27</v>
      </c>
      <c r="F415" t="s">
        <v>29</v>
      </c>
      <c r="G415" s="91" t="s">
        <v>3233</v>
      </c>
    </row>
    <row r="416" spans="2:7" x14ac:dyDescent="0.2">
      <c r="B416" s="90" t="s">
        <v>3541</v>
      </c>
      <c r="C416" s="85" t="s">
        <v>3225</v>
      </c>
      <c r="D416" t="s">
        <v>13</v>
      </c>
      <c r="E416" t="s">
        <v>27</v>
      </c>
      <c r="F416" t="s">
        <v>2</v>
      </c>
      <c r="G416" s="91" t="s">
        <v>3234</v>
      </c>
    </row>
    <row r="417" spans="2:7" x14ac:dyDescent="0.2">
      <c r="B417" s="90" t="s">
        <v>3541</v>
      </c>
      <c r="C417" s="85" t="s">
        <v>235</v>
      </c>
      <c r="D417" t="s">
        <v>13</v>
      </c>
      <c r="E417" t="s">
        <v>27</v>
      </c>
      <c r="F417" t="s">
        <v>2</v>
      </c>
      <c r="G417" s="91" t="s">
        <v>3237</v>
      </c>
    </row>
    <row r="418" spans="2:7" x14ac:dyDescent="0.2">
      <c r="B418" s="90" t="s">
        <v>3541</v>
      </c>
      <c r="C418" s="85" t="s">
        <v>235</v>
      </c>
      <c r="D418" t="s">
        <v>13</v>
      </c>
      <c r="E418" t="s">
        <v>27</v>
      </c>
      <c r="F418" t="s">
        <v>29</v>
      </c>
      <c r="G418" s="91" t="s">
        <v>3236</v>
      </c>
    </row>
    <row r="419" spans="2:7" x14ac:dyDescent="0.2">
      <c r="B419" s="90" t="s">
        <v>3541</v>
      </c>
      <c r="C419" s="85" t="s">
        <v>2978</v>
      </c>
      <c r="D419" t="s">
        <v>13</v>
      </c>
      <c r="E419" t="s">
        <v>34</v>
      </c>
      <c r="F419" t="s">
        <v>29</v>
      </c>
      <c r="G419" s="91" t="s">
        <v>3238</v>
      </c>
    </row>
    <row r="420" spans="2:7" x14ac:dyDescent="0.2">
      <c r="B420" s="90" t="s">
        <v>3541</v>
      </c>
      <c r="C420" s="85" t="s">
        <v>3235</v>
      </c>
      <c r="D420" t="s">
        <v>13</v>
      </c>
      <c r="E420" t="s">
        <v>27</v>
      </c>
      <c r="F420" t="s">
        <v>2</v>
      </c>
      <c r="G420" s="91"/>
    </row>
    <row r="421" spans="2:7" x14ac:dyDescent="0.2">
      <c r="B421" s="90" t="s">
        <v>3542</v>
      </c>
      <c r="C421" s="85" t="s">
        <v>2843</v>
      </c>
      <c r="D421" t="s">
        <v>14</v>
      </c>
      <c r="E421" t="s">
        <v>34</v>
      </c>
      <c r="F421" t="s">
        <v>2</v>
      </c>
      <c r="G421" s="91"/>
    </row>
    <row r="422" spans="2:7" x14ac:dyDescent="0.2">
      <c r="B422" s="90" t="s">
        <v>3542</v>
      </c>
      <c r="C422" s="85" t="s">
        <v>2941</v>
      </c>
      <c r="D422" t="s">
        <v>13</v>
      </c>
      <c r="E422" t="s">
        <v>27</v>
      </c>
      <c r="F422" t="s">
        <v>2</v>
      </c>
      <c r="G422" s="91"/>
    </row>
    <row r="423" spans="2:7" x14ac:dyDescent="0.2">
      <c r="B423" s="90" t="s">
        <v>3542</v>
      </c>
      <c r="C423" s="85" t="s">
        <v>3010</v>
      </c>
      <c r="D423" t="s">
        <v>13</v>
      </c>
      <c r="E423" t="s">
        <v>34</v>
      </c>
      <c r="F423" t="s">
        <v>2</v>
      </c>
      <c r="G423" s="91"/>
    </row>
    <row r="424" spans="2:7" x14ac:dyDescent="0.2">
      <c r="B424" s="90" t="s">
        <v>3542</v>
      </c>
      <c r="C424" s="85" t="s">
        <v>2775</v>
      </c>
      <c r="D424" t="s">
        <v>13</v>
      </c>
      <c r="E424" t="s">
        <v>27</v>
      </c>
      <c r="F424" t="s">
        <v>29</v>
      </c>
      <c r="G424" s="91" t="s">
        <v>3229</v>
      </c>
    </row>
    <row r="425" spans="2:7" x14ac:dyDescent="0.2">
      <c r="B425" s="90" t="s">
        <v>3542</v>
      </c>
      <c r="C425" s="85" t="s">
        <v>2774</v>
      </c>
      <c r="D425" t="s">
        <v>13</v>
      </c>
      <c r="E425" t="s">
        <v>34</v>
      </c>
      <c r="F425" t="s">
        <v>2</v>
      </c>
      <c r="G425" s="91" t="s">
        <v>3224</v>
      </c>
    </row>
    <row r="426" spans="2:7" x14ac:dyDescent="0.2">
      <c r="B426" s="90" t="s">
        <v>3542</v>
      </c>
      <c r="C426" s="85" t="s">
        <v>3223</v>
      </c>
      <c r="D426" t="s">
        <v>13</v>
      </c>
      <c r="E426" t="s">
        <v>27</v>
      </c>
      <c r="F426" t="s">
        <v>2</v>
      </c>
      <c r="G426" s="91" t="s">
        <v>3226</v>
      </c>
    </row>
    <row r="427" spans="2:7" x14ac:dyDescent="0.2">
      <c r="B427" s="90" t="s">
        <v>3542</v>
      </c>
      <c r="C427" s="85" t="s">
        <v>2949</v>
      </c>
      <c r="D427" t="s">
        <v>13</v>
      </c>
      <c r="E427" t="s">
        <v>27</v>
      </c>
      <c r="F427" t="s">
        <v>2</v>
      </c>
      <c r="G427" s="91" t="s">
        <v>3230</v>
      </c>
    </row>
    <row r="428" spans="2:7" x14ac:dyDescent="0.2">
      <c r="B428" s="90" t="s">
        <v>3542</v>
      </c>
      <c r="C428" s="85" t="s">
        <v>3225</v>
      </c>
      <c r="D428" t="s">
        <v>13</v>
      </c>
      <c r="E428" t="s">
        <v>27</v>
      </c>
      <c r="F428" t="s">
        <v>2</v>
      </c>
      <c r="G428" s="91" t="s">
        <v>3228</v>
      </c>
    </row>
    <row r="429" spans="2:7" x14ac:dyDescent="0.2">
      <c r="B429" s="90" t="s">
        <v>3542</v>
      </c>
      <c r="C429" s="85" t="s">
        <v>235</v>
      </c>
      <c r="D429" t="s">
        <v>13</v>
      </c>
      <c r="E429" t="s">
        <v>27</v>
      </c>
      <c r="F429" t="s">
        <v>2</v>
      </c>
      <c r="G429" s="91" t="s">
        <v>3231</v>
      </c>
    </row>
    <row r="430" spans="2:7" x14ac:dyDescent="0.2">
      <c r="B430" s="90" t="s">
        <v>3542</v>
      </c>
      <c r="C430" s="85" t="s">
        <v>235</v>
      </c>
      <c r="D430" t="s">
        <v>13</v>
      </c>
      <c r="E430" t="s">
        <v>49</v>
      </c>
      <c r="F430" t="s">
        <v>2</v>
      </c>
      <c r="G430" s="91" t="s">
        <v>3227</v>
      </c>
    </row>
    <row r="431" spans="2:7" x14ac:dyDescent="0.2">
      <c r="B431" s="90" t="s">
        <v>3542</v>
      </c>
      <c r="C431" s="85" t="s">
        <v>2978</v>
      </c>
      <c r="D431" t="s">
        <v>13</v>
      </c>
      <c r="E431" t="s">
        <v>27</v>
      </c>
      <c r="F431" t="s">
        <v>2</v>
      </c>
      <c r="G431" s="91"/>
    </row>
    <row r="432" spans="2:7" x14ac:dyDescent="0.2">
      <c r="B432" s="92" t="s">
        <v>3543</v>
      </c>
      <c r="C432" s="85" t="s">
        <v>2843</v>
      </c>
      <c r="D432" t="s">
        <v>14</v>
      </c>
      <c r="E432" t="s">
        <v>34</v>
      </c>
      <c r="F432" t="s">
        <v>2</v>
      </c>
      <c r="G432" s="91"/>
    </row>
    <row r="433" spans="2:7" x14ac:dyDescent="0.2">
      <c r="B433" s="92" t="s">
        <v>3543</v>
      </c>
      <c r="C433" s="85" t="s">
        <v>2941</v>
      </c>
      <c r="D433" t="s">
        <v>13</v>
      </c>
      <c r="E433" t="s">
        <v>27</v>
      </c>
      <c r="F433" t="s">
        <v>2</v>
      </c>
      <c r="G433" s="91" t="s">
        <v>3222</v>
      </c>
    </row>
    <row r="434" spans="2:7" x14ac:dyDescent="0.2">
      <c r="B434" s="92" t="s">
        <v>3543</v>
      </c>
      <c r="C434" s="85" t="s">
        <v>3010</v>
      </c>
      <c r="D434" t="s">
        <v>13</v>
      </c>
      <c r="E434" t="s">
        <v>34</v>
      </c>
      <c r="F434" t="s">
        <v>29</v>
      </c>
      <c r="G434" s="91" t="s">
        <v>3220</v>
      </c>
    </row>
    <row r="435" spans="2:7" x14ac:dyDescent="0.2">
      <c r="B435" s="92" t="s">
        <v>3543</v>
      </c>
      <c r="C435" s="85" t="s">
        <v>3010</v>
      </c>
      <c r="D435" t="s">
        <v>13</v>
      </c>
      <c r="E435" t="s">
        <v>34</v>
      </c>
      <c r="F435" t="s">
        <v>2</v>
      </c>
      <c r="G435" s="91" t="s">
        <v>3217</v>
      </c>
    </row>
    <row r="436" spans="2:7" x14ac:dyDescent="0.2">
      <c r="B436" s="92" t="s">
        <v>3543</v>
      </c>
      <c r="C436" s="85" t="s">
        <v>2775</v>
      </c>
      <c r="D436" t="s">
        <v>13</v>
      </c>
      <c r="E436" t="s">
        <v>27</v>
      </c>
      <c r="F436" t="s">
        <v>2</v>
      </c>
      <c r="G436" s="91" t="s">
        <v>3218</v>
      </c>
    </row>
    <row r="437" spans="2:7" x14ac:dyDescent="0.2">
      <c r="B437" s="92" t="s">
        <v>3543</v>
      </c>
      <c r="C437" s="85" t="s">
        <v>2949</v>
      </c>
      <c r="D437" t="s">
        <v>13</v>
      </c>
      <c r="E437" t="s">
        <v>27</v>
      </c>
      <c r="F437" t="s">
        <v>29</v>
      </c>
      <c r="G437" s="91" t="s">
        <v>3221</v>
      </c>
    </row>
    <row r="438" spans="2:7" x14ac:dyDescent="0.2">
      <c r="B438" s="92" t="s">
        <v>3543</v>
      </c>
      <c r="C438" s="85" t="s">
        <v>2774</v>
      </c>
      <c r="D438" t="s">
        <v>13</v>
      </c>
      <c r="E438" t="s">
        <v>34</v>
      </c>
      <c r="F438" t="s">
        <v>29</v>
      </c>
      <c r="G438" s="91" t="s">
        <v>3219</v>
      </c>
    </row>
    <row r="439" spans="2:7" x14ac:dyDescent="0.2">
      <c r="B439" s="92" t="s">
        <v>3543</v>
      </c>
      <c r="C439" s="85" t="s">
        <v>3223</v>
      </c>
      <c r="D439" t="s">
        <v>13</v>
      </c>
      <c r="E439" t="s">
        <v>27</v>
      </c>
      <c r="F439" t="s">
        <v>2</v>
      </c>
      <c r="G439" s="91"/>
    </row>
    <row r="440" spans="2:7" x14ac:dyDescent="0.2">
      <c r="B440" s="92" t="s">
        <v>3544</v>
      </c>
      <c r="C440" s="85" t="s">
        <v>2843</v>
      </c>
      <c r="D440" t="s">
        <v>14</v>
      </c>
      <c r="E440" t="s">
        <v>34</v>
      </c>
      <c r="F440" t="s">
        <v>2</v>
      </c>
      <c r="G440" s="91"/>
    </row>
    <row r="441" spans="2:7" x14ac:dyDescent="0.2">
      <c r="B441" s="92" t="s">
        <v>3544</v>
      </c>
      <c r="C441" s="85" t="s">
        <v>2941</v>
      </c>
      <c r="D441" t="s">
        <v>13</v>
      </c>
      <c r="E441" t="s">
        <v>43</v>
      </c>
      <c r="F441" t="s">
        <v>2</v>
      </c>
      <c r="G441" s="91"/>
    </row>
    <row r="442" spans="2:7" x14ac:dyDescent="0.2">
      <c r="B442" s="92" t="s">
        <v>3544</v>
      </c>
      <c r="C442" s="85" t="s">
        <v>3010</v>
      </c>
      <c r="D442" t="s">
        <v>13</v>
      </c>
      <c r="E442" t="s">
        <v>34</v>
      </c>
      <c r="F442" t="s">
        <v>2</v>
      </c>
      <c r="G442" s="91"/>
    </row>
    <row r="443" spans="2:7" x14ac:dyDescent="0.2">
      <c r="B443" s="92" t="s">
        <v>3544</v>
      </c>
      <c r="C443" s="85" t="s">
        <v>3010</v>
      </c>
      <c r="D443" t="s">
        <v>13</v>
      </c>
      <c r="E443" t="s">
        <v>34</v>
      </c>
      <c r="F443" t="s">
        <v>2</v>
      </c>
      <c r="G443" s="91"/>
    </row>
    <row r="444" spans="2:7" x14ac:dyDescent="0.2">
      <c r="B444" s="92" t="s">
        <v>3544</v>
      </c>
      <c r="C444" s="85" t="s">
        <v>2775</v>
      </c>
      <c r="D444" t="s">
        <v>13</v>
      </c>
      <c r="E444" t="s">
        <v>27</v>
      </c>
      <c r="F444" t="s">
        <v>2</v>
      </c>
      <c r="G444" s="91"/>
    </row>
    <row r="445" spans="2:7" x14ac:dyDescent="0.2">
      <c r="B445" s="92" t="s">
        <v>3544</v>
      </c>
      <c r="C445" s="85" t="s">
        <v>2949</v>
      </c>
      <c r="D445" t="s">
        <v>13</v>
      </c>
      <c r="E445" t="s">
        <v>27</v>
      </c>
      <c r="F445" t="s">
        <v>2</v>
      </c>
      <c r="G445" s="91"/>
    </row>
    <row r="446" spans="2:7" x14ac:dyDescent="0.2">
      <c r="B446" s="92" t="s">
        <v>3544</v>
      </c>
      <c r="C446" s="85" t="s">
        <v>2774</v>
      </c>
      <c r="D446" t="s">
        <v>13</v>
      </c>
      <c r="E446" t="s">
        <v>34</v>
      </c>
      <c r="F446" t="s">
        <v>2</v>
      </c>
      <c r="G446" s="91" t="s">
        <v>3216</v>
      </c>
    </row>
    <row r="447" spans="2:7" x14ac:dyDescent="0.2">
      <c r="B447" s="92" t="s">
        <v>3545</v>
      </c>
      <c r="C447" s="85" t="s">
        <v>2843</v>
      </c>
      <c r="D447" t="s">
        <v>14</v>
      </c>
      <c r="E447" t="s">
        <v>34</v>
      </c>
      <c r="F447" t="s">
        <v>2</v>
      </c>
      <c r="G447" s="91"/>
    </row>
    <row r="448" spans="2:7" x14ac:dyDescent="0.2">
      <c r="B448" s="92" t="s">
        <v>3545</v>
      </c>
      <c r="C448" s="85" t="s">
        <v>2941</v>
      </c>
      <c r="D448" t="s">
        <v>13</v>
      </c>
      <c r="E448" t="s">
        <v>43</v>
      </c>
      <c r="F448" t="s">
        <v>2</v>
      </c>
      <c r="G448" s="91" t="s">
        <v>3214</v>
      </c>
    </row>
    <row r="449" spans="2:7" x14ac:dyDescent="0.2">
      <c r="B449" s="92" t="s">
        <v>3545</v>
      </c>
      <c r="C449" s="85" t="s">
        <v>3010</v>
      </c>
      <c r="D449" t="s">
        <v>13</v>
      </c>
      <c r="E449" t="s">
        <v>34</v>
      </c>
      <c r="F449" t="s">
        <v>2</v>
      </c>
      <c r="G449" s="91" t="s">
        <v>3211</v>
      </c>
    </row>
    <row r="450" spans="2:7" x14ac:dyDescent="0.2">
      <c r="B450" s="92" t="s">
        <v>3545</v>
      </c>
      <c r="C450" s="85" t="s">
        <v>3010</v>
      </c>
      <c r="D450" t="s">
        <v>13</v>
      </c>
      <c r="E450" t="s">
        <v>34</v>
      </c>
      <c r="F450" t="s">
        <v>2</v>
      </c>
      <c r="G450" s="91" t="s">
        <v>3212</v>
      </c>
    </row>
    <row r="451" spans="2:7" x14ac:dyDescent="0.2">
      <c r="B451" s="92" t="s">
        <v>3545</v>
      </c>
      <c r="C451" s="85" t="s">
        <v>2978</v>
      </c>
      <c r="D451" t="s">
        <v>13</v>
      </c>
      <c r="E451" t="s">
        <v>49</v>
      </c>
      <c r="F451" t="s">
        <v>29</v>
      </c>
      <c r="G451" s="91" t="s">
        <v>3213</v>
      </c>
    </row>
    <row r="452" spans="2:7" x14ac:dyDescent="0.2">
      <c r="B452" s="92" t="s">
        <v>3545</v>
      </c>
      <c r="C452" s="85" t="s">
        <v>2775</v>
      </c>
      <c r="D452" t="s">
        <v>13</v>
      </c>
      <c r="E452" t="s">
        <v>27</v>
      </c>
      <c r="F452" t="s">
        <v>2</v>
      </c>
      <c r="G452" s="91"/>
    </row>
    <row r="453" spans="2:7" x14ac:dyDescent="0.2">
      <c r="B453" s="92" t="s">
        <v>3545</v>
      </c>
      <c r="C453" s="85" t="s">
        <v>2949</v>
      </c>
      <c r="D453" t="s">
        <v>13</v>
      </c>
      <c r="E453" t="s">
        <v>27</v>
      </c>
      <c r="F453" t="s">
        <v>2</v>
      </c>
      <c r="G453" s="91" t="s">
        <v>3215</v>
      </c>
    </row>
    <row r="454" spans="2:7" x14ac:dyDescent="0.2">
      <c r="B454" s="92" t="s">
        <v>3545</v>
      </c>
      <c r="C454" s="85" t="s">
        <v>3225</v>
      </c>
      <c r="D454" t="s">
        <v>13</v>
      </c>
      <c r="E454" t="s">
        <v>27</v>
      </c>
      <c r="F454" t="s">
        <v>2</v>
      </c>
      <c r="G454" s="91"/>
    </row>
    <row r="455" spans="2:7" x14ac:dyDescent="0.2">
      <c r="B455" s="92" t="s">
        <v>3546</v>
      </c>
      <c r="C455" s="85" t="s">
        <v>2843</v>
      </c>
      <c r="D455" t="s">
        <v>14</v>
      </c>
      <c r="E455" t="s">
        <v>34</v>
      </c>
      <c r="F455" t="s">
        <v>2</v>
      </c>
      <c r="G455" s="91" t="s">
        <v>3201</v>
      </c>
    </row>
    <row r="456" spans="2:7" x14ac:dyDescent="0.2">
      <c r="B456" s="92" t="s">
        <v>3546</v>
      </c>
      <c r="C456" s="85" t="s">
        <v>2941</v>
      </c>
      <c r="D456" t="s">
        <v>13</v>
      </c>
      <c r="E456" t="s">
        <v>43</v>
      </c>
      <c r="F456" t="s">
        <v>2</v>
      </c>
      <c r="G456" s="91" t="s">
        <v>1305</v>
      </c>
    </row>
    <row r="457" spans="2:7" x14ac:dyDescent="0.2">
      <c r="B457" s="92" t="s">
        <v>3546</v>
      </c>
      <c r="C457" s="85" t="s">
        <v>3010</v>
      </c>
      <c r="D457" t="s">
        <v>13</v>
      </c>
      <c r="E457" t="s">
        <v>34</v>
      </c>
      <c r="F457" t="s">
        <v>2</v>
      </c>
      <c r="G457" s="91" t="s">
        <v>3199</v>
      </c>
    </row>
    <row r="458" spans="2:7" x14ac:dyDescent="0.2">
      <c r="B458" s="92" t="s">
        <v>3546</v>
      </c>
      <c r="C458" s="85" t="s">
        <v>3010</v>
      </c>
      <c r="D458" t="s">
        <v>13</v>
      </c>
      <c r="E458" t="s">
        <v>34</v>
      </c>
      <c r="F458" t="s">
        <v>2</v>
      </c>
      <c r="G458" s="91" t="s">
        <v>3200</v>
      </c>
    </row>
    <row r="459" spans="2:7" x14ac:dyDescent="0.2">
      <c r="B459" s="92" t="s">
        <v>3546</v>
      </c>
      <c r="C459" s="85" t="s">
        <v>2978</v>
      </c>
      <c r="D459" t="s">
        <v>13</v>
      </c>
      <c r="E459" t="s">
        <v>49</v>
      </c>
      <c r="F459" t="s">
        <v>2</v>
      </c>
      <c r="G459" s="91"/>
    </row>
    <row r="460" spans="2:7" x14ac:dyDescent="0.2">
      <c r="B460" s="92" t="s">
        <v>3546</v>
      </c>
      <c r="C460" s="85" t="s">
        <v>2978</v>
      </c>
      <c r="D460" t="s">
        <v>13</v>
      </c>
      <c r="E460" t="s">
        <v>49</v>
      </c>
      <c r="F460" t="s">
        <v>29</v>
      </c>
      <c r="G460" s="91" t="s">
        <v>3205</v>
      </c>
    </row>
    <row r="461" spans="2:7" x14ac:dyDescent="0.2">
      <c r="B461" s="92" t="s">
        <v>3546</v>
      </c>
      <c r="C461" s="85" t="s">
        <v>3202</v>
      </c>
      <c r="D461" t="s">
        <v>13</v>
      </c>
      <c r="E461" t="s">
        <v>27</v>
      </c>
      <c r="F461" t="s">
        <v>29</v>
      </c>
      <c r="G461" s="91" t="s">
        <v>3208</v>
      </c>
    </row>
    <row r="462" spans="2:7" x14ac:dyDescent="0.2">
      <c r="B462" s="92" t="s">
        <v>3546</v>
      </c>
      <c r="C462" s="85" t="s">
        <v>2775</v>
      </c>
      <c r="D462" t="s">
        <v>13</v>
      </c>
      <c r="E462" t="s">
        <v>27</v>
      </c>
      <c r="F462" t="s">
        <v>2</v>
      </c>
      <c r="G462" s="91" t="s">
        <v>3203</v>
      </c>
    </row>
    <row r="463" spans="2:7" x14ac:dyDescent="0.2">
      <c r="B463" s="92" t="s">
        <v>3546</v>
      </c>
      <c r="C463" s="85" t="s">
        <v>3204</v>
      </c>
      <c r="D463" t="s">
        <v>13</v>
      </c>
      <c r="E463" t="s">
        <v>27</v>
      </c>
      <c r="F463" t="s">
        <v>29</v>
      </c>
      <c r="G463" s="91" t="s">
        <v>3207</v>
      </c>
    </row>
    <row r="464" spans="2:7" x14ac:dyDescent="0.2">
      <c r="B464" s="92" t="s">
        <v>3546</v>
      </c>
      <c r="C464" s="85" t="s">
        <v>2949</v>
      </c>
      <c r="D464" t="s">
        <v>13</v>
      </c>
      <c r="E464" t="s">
        <v>49</v>
      </c>
      <c r="F464" t="s">
        <v>29</v>
      </c>
      <c r="G464" s="91" t="s">
        <v>3209</v>
      </c>
    </row>
    <row r="465" spans="2:7" x14ac:dyDescent="0.2">
      <c r="B465" s="92" t="s">
        <v>3546</v>
      </c>
      <c r="C465" s="85" t="s">
        <v>3021</v>
      </c>
      <c r="D465" t="s">
        <v>13</v>
      </c>
      <c r="E465" t="s">
        <v>34</v>
      </c>
      <c r="F465" t="s">
        <v>29</v>
      </c>
      <c r="G465" s="91" t="s">
        <v>3210</v>
      </c>
    </row>
    <row r="466" spans="2:7" x14ac:dyDescent="0.2">
      <c r="B466" s="92" t="s">
        <v>3547</v>
      </c>
      <c r="C466" s="85" t="s">
        <v>2843</v>
      </c>
      <c r="D466" t="s">
        <v>14</v>
      </c>
      <c r="E466" t="s">
        <v>34</v>
      </c>
      <c r="F466" t="s">
        <v>2</v>
      </c>
      <c r="G466" s="91"/>
    </row>
    <row r="467" spans="2:7" x14ac:dyDescent="0.2">
      <c r="B467" s="92" t="s">
        <v>3547</v>
      </c>
      <c r="C467" s="85" t="s">
        <v>2941</v>
      </c>
      <c r="D467" t="s">
        <v>13</v>
      </c>
      <c r="E467" t="s">
        <v>43</v>
      </c>
      <c r="F467" t="s">
        <v>2</v>
      </c>
      <c r="G467" s="91"/>
    </row>
    <row r="468" spans="2:7" x14ac:dyDescent="0.2">
      <c r="B468" s="92" t="s">
        <v>3547</v>
      </c>
      <c r="C468" s="85" t="s">
        <v>3154</v>
      </c>
      <c r="D468" t="s">
        <v>13</v>
      </c>
      <c r="E468" t="s">
        <v>27</v>
      </c>
      <c r="F468" t="s">
        <v>2</v>
      </c>
      <c r="G468" s="91" t="s">
        <v>3194</v>
      </c>
    </row>
    <row r="469" spans="2:7" x14ac:dyDescent="0.2">
      <c r="B469" s="92" t="s">
        <v>3547</v>
      </c>
      <c r="C469" s="85" t="s">
        <v>3155</v>
      </c>
      <c r="D469" t="s">
        <v>13</v>
      </c>
      <c r="E469" t="s">
        <v>27</v>
      </c>
      <c r="F469" t="s">
        <v>2</v>
      </c>
      <c r="G469" s="91" t="s">
        <v>3194</v>
      </c>
    </row>
    <row r="470" spans="2:7" x14ac:dyDescent="0.2">
      <c r="B470" s="92" t="s">
        <v>3547</v>
      </c>
      <c r="C470" s="85" t="s">
        <v>3010</v>
      </c>
      <c r="D470" t="s">
        <v>13</v>
      </c>
      <c r="E470" t="s">
        <v>34</v>
      </c>
      <c r="F470" t="s">
        <v>2</v>
      </c>
      <c r="G470" s="91" t="s">
        <v>3197</v>
      </c>
    </row>
    <row r="471" spans="2:7" x14ac:dyDescent="0.2">
      <c r="B471" s="92" t="s">
        <v>3547</v>
      </c>
      <c r="C471" s="85" t="s">
        <v>235</v>
      </c>
      <c r="D471" t="s">
        <v>13</v>
      </c>
      <c r="E471" t="s">
        <v>34</v>
      </c>
      <c r="F471" t="s">
        <v>29</v>
      </c>
      <c r="G471" s="91" t="s">
        <v>3193</v>
      </c>
    </row>
    <row r="472" spans="2:7" x14ac:dyDescent="0.2">
      <c r="B472" s="92" t="s">
        <v>3547</v>
      </c>
      <c r="C472" s="85" t="s">
        <v>151</v>
      </c>
      <c r="D472" t="s">
        <v>13</v>
      </c>
      <c r="E472" t="s">
        <v>27</v>
      </c>
      <c r="F472" t="s">
        <v>29</v>
      </c>
      <c r="G472" s="91" t="s">
        <v>3195</v>
      </c>
    </row>
    <row r="473" spans="2:7" x14ac:dyDescent="0.2">
      <c r="B473" s="92" t="s">
        <v>3547</v>
      </c>
      <c r="C473" s="85" t="s">
        <v>2978</v>
      </c>
      <c r="D473" t="s">
        <v>13</v>
      </c>
      <c r="E473" t="s">
        <v>49</v>
      </c>
      <c r="F473" t="s">
        <v>2</v>
      </c>
      <c r="G473" s="91" t="s">
        <v>3196</v>
      </c>
    </row>
    <row r="474" spans="2:7" x14ac:dyDescent="0.2">
      <c r="B474" s="92" t="s">
        <v>3547</v>
      </c>
      <c r="C474" s="85" t="s">
        <v>2775</v>
      </c>
      <c r="D474" t="s">
        <v>13</v>
      </c>
      <c r="E474" t="s">
        <v>34</v>
      </c>
      <c r="F474" t="s">
        <v>29</v>
      </c>
      <c r="G474" s="91" t="s">
        <v>3198</v>
      </c>
    </row>
    <row r="475" spans="2:7" x14ac:dyDescent="0.2">
      <c r="B475" s="92" t="s">
        <v>3548</v>
      </c>
      <c r="C475" s="85" t="s">
        <v>2843</v>
      </c>
      <c r="D475" t="s">
        <v>14</v>
      </c>
      <c r="E475" t="s">
        <v>34</v>
      </c>
      <c r="F475" t="s">
        <v>2</v>
      </c>
      <c r="G475" s="91"/>
    </row>
    <row r="476" spans="2:7" x14ac:dyDescent="0.2">
      <c r="B476" s="92" t="s">
        <v>3548</v>
      </c>
      <c r="C476" s="85" t="s">
        <v>2941</v>
      </c>
      <c r="D476" t="s">
        <v>13</v>
      </c>
      <c r="E476" t="s">
        <v>43</v>
      </c>
      <c r="F476" t="s">
        <v>2</v>
      </c>
      <c r="G476" s="91" t="s">
        <v>1305</v>
      </c>
    </row>
    <row r="477" spans="2:7" x14ac:dyDescent="0.2">
      <c r="B477" s="92" t="s">
        <v>3548</v>
      </c>
      <c r="C477" s="85" t="s">
        <v>3154</v>
      </c>
      <c r="D477" t="s">
        <v>13</v>
      </c>
      <c r="E477" t="s">
        <v>27</v>
      </c>
      <c r="F477" t="s">
        <v>2</v>
      </c>
      <c r="G477" s="91"/>
    </row>
    <row r="478" spans="2:7" x14ac:dyDescent="0.2">
      <c r="B478" s="92" t="s">
        <v>3548</v>
      </c>
      <c r="C478" s="85" t="s">
        <v>3155</v>
      </c>
      <c r="D478" t="s">
        <v>13</v>
      </c>
      <c r="E478" t="s">
        <v>27</v>
      </c>
      <c r="F478" t="s">
        <v>2</v>
      </c>
      <c r="G478" s="91"/>
    </row>
    <row r="479" spans="2:7" x14ac:dyDescent="0.2">
      <c r="B479" s="92" t="s">
        <v>3548</v>
      </c>
      <c r="C479" s="85" t="s">
        <v>3010</v>
      </c>
      <c r="D479" t="s">
        <v>13</v>
      </c>
      <c r="E479" t="s">
        <v>34</v>
      </c>
      <c r="F479" t="s">
        <v>2</v>
      </c>
      <c r="G479" s="91" t="s">
        <v>3190</v>
      </c>
    </row>
    <row r="480" spans="2:7" x14ac:dyDescent="0.2">
      <c r="B480" s="92" t="s">
        <v>3548</v>
      </c>
      <c r="C480" s="85" t="s">
        <v>235</v>
      </c>
      <c r="D480" t="s">
        <v>13</v>
      </c>
      <c r="E480" t="s">
        <v>34</v>
      </c>
      <c r="F480" t="s">
        <v>29</v>
      </c>
      <c r="G480" s="91" t="s">
        <v>3189</v>
      </c>
    </row>
    <row r="481" spans="2:7" x14ac:dyDescent="0.2">
      <c r="B481" s="92" t="s">
        <v>3548</v>
      </c>
      <c r="C481" s="85" t="s">
        <v>2775</v>
      </c>
      <c r="D481" t="s">
        <v>13</v>
      </c>
      <c r="E481" t="s">
        <v>49</v>
      </c>
      <c r="F481" t="s">
        <v>29</v>
      </c>
      <c r="G481" s="91" t="s">
        <v>3188</v>
      </c>
    </row>
    <row r="482" spans="2:7" x14ac:dyDescent="0.2">
      <c r="B482" s="92" t="s">
        <v>3548</v>
      </c>
      <c r="C482" s="85" t="s">
        <v>3191</v>
      </c>
      <c r="D482" t="s">
        <v>13</v>
      </c>
      <c r="E482" t="s">
        <v>43</v>
      </c>
      <c r="F482" t="s">
        <v>2</v>
      </c>
      <c r="G482" s="91" t="s">
        <v>3192</v>
      </c>
    </row>
    <row r="483" spans="2:7" x14ac:dyDescent="0.2">
      <c r="B483" s="92" t="s">
        <v>3549</v>
      </c>
      <c r="C483" s="85" t="s">
        <v>2843</v>
      </c>
      <c r="D483" t="s">
        <v>14</v>
      </c>
      <c r="E483" t="s">
        <v>34</v>
      </c>
      <c r="F483" t="s">
        <v>2</v>
      </c>
      <c r="G483" s="91"/>
    </row>
    <row r="484" spans="2:7" x14ac:dyDescent="0.2">
      <c r="B484" s="92" t="s">
        <v>3549</v>
      </c>
      <c r="C484" s="85" t="s">
        <v>2941</v>
      </c>
      <c r="D484" t="s">
        <v>13</v>
      </c>
      <c r="E484" t="s">
        <v>43</v>
      </c>
      <c r="F484" t="s">
        <v>2</v>
      </c>
      <c r="G484" s="91" t="s">
        <v>3185</v>
      </c>
    </row>
    <row r="485" spans="2:7" x14ac:dyDescent="0.2">
      <c r="B485" s="92" t="s">
        <v>3549</v>
      </c>
      <c r="C485" s="85" t="s">
        <v>3154</v>
      </c>
      <c r="D485" t="s">
        <v>13</v>
      </c>
      <c r="E485" t="s">
        <v>27</v>
      </c>
      <c r="F485" t="s">
        <v>2</v>
      </c>
      <c r="G485" s="91"/>
    </row>
    <row r="486" spans="2:7" x14ac:dyDescent="0.2">
      <c r="B486" s="92" t="s">
        <v>3549</v>
      </c>
      <c r="C486" s="85" t="s">
        <v>3155</v>
      </c>
      <c r="D486" t="s">
        <v>13</v>
      </c>
      <c r="E486" t="s">
        <v>27</v>
      </c>
      <c r="F486" t="s">
        <v>2</v>
      </c>
      <c r="G486" s="91"/>
    </row>
    <row r="487" spans="2:7" x14ac:dyDescent="0.2">
      <c r="B487" s="92" t="s">
        <v>3549</v>
      </c>
      <c r="C487" s="85" t="s">
        <v>2937</v>
      </c>
      <c r="D487" t="s">
        <v>13</v>
      </c>
      <c r="E487" t="s">
        <v>34</v>
      </c>
      <c r="F487" t="s">
        <v>29</v>
      </c>
      <c r="G487" s="91" t="s">
        <v>3186</v>
      </c>
    </row>
    <row r="488" spans="2:7" x14ac:dyDescent="0.2">
      <c r="B488" s="92" t="s">
        <v>3549</v>
      </c>
      <c r="C488" s="85" t="s">
        <v>2949</v>
      </c>
      <c r="D488" t="s">
        <v>13</v>
      </c>
      <c r="E488" t="s">
        <v>49</v>
      </c>
      <c r="F488" t="s">
        <v>29</v>
      </c>
      <c r="G488" s="91" t="s">
        <v>3183</v>
      </c>
    </row>
    <row r="489" spans="2:7" x14ac:dyDescent="0.2">
      <c r="B489" s="92" t="s">
        <v>3549</v>
      </c>
      <c r="C489" s="85" t="s">
        <v>151</v>
      </c>
      <c r="D489" t="s">
        <v>13</v>
      </c>
      <c r="E489" t="s">
        <v>8</v>
      </c>
      <c r="F489" t="s">
        <v>29</v>
      </c>
      <c r="G489" s="91" t="s">
        <v>3184</v>
      </c>
    </row>
    <row r="490" spans="2:7" x14ac:dyDescent="0.2">
      <c r="B490" s="92" t="s">
        <v>3549</v>
      </c>
      <c r="C490" s="85" t="s">
        <v>3010</v>
      </c>
      <c r="D490" t="s">
        <v>13</v>
      </c>
      <c r="E490" t="s">
        <v>34</v>
      </c>
      <c r="F490" t="s">
        <v>2</v>
      </c>
      <c r="G490" s="91" t="s">
        <v>3187</v>
      </c>
    </row>
    <row r="491" spans="2:7" x14ac:dyDescent="0.2">
      <c r="B491" s="92" t="s">
        <v>3550</v>
      </c>
      <c r="C491" s="85" t="s">
        <v>2843</v>
      </c>
      <c r="D491" t="s">
        <v>14</v>
      </c>
      <c r="E491" t="s">
        <v>34</v>
      </c>
      <c r="F491" t="s">
        <v>2</v>
      </c>
      <c r="G491" s="91" t="s">
        <v>3179</v>
      </c>
    </row>
    <row r="492" spans="2:7" x14ac:dyDescent="0.2">
      <c r="B492" s="92" t="s">
        <v>3550</v>
      </c>
      <c r="C492" s="85" t="s">
        <v>2978</v>
      </c>
      <c r="D492" t="s">
        <v>13</v>
      </c>
      <c r="E492" t="s">
        <v>27</v>
      </c>
      <c r="F492" t="s">
        <v>29</v>
      </c>
      <c r="G492" s="91" t="s">
        <v>3178</v>
      </c>
    </row>
    <row r="493" spans="2:7" x14ac:dyDescent="0.2">
      <c r="B493" s="92" t="s">
        <v>3550</v>
      </c>
      <c r="C493" s="85" t="s">
        <v>3010</v>
      </c>
      <c r="D493" t="s">
        <v>13</v>
      </c>
      <c r="E493" t="s">
        <v>34</v>
      </c>
      <c r="F493" t="s">
        <v>29</v>
      </c>
      <c r="G493" s="91" t="s">
        <v>3175</v>
      </c>
    </row>
    <row r="494" spans="2:7" x14ac:dyDescent="0.2">
      <c r="B494" s="92" t="s">
        <v>3550</v>
      </c>
      <c r="C494" s="85" t="s">
        <v>2941</v>
      </c>
      <c r="D494" t="s">
        <v>13</v>
      </c>
      <c r="E494" t="s">
        <v>49</v>
      </c>
      <c r="F494" t="s">
        <v>2</v>
      </c>
      <c r="G494" s="91" t="s">
        <v>3177</v>
      </c>
    </row>
    <row r="495" spans="2:7" x14ac:dyDescent="0.2">
      <c r="B495" s="92" t="s">
        <v>3550</v>
      </c>
      <c r="C495" s="85" t="s">
        <v>235</v>
      </c>
      <c r="D495" t="s">
        <v>13</v>
      </c>
      <c r="E495" t="s">
        <v>34</v>
      </c>
      <c r="F495" t="s">
        <v>29</v>
      </c>
      <c r="G495" s="91" t="s">
        <v>3176</v>
      </c>
    </row>
    <row r="496" spans="2:7" x14ac:dyDescent="0.2">
      <c r="B496" s="92" t="s">
        <v>3550</v>
      </c>
      <c r="C496" s="85" t="s">
        <v>3154</v>
      </c>
      <c r="D496" t="s">
        <v>13</v>
      </c>
      <c r="E496" t="s">
        <v>27</v>
      </c>
      <c r="F496" t="s">
        <v>2</v>
      </c>
      <c r="G496" s="91" t="s">
        <v>3180</v>
      </c>
    </row>
    <row r="497" spans="2:7" x14ac:dyDescent="0.2">
      <c r="B497" s="92" t="s">
        <v>3550</v>
      </c>
      <c r="C497" s="85" t="s">
        <v>3155</v>
      </c>
      <c r="D497" t="s">
        <v>13</v>
      </c>
      <c r="E497" t="s">
        <v>27</v>
      </c>
      <c r="F497" t="s">
        <v>2</v>
      </c>
      <c r="G497" s="91" t="s">
        <v>3180</v>
      </c>
    </row>
    <row r="498" spans="2:7" x14ac:dyDescent="0.2">
      <c r="B498" s="92" t="s">
        <v>3551</v>
      </c>
      <c r="C498" s="85" t="s">
        <v>2843</v>
      </c>
      <c r="D498" t="s">
        <v>14</v>
      </c>
      <c r="E498" t="s">
        <v>34</v>
      </c>
      <c r="F498" t="s">
        <v>2</v>
      </c>
      <c r="G498" s="91" t="s">
        <v>3171</v>
      </c>
    </row>
    <row r="499" spans="2:7" x14ac:dyDescent="0.2">
      <c r="B499" s="92" t="s">
        <v>3551</v>
      </c>
      <c r="C499" s="85" t="s">
        <v>2978</v>
      </c>
      <c r="D499" t="s">
        <v>13</v>
      </c>
      <c r="E499" t="s">
        <v>27</v>
      </c>
      <c r="F499" t="s">
        <v>29</v>
      </c>
      <c r="G499" s="91" t="s">
        <v>3172</v>
      </c>
    </row>
    <row r="500" spans="2:7" x14ac:dyDescent="0.2">
      <c r="B500" s="92" t="s">
        <v>3551</v>
      </c>
      <c r="C500" s="85" t="s">
        <v>3010</v>
      </c>
      <c r="D500" t="s">
        <v>13</v>
      </c>
      <c r="E500" t="s">
        <v>34</v>
      </c>
      <c r="F500" t="s">
        <v>2</v>
      </c>
      <c r="G500" s="91" t="s">
        <v>3173</v>
      </c>
    </row>
    <row r="501" spans="2:7" x14ac:dyDescent="0.2">
      <c r="B501" s="92" t="s">
        <v>3551</v>
      </c>
      <c r="C501" s="85" t="s">
        <v>2941</v>
      </c>
      <c r="D501" t="s">
        <v>13</v>
      </c>
      <c r="E501" t="s">
        <v>49</v>
      </c>
      <c r="F501" t="s">
        <v>2</v>
      </c>
      <c r="G501" s="91"/>
    </row>
    <row r="502" spans="2:7" x14ac:dyDescent="0.2">
      <c r="B502" s="92" t="s">
        <v>3551</v>
      </c>
      <c r="C502" s="85" t="s">
        <v>235</v>
      </c>
      <c r="D502" t="s">
        <v>13</v>
      </c>
      <c r="E502" t="s">
        <v>34</v>
      </c>
      <c r="F502" t="s">
        <v>2</v>
      </c>
      <c r="G502" s="91"/>
    </row>
    <row r="503" spans="2:7" x14ac:dyDescent="0.2">
      <c r="B503" s="92" t="s">
        <v>3552</v>
      </c>
      <c r="C503" s="85" t="s">
        <v>2843</v>
      </c>
      <c r="D503" t="s">
        <v>14</v>
      </c>
      <c r="E503" t="s">
        <v>34</v>
      </c>
      <c r="F503" t="s">
        <v>2</v>
      </c>
      <c r="G503" s="91"/>
    </row>
    <row r="504" spans="2:7" x14ac:dyDescent="0.2">
      <c r="B504" s="92" t="s">
        <v>3552</v>
      </c>
      <c r="C504" s="85" t="s">
        <v>2978</v>
      </c>
      <c r="D504" t="s">
        <v>13</v>
      </c>
      <c r="E504" t="s">
        <v>27</v>
      </c>
      <c r="F504" t="s">
        <v>2</v>
      </c>
      <c r="G504" s="91"/>
    </row>
    <row r="505" spans="2:7" x14ac:dyDescent="0.2">
      <c r="B505" s="92" t="s">
        <v>3552</v>
      </c>
      <c r="C505" s="85" t="s">
        <v>3010</v>
      </c>
      <c r="D505" t="s">
        <v>13</v>
      </c>
      <c r="E505" t="s">
        <v>34</v>
      </c>
      <c r="F505" t="s">
        <v>2</v>
      </c>
      <c r="G505" s="91"/>
    </row>
    <row r="506" spans="2:7" x14ac:dyDescent="0.2">
      <c r="B506" s="92" t="s">
        <v>3552</v>
      </c>
      <c r="C506" s="85" t="s">
        <v>2941</v>
      </c>
      <c r="D506" t="s">
        <v>13</v>
      </c>
      <c r="E506" t="s">
        <v>49</v>
      </c>
      <c r="F506" t="s">
        <v>2</v>
      </c>
      <c r="G506" s="91"/>
    </row>
    <row r="507" spans="2:7" x14ac:dyDescent="0.2">
      <c r="B507" s="92" t="s">
        <v>3552</v>
      </c>
      <c r="C507" s="85" t="s">
        <v>235</v>
      </c>
      <c r="D507" t="s">
        <v>13</v>
      </c>
      <c r="E507" t="s">
        <v>34</v>
      </c>
      <c r="F507" t="s">
        <v>2</v>
      </c>
      <c r="G507" s="91"/>
    </row>
    <row r="508" spans="2:7" ht="18" x14ac:dyDescent="0.25">
      <c r="B508" s="93" t="s">
        <v>3528</v>
      </c>
      <c r="C508" s="85"/>
      <c r="G508" s="91"/>
    </row>
    <row r="509" spans="2:7" x14ac:dyDescent="0.2">
      <c r="B509" s="90" t="s">
        <v>3553</v>
      </c>
      <c r="C509" s="85" t="s">
        <v>2843</v>
      </c>
      <c r="D509" t="s">
        <v>14</v>
      </c>
      <c r="E509" t="s">
        <v>34</v>
      </c>
      <c r="F509" t="s">
        <v>2</v>
      </c>
      <c r="G509" s="91"/>
    </row>
    <row r="510" spans="2:7" x14ac:dyDescent="0.2">
      <c r="B510" s="90" t="s">
        <v>3553</v>
      </c>
      <c r="C510" s="85" t="s">
        <v>2978</v>
      </c>
      <c r="D510" t="s">
        <v>13</v>
      </c>
      <c r="E510" t="s">
        <v>27</v>
      </c>
      <c r="F510" t="s">
        <v>2</v>
      </c>
      <c r="G510" s="91"/>
    </row>
    <row r="511" spans="2:7" x14ac:dyDescent="0.2">
      <c r="B511" s="90" t="s">
        <v>3553</v>
      </c>
      <c r="C511" s="85" t="s">
        <v>151</v>
      </c>
      <c r="D511" t="s">
        <v>13</v>
      </c>
      <c r="E511" t="s">
        <v>27</v>
      </c>
      <c r="F511" t="s">
        <v>29</v>
      </c>
      <c r="G511" s="91" t="s">
        <v>3166</v>
      </c>
    </row>
    <row r="512" spans="2:7" x14ac:dyDescent="0.2">
      <c r="B512" s="90" t="s">
        <v>3553</v>
      </c>
      <c r="C512" s="85" t="s">
        <v>151</v>
      </c>
      <c r="D512" t="s">
        <v>13</v>
      </c>
      <c r="E512" t="s">
        <v>42</v>
      </c>
      <c r="F512" t="s">
        <v>29</v>
      </c>
      <c r="G512" s="91" t="s">
        <v>3169</v>
      </c>
    </row>
    <row r="513" spans="2:7" x14ac:dyDescent="0.2">
      <c r="B513" s="90" t="s">
        <v>3553</v>
      </c>
      <c r="C513" s="85" t="s">
        <v>3010</v>
      </c>
      <c r="D513" t="s">
        <v>13</v>
      </c>
      <c r="E513" t="s">
        <v>34</v>
      </c>
      <c r="F513" t="s">
        <v>2</v>
      </c>
      <c r="G513" s="91" t="s">
        <v>3167</v>
      </c>
    </row>
    <row r="514" spans="2:7" x14ac:dyDescent="0.2">
      <c r="B514" s="90" t="s">
        <v>3553</v>
      </c>
      <c r="C514" s="85" t="s">
        <v>2941</v>
      </c>
      <c r="D514" t="s">
        <v>13</v>
      </c>
      <c r="E514" t="s">
        <v>49</v>
      </c>
      <c r="F514" t="s">
        <v>2</v>
      </c>
      <c r="G514" s="91" t="s">
        <v>3168</v>
      </c>
    </row>
    <row r="515" spans="2:7" x14ac:dyDescent="0.2">
      <c r="B515" s="90" t="s">
        <v>3553</v>
      </c>
      <c r="C515" s="85" t="s">
        <v>235</v>
      </c>
      <c r="D515" t="s">
        <v>13</v>
      </c>
      <c r="E515" t="s">
        <v>42</v>
      </c>
      <c r="F515" t="s">
        <v>29</v>
      </c>
      <c r="G515" s="91" t="s">
        <v>3170</v>
      </c>
    </row>
    <row r="516" spans="2:7" x14ac:dyDescent="0.2">
      <c r="B516" s="90" t="s">
        <v>3554</v>
      </c>
      <c r="C516" s="85" t="s">
        <v>2843</v>
      </c>
      <c r="D516" t="s">
        <v>14</v>
      </c>
      <c r="E516" t="s">
        <v>34</v>
      </c>
      <c r="F516" t="s">
        <v>2</v>
      </c>
      <c r="G516" s="91" t="s">
        <v>3164</v>
      </c>
    </row>
    <row r="517" spans="2:7" x14ac:dyDescent="0.2">
      <c r="B517" s="90" t="s">
        <v>3554</v>
      </c>
      <c r="C517" s="85" t="s">
        <v>3154</v>
      </c>
      <c r="D517" t="s">
        <v>13</v>
      </c>
      <c r="E517" t="s">
        <v>27</v>
      </c>
      <c r="F517" t="s">
        <v>29</v>
      </c>
      <c r="G517" s="91" t="s">
        <v>3160</v>
      </c>
    </row>
    <row r="518" spans="2:7" x14ac:dyDescent="0.2">
      <c r="B518" s="90" t="s">
        <v>3554</v>
      </c>
      <c r="C518" s="85" t="s">
        <v>3155</v>
      </c>
      <c r="D518" t="s">
        <v>13</v>
      </c>
      <c r="E518" t="s">
        <v>27</v>
      </c>
      <c r="F518" t="s">
        <v>29</v>
      </c>
      <c r="G518" s="91" t="s">
        <v>3161</v>
      </c>
    </row>
    <row r="519" spans="2:7" x14ac:dyDescent="0.2">
      <c r="B519" s="90" t="s">
        <v>3554</v>
      </c>
      <c r="C519" s="85" t="s">
        <v>2978</v>
      </c>
      <c r="D519" t="s">
        <v>13</v>
      </c>
      <c r="E519" t="s">
        <v>21</v>
      </c>
      <c r="F519" t="s">
        <v>29</v>
      </c>
      <c r="G519" s="91" t="s">
        <v>3162</v>
      </c>
    </row>
    <row r="520" spans="2:7" x14ac:dyDescent="0.2">
      <c r="B520" s="90" t="s">
        <v>3554</v>
      </c>
      <c r="C520" s="85" t="s">
        <v>2978</v>
      </c>
      <c r="D520" t="s">
        <v>13</v>
      </c>
      <c r="E520" t="s">
        <v>27</v>
      </c>
      <c r="F520" t="s">
        <v>2</v>
      </c>
      <c r="G520" s="91"/>
    </row>
    <row r="521" spans="2:7" x14ac:dyDescent="0.2">
      <c r="B521" s="90" t="s">
        <v>3554</v>
      </c>
      <c r="C521" s="85" t="s">
        <v>235</v>
      </c>
      <c r="D521" t="s">
        <v>13</v>
      </c>
      <c r="E521" t="s">
        <v>42</v>
      </c>
      <c r="F521" t="s">
        <v>29</v>
      </c>
      <c r="G521" s="91" t="s">
        <v>3165</v>
      </c>
    </row>
    <row r="522" spans="2:7" x14ac:dyDescent="0.2">
      <c r="B522" s="90" t="s">
        <v>3555</v>
      </c>
      <c r="C522" s="85" t="s">
        <v>2843</v>
      </c>
      <c r="D522" t="s">
        <v>14</v>
      </c>
      <c r="E522" t="s">
        <v>34</v>
      </c>
      <c r="F522" t="s">
        <v>2</v>
      </c>
      <c r="G522" s="91"/>
    </row>
    <row r="523" spans="2:7" x14ac:dyDescent="0.2">
      <c r="B523" s="90" t="s">
        <v>3555</v>
      </c>
      <c r="C523" s="85" t="s">
        <v>3154</v>
      </c>
      <c r="D523" t="s">
        <v>13</v>
      </c>
      <c r="E523" t="s">
        <v>27</v>
      </c>
      <c r="F523" t="s">
        <v>2</v>
      </c>
      <c r="G523" s="91" t="s">
        <v>3156</v>
      </c>
    </row>
    <row r="524" spans="2:7" x14ac:dyDescent="0.2">
      <c r="B524" s="90" t="s">
        <v>3555</v>
      </c>
      <c r="C524" s="85" t="s">
        <v>3155</v>
      </c>
      <c r="D524" t="s">
        <v>13</v>
      </c>
      <c r="E524" t="s">
        <v>27</v>
      </c>
      <c r="F524" t="s">
        <v>2</v>
      </c>
      <c r="G524" s="91" t="s">
        <v>3157</v>
      </c>
    </row>
    <row r="525" spans="2:7" x14ac:dyDescent="0.2">
      <c r="B525" s="90" t="s">
        <v>3555</v>
      </c>
      <c r="C525" s="85" t="s">
        <v>2775</v>
      </c>
      <c r="D525" t="s">
        <v>13</v>
      </c>
      <c r="E525" t="s">
        <v>49</v>
      </c>
      <c r="F525" t="s">
        <v>29</v>
      </c>
      <c r="G525" s="91" t="s">
        <v>3158</v>
      </c>
    </row>
    <row r="526" spans="2:7" x14ac:dyDescent="0.2">
      <c r="B526" s="90" t="s">
        <v>3555</v>
      </c>
      <c r="C526" s="85" t="s">
        <v>235</v>
      </c>
      <c r="D526" t="s">
        <v>13</v>
      </c>
      <c r="E526" t="s">
        <v>115</v>
      </c>
      <c r="F526" t="s">
        <v>29</v>
      </c>
      <c r="G526" s="91" t="s">
        <v>3159</v>
      </c>
    </row>
    <row r="527" spans="2:7" x14ac:dyDescent="0.2">
      <c r="B527" s="90" t="s">
        <v>3556</v>
      </c>
      <c r="C527" s="85" t="s">
        <v>2843</v>
      </c>
      <c r="D527" t="s">
        <v>14</v>
      </c>
      <c r="E527" t="s">
        <v>34</v>
      </c>
      <c r="F527" t="s">
        <v>2</v>
      </c>
      <c r="G527" s="91"/>
    </row>
    <row r="528" spans="2:7" x14ac:dyDescent="0.2">
      <c r="B528" s="90" t="s">
        <v>3556</v>
      </c>
      <c r="C528" s="85" t="s">
        <v>2774</v>
      </c>
      <c r="D528" t="s">
        <v>13</v>
      </c>
      <c r="E528" t="s">
        <v>49</v>
      </c>
      <c r="F528" t="s">
        <v>2</v>
      </c>
      <c r="G528" s="91" t="s">
        <v>3163</v>
      </c>
    </row>
    <row r="529" spans="2:7" x14ac:dyDescent="0.2">
      <c r="B529" s="90" t="s">
        <v>3556</v>
      </c>
      <c r="C529" s="85" t="s">
        <v>3153</v>
      </c>
      <c r="D529" t="s">
        <v>13</v>
      </c>
      <c r="E529" t="s">
        <v>27</v>
      </c>
      <c r="F529" t="s">
        <v>29</v>
      </c>
      <c r="G529" s="91" t="s">
        <v>3152</v>
      </c>
    </row>
    <row r="530" spans="2:7" x14ac:dyDescent="0.2">
      <c r="B530" s="90" t="s">
        <v>3556</v>
      </c>
      <c r="C530" s="85" t="s">
        <v>2775</v>
      </c>
      <c r="D530" t="s">
        <v>13</v>
      </c>
      <c r="E530" t="s">
        <v>49</v>
      </c>
      <c r="F530" t="s">
        <v>29</v>
      </c>
      <c r="G530" s="91" t="s">
        <v>3151</v>
      </c>
    </row>
    <row r="531" spans="2:7" x14ac:dyDescent="0.2">
      <c r="B531" s="90" t="s">
        <v>3557</v>
      </c>
      <c r="C531" s="85" t="s">
        <v>2843</v>
      </c>
      <c r="D531" t="s">
        <v>14</v>
      </c>
      <c r="E531" t="s">
        <v>34</v>
      </c>
      <c r="F531" t="s">
        <v>2</v>
      </c>
      <c r="G531" s="91"/>
    </row>
    <row r="532" spans="2:7" x14ac:dyDescent="0.2">
      <c r="B532" s="90" t="s">
        <v>3557</v>
      </c>
      <c r="C532" s="85" t="s">
        <v>235</v>
      </c>
      <c r="D532" t="s">
        <v>13</v>
      </c>
      <c r="E532" t="s">
        <v>42</v>
      </c>
      <c r="F532" t="s">
        <v>29</v>
      </c>
      <c r="G532" s="91" t="s">
        <v>3146</v>
      </c>
    </row>
    <row r="533" spans="2:7" x14ac:dyDescent="0.2">
      <c r="B533" s="90" t="s">
        <v>3557</v>
      </c>
      <c r="C533" s="85" t="s">
        <v>2774</v>
      </c>
      <c r="D533" t="s">
        <v>13</v>
      </c>
      <c r="E533" t="s">
        <v>34</v>
      </c>
      <c r="F533" t="s">
        <v>2</v>
      </c>
      <c r="G533" s="91"/>
    </row>
    <row r="534" spans="2:7" x14ac:dyDescent="0.2">
      <c r="B534" s="90" t="s">
        <v>3557</v>
      </c>
      <c r="C534" s="85" t="s">
        <v>3153</v>
      </c>
      <c r="D534" t="s">
        <v>13</v>
      </c>
      <c r="E534" t="s">
        <v>27</v>
      </c>
      <c r="F534" t="s">
        <v>2</v>
      </c>
      <c r="G534" s="91" t="s">
        <v>3147</v>
      </c>
    </row>
    <row r="535" spans="2:7" x14ac:dyDescent="0.2">
      <c r="B535" s="90" t="s">
        <v>3557</v>
      </c>
      <c r="C535" s="85" t="s">
        <v>2775</v>
      </c>
      <c r="D535" t="s">
        <v>13</v>
      </c>
      <c r="E535" t="s">
        <v>49</v>
      </c>
      <c r="F535" t="s">
        <v>29</v>
      </c>
      <c r="G535" s="91" t="s">
        <v>3149</v>
      </c>
    </row>
    <row r="536" spans="2:7" x14ac:dyDescent="0.2">
      <c r="B536" s="90" t="s">
        <v>3557</v>
      </c>
      <c r="C536" s="85" t="s">
        <v>3010</v>
      </c>
      <c r="D536" t="s">
        <v>13</v>
      </c>
      <c r="E536" t="s">
        <v>28</v>
      </c>
      <c r="F536" t="s">
        <v>29</v>
      </c>
      <c r="G536" s="91" t="s">
        <v>3150</v>
      </c>
    </row>
    <row r="537" spans="2:7" x14ac:dyDescent="0.2">
      <c r="B537" s="90" t="s">
        <v>3558</v>
      </c>
      <c r="C537" s="85" t="s">
        <v>2843</v>
      </c>
      <c r="D537" t="s">
        <v>14</v>
      </c>
      <c r="E537" t="s">
        <v>34</v>
      </c>
      <c r="F537" t="s">
        <v>2</v>
      </c>
      <c r="G537" s="91"/>
    </row>
    <row r="538" spans="2:7" x14ac:dyDescent="0.2">
      <c r="B538" s="90" t="s">
        <v>3558</v>
      </c>
      <c r="C538" s="85" t="s">
        <v>235</v>
      </c>
      <c r="D538" t="s">
        <v>13</v>
      </c>
      <c r="E538" t="s">
        <v>49</v>
      </c>
      <c r="F538" t="s">
        <v>2</v>
      </c>
      <c r="G538" s="91" t="s">
        <v>3136</v>
      </c>
    </row>
    <row r="539" spans="2:7" x14ac:dyDescent="0.2">
      <c r="B539" s="90" t="s">
        <v>3558</v>
      </c>
      <c r="C539" s="85" t="s">
        <v>2774</v>
      </c>
      <c r="D539" t="s">
        <v>13</v>
      </c>
      <c r="E539" t="s">
        <v>34</v>
      </c>
      <c r="F539" t="s">
        <v>2</v>
      </c>
      <c r="G539" s="91" t="s">
        <v>3135</v>
      </c>
    </row>
    <row r="540" spans="2:7" x14ac:dyDescent="0.2">
      <c r="B540" s="90" t="s">
        <v>3558</v>
      </c>
      <c r="C540" s="85" t="s">
        <v>2997</v>
      </c>
      <c r="D540" t="s">
        <v>13</v>
      </c>
      <c r="E540" t="s">
        <v>49</v>
      </c>
      <c r="F540" t="s">
        <v>29</v>
      </c>
      <c r="G540" s="91" t="s">
        <v>3140</v>
      </c>
    </row>
    <row r="541" spans="2:7" x14ac:dyDescent="0.2">
      <c r="B541" s="90" t="s">
        <v>3558</v>
      </c>
      <c r="C541" s="85" t="s">
        <v>2775</v>
      </c>
      <c r="D541" t="s">
        <v>13</v>
      </c>
      <c r="E541" t="s">
        <v>34</v>
      </c>
      <c r="F541" t="s">
        <v>29</v>
      </c>
      <c r="G541" s="91" t="s">
        <v>3134</v>
      </c>
    </row>
    <row r="542" spans="2:7" x14ac:dyDescent="0.2">
      <c r="B542" s="90" t="s">
        <v>3558</v>
      </c>
      <c r="C542" s="85" t="s">
        <v>2949</v>
      </c>
      <c r="D542" t="s">
        <v>13</v>
      </c>
      <c r="E542" t="s">
        <v>49</v>
      </c>
      <c r="F542" t="s">
        <v>29</v>
      </c>
      <c r="G542" s="91" t="s">
        <v>3139</v>
      </c>
    </row>
    <row r="543" spans="2:7" x14ac:dyDescent="0.2">
      <c r="B543" s="90" t="s">
        <v>3558</v>
      </c>
      <c r="C543" s="85" t="s">
        <v>2775</v>
      </c>
      <c r="D543" t="s">
        <v>13</v>
      </c>
      <c r="E543" t="s">
        <v>115</v>
      </c>
      <c r="F543" t="s">
        <v>29</v>
      </c>
      <c r="G543" s="91" t="s">
        <v>3144</v>
      </c>
    </row>
    <row r="544" spans="2:7" x14ac:dyDescent="0.2">
      <c r="B544" s="90" t="s">
        <v>3558</v>
      </c>
      <c r="C544" s="85" t="s">
        <v>2937</v>
      </c>
      <c r="D544" t="s">
        <v>13</v>
      </c>
      <c r="E544" t="s">
        <v>115</v>
      </c>
      <c r="F544" t="s">
        <v>29</v>
      </c>
      <c r="G544" s="91" t="s">
        <v>3143</v>
      </c>
    </row>
    <row r="545" spans="2:7" x14ac:dyDescent="0.2">
      <c r="B545" s="90" t="s">
        <v>3558</v>
      </c>
      <c r="C545" s="85" t="s">
        <v>3141</v>
      </c>
      <c r="D545" t="s">
        <v>13</v>
      </c>
      <c r="E545" t="s">
        <v>49</v>
      </c>
      <c r="F545" t="s">
        <v>29</v>
      </c>
      <c r="G545" s="91" t="s">
        <v>3142</v>
      </c>
    </row>
    <row r="546" spans="2:7" x14ac:dyDescent="0.2">
      <c r="B546" s="90" t="s">
        <v>3558</v>
      </c>
      <c r="C546" s="85" t="s">
        <v>3153</v>
      </c>
      <c r="D546" t="s">
        <v>13</v>
      </c>
      <c r="E546" t="s">
        <v>49</v>
      </c>
      <c r="F546" t="s">
        <v>2</v>
      </c>
      <c r="G546" s="91"/>
    </row>
    <row r="547" spans="2:7" x14ac:dyDescent="0.2">
      <c r="B547" s="90" t="s">
        <v>3558</v>
      </c>
      <c r="C547" s="85" t="s">
        <v>3145</v>
      </c>
      <c r="D547" t="s">
        <v>13</v>
      </c>
      <c r="E547" t="s">
        <v>27</v>
      </c>
      <c r="F547" t="s">
        <v>29</v>
      </c>
      <c r="G547" s="91" t="s">
        <v>3148</v>
      </c>
    </row>
    <row r="548" spans="2:7" x14ac:dyDescent="0.2">
      <c r="B548" s="90" t="s">
        <v>3559</v>
      </c>
      <c r="C548" s="85" t="s">
        <v>2843</v>
      </c>
      <c r="D548" t="s">
        <v>14</v>
      </c>
      <c r="E548" t="s">
        <v>34</v>
      </c>
      <c r="F548" t="s">
        <v>2</v>
      </c>
      <c r="G548" s="91" t="s">
        <v>3129</v>
      </c>
    </row>
    <row r="549" spans="2:7" x14ac:dyDescent="0.2">
      <c r="B549" s="90" t="s">
        <v>3559</v>
      </c>
      <c r="C549" s="85" t="s">
        <v>2937</v>
      </c>
      <c r="D549" t="s">
        <v>13</v>
      </c>
      <c r="E549" t="s">
        <v>49</v>
      </c>
      <c r="F549" t="s">
        <v>29</v>
      </c>
      <c r="G549" s="91" t="s">
        <v>3138</v>
      </c>
    </row>
    <row r="550" spans="2:7" x14ac:dyDescent="0.2">
      <c r="B550" s="90" t="s">
        <v>3559</v>
      </c>
      <c r="C550" s="85" t="s">
        <v>2949</v>
      </c>
      <c r="D550" t="s">
        <v>13</v>
      </c>
      <c r="E550" t="s">
        <v>49</v>
      </c>
      <c r="F550" t="s">
        <v>29</v>
      </c>
      <c r="G550" s="91" t="s">
        <v>3137</v>
      </c>
    </row>
    <row r="551" spans="2:7" x14ac:dyDescent="0.2">
      <c r="B551" s="90" t="s">
        <v>3559</v>
      </c>
      <c r="C551" s="85" t="s">
        <v>235</v>
      </c>
      <c r="D551" t="s">
        <v>13</v>
      </c>
      <c r="E551" t="s">
        <v>49</v>
      </c>
      <c r="F551" t="s">
        <v>2</v>
      </c>
      <c r="G551" s="91" t="s">
        <v>3130</v>
      </c>
    </row>
    <row r="552" spans="2:7" x14ac:dyDescent="0.2">
      <c r="B552" s="90" t="s">
        <v>3559</v>
      </c>
      <c r="C552" s="85" t="s">
        <v>2774</v>
      </c>
      <c r="D552" t="s">
        <v>13</v>
      </c>
      <c r="E552" t="s">
        <v>34</v>
      </c>
      <c r="F552" t="s">
        <v>2</v>
      </c>
      <c r="G552" s="91" t="s">
        <v>3131</v>
      </c>
    </row>
    <row r="553" spans="2:7" x14ac:dyDescent="0.2">
      <c r="B553" s="90" t="s">
        <v>3559</v>
      </c>
      <c r="C553" s="85" t="s">
        <v>2997</v>
      </c>
      <c r="D553" t="s">
        <v>13</v>
      </c>
      <c r="E553" t="s">
        <v>49</v>
      </c>
      <c r="F553" t="s">
        <v>2</v>
      </c>
      <c r="G553" s="91" t="s">
        <v>3127</v>
      </c>
    </row>
    <row r="554" spans="2:7" x14ac:dyDescent="0.2">
      <c r="B554" s="90" t="s">
        <v>3559</v>
      </c>
      <c r="C554" s="85" t="s">
        <v>3021</v>
      </c>
      <c r="D554" t="s">
        <v>13</v>
      </c>
      <c r="E554" t="s">
        <v>34</v>
      </c>
      <c r="F554" t="s">
        <v>29</v>
      </c>
      <c r="G554" s="91" t="s">
        <v>517</v>
      </c>
    </row>
    <row r="555" spans="2:7" x14ac:dyDescent="0.2">
      <c r="B555" s="90" t="s">
        <v>3559</v>
      </c>
      <c r="C555" s="85" t="s">
        <v>2775</v>
      </c>
      <c r="D555" t="s">
        <v>13</v>
      </c>
      <c r="E555" t="s">
        <v>49</v>
      </c>
      <c r="F555" t="s">
        <v>29</v>
      </c>
      <c r="G555" s="91" t="s">
        <v>3133</v>
      </c>
    </row>
    <row r="556" spans="2:7" x14ac:dyDescent="0.2">
      <c r="B556" s="90" t="s">
        <v>3559</v>
      </c>
      <c r="C556" s="85" t="s">
        <v>151</v>
      </c>
      <c r="D556" t="s">
        <v>13</v>
      </c>
      <c r="E556" t="s">
        <v>34</v>
      </c>
      <c r="F556" t="s">
        <v>29</v>
      </c>
      <c r="G556" s="91" t="s">
        <v>3132</v>
      </c>
    </row>
    <row r="557" spans="2:7" x14ac:dyDescent="0.2">
      <c r="B557" s="90" t="s">
        <v>3560</v>
      </c>
      <c r="C557" s="85" t="s">
        <v>2843</v>
      </c>
      <c r="D557" t="s">
        <v>14</v>
      </c>
      <c r="E557" t="s">
        <v>34</v>
      </c>
      <c r="F557" t="s">
        <v>2</v>
      </c>
      <c r="G557" s="91" t="s">
        <v>3128</v>
      </c>
    </row>
    <row r="558" spans="2:7" x14ac:dyDescent="0.2">
      <c r="B558" s="90" t="s">
        <v>3560</v>
      </c>
      <c r="C558" s="85" t="s">
        <v>2937</v>
      </c>
      <c r="D558" t="s">
        <v>13</v>
      </c>
      <c r="E558" t="s">
        <v>49</v>
      </c>
      <c r="F558" t="s">
        <v>2</v>
      </c>
      <c r="G558" s="91" t="s">
        <v>3123</v>
      </c>
    </row>
    <row r="559" spans="2:7" x14ac:dyDescent="0.2">
      <c r="B559" s="90" t="s">
        <v>3560</v>
      </c>
      <c r="C559" s="85" t="s">
        <v>2949</v>
      </c>
      <c r="D559" t="s">
        <v>13</v>
      </c>
      <c r="E559" t="s">
        <v>49</v>
      </c>
      <c r="F559" t="s">
        <v>2</v>
      </c>
      <c r="G559" s="91"/>
    </row>
    <row r="560" spans="2:7" x14ac:dyDescent="0.2">
      <c r="B560" s="90" t="s">
        <v>3560</v>
      </c>
      <c r="C560" s="85" t="s">
        <v>235</v>
      </c>
      <c r="D560" t="s">
        <v>13</v>
      </c>
      <c r="E560" t="s">
        <v>49</v>
      </c>
      <c r="F560" t="s">
        <v>2</v>
      </c>
      <c r="G560" s="91" t="s">
        <v>3120</v>
      </c>
    </row>
    <row r="561" spans="2:7" x14ac:dyDescent="0.2">
      <c r="B561" s="90" t="s">
        <v>3560</v>
      </c>
      <c r="C561" s="85" t="s">
        <v>2774</v>
      </c>
      <c r="D561" t="s">
        <v>13</v>
      </c>
      <c r="E561" t="s">
        <v>34</v>
      </c>
      <c r="F561" t="s">
        <v>2</v>
      </c>
      <c r="G561" s="91" t="s">
        <v>3122</v>
      </c>
    </row>
    <row r="562" spans="2:7" x14ac:dyDescent="0.2">
      <c r="B562" s="90" t="s">
        <v>3560</v>
      </c>
      <c r="C562" s="85" t="s">
        <v>2997</v>
      </c>
      <c r="D562" t="s">
        <v>13</v>
      </c>
      <c r="E562" t="s">
        <v>49</v>
      </c>
      <c r="F562" t="s">
        <v>2</v>
      </c>
      <c r="G562" s="91" t="s">
        <v>3121</v>
      </c>
    </row>
    <row r="563" spans="2:7" x14ac:dyDescent="0.2">
      <c r="B563" s="90" t="s">
        <v>3560</v>
      </c>
      <c r="C563" s="85" t="s">
        <v>3021</v>
      </c>
      <c r="D563" t="s">
        <v>13</v>
      </c>
      <c r="E563" t="s">
        <v>34</v>
      </c>
      <c r="F563" t="s">
        <v>2</v>
      </c>
      <c r="G563" s="91" t="s">
        <v>3124</v>
      </c>
    </row>
    <row r="564" spans="2:7" x14ac:dyDescent="0.2">
      <c r="B564" s="90" t="s">
        <v>3561</v>
      </c>
      <c r="C564" s="85" t="s">
        <v>2843</v>
      </c>
      <c r="D564" t="s">
        <v>14</v>
      </c>
      <c r="E564" t="s">
        <v>34</v>
      </c>
      <c r="F564" t="s">
        <v>2</v>
      </c>
      <c r="G564" s="91" t="s">
        <v>3028</v>
      </c>
    </row>
    <row r="565" spans="2:7" x14ac:dyDescent="0.2">
      <c r="B565" s="90" t="s">
        <v>3561</v>
      </c>
      <c r="C565" s="85" t="s">
        <v>2937</v>
      </c>
      <c r="D565" t="s">
        <v>13</v>
      </c>
      <c r="E565" t="s">
        <v>49</v>
      </c>
      <c r="F565" t="s">
        <v>2</v>
      </c>
      <c r="G565" s="91" t="s">
        <v>3119</v>
      </c>
    </row>
    <row r="566" spans="2:7" x14ac:dyDescent="0.2">
      <c r="B566" s="90" t="s">
        <v>3561</v>
      </c>
      <c r="C566" s="85" t="s">
        <v>2949</v>
      </c>
      <c r="D566" t="s">
        <v>13</v>
      </c>
      <c r="E566" t="s">
        <v>49</v>
      </c>
      <c r="F566" t="s">
        <v>2</v>
      </c>
      <c r="G566" s="91"/>
    </row>
    <row r="567" spans="2:7" x14ac:dyDescent="0.2">
      <c r="B567" s="90" t="s">
        <v>3561</v>
      </c>
      <c r="C567" s="85" t="s">
        <v>235</v>
      </c>
      <c r="D567" t="s">
        <v>13</v>
      </c>
      <c r="E567" t="s">
        <v>49</v>
      </c>
      <c r="F567" t="s">
        <v>29</v>
      </c>
      <c r="G567" s="91" t="s">
        <v>3117</v>
      </c>
    </row>
    <row r="568" spans="2:7" x14ac:dyDescent="0.2">
      <c r="B568" s="90" t="s">
        <v>3561</v>
      </c>
      <c r="C568" s="85" t="s">
        <v>235</v>
      </c>
      <c r="D568" t="s">
        <v>13</v>
      </c>
      <c r="E568" t="s">
        <v>49</v>
      </c>
      <c r="F568" t="s">
        <v>2</v>
      </c>
      <c r="G568" s="91" t="s">
        <v>3116</v>
      </c>
    </row>
    <row r="569" spans="2:7" x14ac:dyDescent="0.2">
      <c r="B569" s="90" t="s">
        <v>3561</v>
      </c>
      <c r="C569" s="85" t="s">
        <v>235</v>
      </c>
      <c r="D569" t="s">
        <v>13</v>
      </c>
      <c r="E569" t="s">
        <v>42</v>
      </c>
      <c r="F569" t="s">
        <v>29</v>
      </c>
      <c r="G569" s="91" t="s">
        <v>3118</v>
      </c>
    </row>
    <row r="570" spans="2:7" x14ac:dyDescent="0.2">
      <c r="B570" s="90" t="s">
        <v>3561</v>
      </c>
      <c r="C570" s="85" t="s">
        <v>2774</v>
      </c>
      <c r="D570" t="s">
        <v>13</v>
      </c>
      <c r="E570" t="s">
        <v>49</v>
      </c>
      <c r="F570" t="s">
        <v>2</v>
      </c>
      <c r="G570" s="91" t="s">
        <v>3114</v>
      </c>
    </row>
    <row r="571" spans="2:7" x14ac:dyDescent="0.2">
      <c r="B571" s="90" t="s">
        <v>3561</v>
      </c>
      <c r="C571" s="85" t="s">
        <v>2997</v>
      </c>
      <c r="D571" t="s">
        <v>13</v>
      </c>
      <c r="E571" t="s">
        <v>49</v>
      </c>
      <c r="F571" t="s">
        <v>2</v>
      </c>
      <c r="G571" s="91" t="s">
        <v>3115</v>
      </c>
    </row>
    <row r="572" spans="2:7" x14ac:dyDescent="0.2">
      <c r="B572" s="90" t="s">
        <v>3562</v>
      </c>
      <c r="C572" s="85" t="s">
        <v>2843</v>
      </c>
      <c r="D572" t="s">
        <v>14</v>
      </c>
      <c r="E572" t="s">
        <v>34</v>
      </c>
      <c r="F572" t="s">
        <v>2</v>
      </c>
      <c r="G572" s="91"/>
    </row>
    <row r="573" spans="2:7" x14ac:dyDescent="0.2">
      <c r="B573" s="90" t="s">
        <v>3562</v>
      </c>
      <c r="C573" s="85" t="s">
        <v>2937</v>
      </c>
      <c r="D573" t="s">
        <v>13</v>
      </c>
      <c r="E573" t="s">
        <v>43</v>
      </c>
      <c r="F573" t="s">
        <v>2</v>
      </c>
      <c r="G573" s="91" t="s">
        <v>3113</v>
      </c>
    </row>
    <row r="574" spans="2:7" x14ac:dyDescent="0.2">
      <c r="B574" s="90" t="s">
        <v>3562</v>
      </c>
      <c r="C574" s="85" t="s">
        <v>235</v>
      </c>
      <c r="D574" t="s">
        <v>13</v>
      </c>
      <c r="E574" t="s">
        <v>49</v>
      </c>
      <c r="F574" t="s">
        <v>29</v>
      </c>
      <c r="G574" s="91" t="s">
        <v>3112</v>
      </c>
    </row>
    <row r="575" spans="2:7" x14ac:dyDescent="0.2">
      <c r="B575" s="90" t="s">
        <v>3562</v>
      </c>
      <c r="C575" s="85" t="s">
        <v>2775</v>
      </c>
      <c r="D575" t="s">
        <v>13</v>
      </c>
      <c r="E575" t="s">
        <v>49</v>
      </c>
      <c r="F575" t="s">
        <v>29</v>
      </c>
      <c r="G575" s="91" t="s">
        <v>3109</v>
      </c>
    </row>
    <row r="576" spans="2:7" x14ac:dyDescent="0.2">
      <c r="B576" s="90" t="s">
        <v>3562</v>
      </c>
      <c r="C576" s="85" t="s">
        <v>3021</v>
      </c>
      <c r="D576" t="s">
        <v>13</v>
      </c>
      <c r="E576" t="s">
        <v>49</v>
      </c>
      <c r="F576" t="s">
        <v>29</v>
      </c>
      <c r="G576" s="91" t="s">
        <v>3111</v>
      </c>
    </row>
    <row r="577" spans="2:7" x14ac:dyDescent="0.2">
      <c r="B577" s="90" t="s">
        <v>3562</v>
      </c>
      <c r="C577" s="85" t="s">
        <v>2949</v>
      </c>
      <c r="D577" t="s">
        <v>13</v>
      </c>
      <c r="E577" t="s">
        <v>49</v>
      </c>
      <c r="F577" t="s">
        <v>2</v>
      </c>
      <c r="G577" s="91" t="s">
        <v>3110</v>
      </c>
    </row>
    <row r="578" spans="2:7" x14ac:dyDescent="0.2">
      <c r="B578" s="90" t="s">
        <v>3563</v>
      </c>
      <c r="C578" s="85" t="s">
        <v>2843</v>
      </c>
      <c r="D578" t="s">
        <v>14</v>
      </c>
      <c r="E578" t="s">
        <v>34</v>
      </c>
      <c r="F578" t="s">
        <v>2</v>
      </c>
      <c r="G578" s="91"/>
    </row>
    <row r="579" spans="2:7" x14ac:dyDescent="0.2">
      <c r="B579" s="90" t="s">
        <v>3563</v>
      </c>
      <c r="C579" s="85" t="s">
        <v>2937</v>
      </c>
      <c r="D579" t="s">
        <v>13</v>
      </c>
      <c r="E579" t="s">
        <v>43</v>
      </c>
      <c r="F579" t="s">
        <v>2</v>
      </c>
      <c r="G579" s="91"/>
    </row>
    <row r="580" spans="2:7" x14ac:dyDescent="0.2">
      <c r="B580" s="90" t="s">
        <v>3563</v>
      </c>
      <c r="C580" s="85" t="s">
        <v>3100</v>
      </c>
      <c r="D580" t="s">
        <v>13</v>
      </c>
      <c r="E580" t="s">
        <v>49</v>
      </c>
      <c r="F580" t="s">
        <v>29</v>
      </c>
      <c r="G580" s="91" t="s">
        <v>3107</v>
      </c>
    </row>
    <row r="581" spans="2:7" x14ac:dyDescent="0.2">
      <c r="B581" s="90" t="s">
        <v>3563</v>
      </c>
      <c r="C581" s="85" t="s">
        <v>3010</v>
      </c>
      <c r="D581" t="s">
        <v>13</v>
      </c>
      <c r="E581" t="s">
        <v>42</v>
      </c>
      <c r="F581" t="s">
        <v>29</v>
      </c>
      <c r="G581" s="91" t="s">
        <v>3108</v>
      </c>
    </row>
    <row r="582" spans="2:7" x14ac:dyDescent="0.2">
      <c r="B582" s="90" t="s">
        <v>3564</v>
      </c>
      <c r="C582" s="85" t="s">
        <v>2843</v>
      </c>
      <c r="D582" t="s">
        <v>14</v>
      </c>
      <c r="E582" t="s">
        <v>34</v>
      </c>
      <c r="F582" t="s">
        <v>2</v>
      </c>
      <c r="G582" s="91"/>
    </row>
    <row r="583" spans="2:7" x14ac:dyDescent="0.2">
      <c r="B583" s="90" t="s">
        <v>3564</v>
      </c>
      <c r="C583" s="85" t="s">
        <v>2937</v>
      </c>
      <c r="D583" t="s">
        <v>13</v>
      </c>
      <c r="E583" t="s">
        <v>43</v>
      </c>
      <c r="F583" t="s">
        <v>2</v>
      </c>
      <c r="G583" s="91" t="s">
        <v>3105</v>
      </c>
    </row>
    <row r="584" spans="2:7" x14ac:dyDescent="0.2">
      <c r="B584" s="90" t="s">
        <v>3564</v>
      </c>
      <c r="C584" s="85" t="s">
        <v>235</v>
      </c>
      <c r="D584" t="s">
        <v>13</v>
      </c>
      <c r="E584" t="s">
        <v>42</v>
      </c>
      <c r="F584" t="s">
        <v>29</v>
      </c>
      <c r="G584" s="91" t="s">
        <v>3104</v>
      </c>
    </row>
    <row r="585" spans="2:7" x14ac:dyDescent="0.2">
      <c r="B585" s="90" t="s">
        <v>3564</v>
      </c>
      <c r="C585" s="85" t="s">
        <v>2775</v>
      </c>
      <c r="D585" t="s">
        <v>13</v>
      </c>
      <c r="E585" t="s">
        <v>49</v>
      </c>
      <c r="F585" t="s">
        <v>29</v>
      </c>
      <c r="G585" s="91" t="s">
        <v>3103</v>
      </c>
    </row>
    <row r="586" spans="2:7" x14ac:dyDescent="0.2">
      <c r="B586" s="90" t="s">
        <v>3564</v>
      </c>
      <c r="C586" s="85" t="s">
        <v>3021</v>
      </c>
      <c r="D586" t="s">
        <v>13</v>
      </c>
      <c r="E586" t="s">
        <v>115</v>
      </c>
      <c r="F586" t="s">
        <v>29</v>
      </c>
      <c r="G586" s="91" t="s">
        <v>3106</v>
      </c>
    </row>
    <row r="587" spans="2:7" x14ac:dyDescent="0.2">
      <c r="B587" s="90" t="s">
        <v>3565</v>
      </c>
      <c r="C587" s="85" t="s">
        <v>2843</v>
      </c>
      <c r="D587" t="s">
        <v>14</v>
      </c>
      <c r="E587" t="s">
        <v>34</v>
      </c>
      <c r="F587" t="s">
        <v>2</v>
      </c>
      <c r="G587" s="91"/>
    </row>
    <row r="588" spans="2:7" x14ac:dyDescent="0.2">
      <c r="B588" s="90" t="s">
        <v>3565</v>
      </c>
      <c r="C588" s="85" t="s">
        <v>2937</v>
      </c>
      <c r="D588" t="s">
        <v>13</v>
      </c>
      <c r="E588" t="s">
        <v>43</v>
      </c>
      <c r="F588" t="s">
        <v>2</v>
      </c>
      <c r="G588" s="91" t="s">
        <v>3098</v>
      </c>
    </row>
    <row r="589" spans="2:7" x14ac:dyDescent="0.2">
      <c r="B589" s="90" t="s">
        <v>3565</v>
      </c>
      <c r="C589" s="85" t="s">
        <v>235</v>
      </c>
      <c r="D589" t="s">
        <v>13</v>
      </c>
      <c r="E589" t="s">
        <v>49</v>
      </c>
      <c r="F589" t="s">
        <v>2</v>
      </c>
      <c r="G589" s="91" t="s">
        <v>3099</v>
      </c>
    </row>
    <row r="590" spans="2:7" x14ac:dyDescent="0.2">
      <c r="B590" s="90" t="s">
        <v>3565</v>
      </c>
      <c r="C590" s="85" t="s">
        <v>2997</v>
      </c>
      <c r="D590" t="s">
        <v>13</v>
      </c>
      <c r="E590" t="s">
        <v>34</v>
      </c>
      <c r="F590" t="s">
        <v>29</v>
      </c>
      <c r="G590" s="91" t="s">
        <v>3102</v>
      </c>
    </row>
    <row r="591" spans="2:7" x14ac:dyDescent="0.2">
      <c r="B591" s="90" t="s">
        <v>3565</v>
      </c>
      <c r="C591" s="85" t="s">
        <v>3100</v>
      </c>
      <c r="D591" t="s">
        <v>13</v>
      </c>
      <c r="E591" t="s">
        <v>27</v>
      </c>
      <c r="F591" t="s">
        <v>29</v>
      </c>
      <c r="G591" s="91" t="s">
        <v>3101</v>
      </c>
    </row>
    <row r="592" spans="2:7" x14ac:dyDescent="0.2">
      <c r="B592" s="90" t="s">
        <v>3565</v>
      </c>
      <c r="C592" s="85" t="s">
        <v>2775</v>
      </c>
      <c r="D592" t="s">
        <v>13</v>
      </c>
      <c r="E592" t="s">
        <v>49</v>
      </c>
      <c r="F592" t="s">
        <v>29</v>
      </c>
      <c r="G592" s="91" t="s">
        <v>3082</v>
      </c>
    </row>
    <row r="593" spans="2:7" x14ac:dyDescent="0.2">
      <c r="B593" s="90" t="s">
        <v>3566</v>
      </c>
      <c r="C593" s="85" t="s">
        <v>2843</v>
      </c>
      <c r="D593" t="s">
        <v>14</v>
      </c>
      <c r="E593" t="s">
        <v>34</v>
      </c>
      <c r="F593" t="s">
        <v>2</v>
      </c>
      <c r="G593" s="91"/>
    </row>
    <row r="594" spans="2:7" x14ac:dyDescent="0.2">
      <c r="B594" s="90" t="s">
        <v>3566</v>
      </c>
      <c r="C594" s="85" t="s">
        <v>235</v>
      </c>
      <c r="D594" t="s">
        <v>13</v>
      </c>
      <c r="E594" t="s">
        <v>49</v>
      </c>
      <c r="F594" t="s">
        <v>29</v>
      </c>
      <c r="G594" s="91" t="s">
        <v>3095</v>
      </c>
    </row>
    <row r="595" spans="2:7" x14ac:dyDescent="0.2">
      <c r="B595" s="90" t="s">
        <v>3566</v>
      </c>
      <c r="C595" s="85" t="s">
        <v>2978</v>
      </c>
      <c r="D595" t="s">
        <v>13</v>
      </c>
      <c r="E595" t="s">
        <v>27</v>
      </c>
      <c r="F595" t="s">
        <v>2</v>
      </c>
      <c r="G595" s="91"/>
    </row>
    <row r="596" spans="2:7" x14ac:dyDescent="0.2">
      <c r="B596" s="90" t="s">
        <v>3566</v>
      </c>
      <c r="C596" s="85" t="s">
        <v>3010</v>
      </c>
      <c r="D596" t="s">
        <v>13</v>
      </c>
      <c r="E596" t="s">
        <v>49</v>
      </c>
      <c r="F596" t="s">
        <v>29</v>
      </c>
      <c r="G596" s="91" t="s">
        <v>3097</v>
      </c>
    </row>
    <row r="597" spans="2:7" x14ac:dyDescent="0.2">
      <c r="B597" s="90" t="s">
        <v>3566</v>
      </c>
      <c r="C597" s="85" t="s">
        <v>2937</v>
      </c>
      <c r="D597" t="s">
        <v>13</v>
      </c>
      <c r="E597" t="s">
        <v>43</v>
      </c>
      <c r="F597" t="s">
        <v>2</v>
      </c>
      <c r="G597" s="91" t="s">
        <v>3096</v>
      </c>
    </row>
    <row r="598" spans="2:7" x14ac:dyDescent="0.2">
      <c r="B598" s="90" t="s">
        <v>3567</v>
      </c>
      <c r="C598" s="85" t="s">
        <v>2843</v>
      </c>
      <c r="D598" t="s">
        <v>14</v>
      </c>
      <c r="E598" t="s">
        <v>34</v>
      </c>
      <c r="F598" t="s">
        <v>2</v>
      </c>
      <c r="G598" s="91"/>
    </row>
    <row r="599" spans="2:7" x14ac:dyDescent="0.2">
      <c r="B599" s="90" t="s">
        <v>3567</v>
      </c>
      <c r="C599" s="85" t="s">
        <v>235</v>
      </c>
      <c r="D599" t="s">
        <v>13</v>
      </c>
      <c r="E599" t="s">
        <v>49</v>
      </c>
      <c r="F599" t="s">
        <v>2</v>
      </c>
      <c r="G599" s="91"/>
    </row>
    <row r="600" spans="2:7" x14ac:dyDescent="0.2">
      <c r="B600" s="90" t="s">
        <v>3567</v>
      </c>
      <c r="C600" s="85" t="s">
        <v>2978</v>
      </c>
      <c r="D600" t="s">
        <v>13</v>
      </c>
      <c r="E600" t="s">
        <v>27</v>
      </c>
      <c r="F600" t="s">
        <v>2</v>
      </c>
      <c r="G600" s="91"/>
    </row>
    <row r="601" spans="2:7" x14ac:dyDescent="0.2">
      <c r="B601" s="90" t="s">
        <v>3567</v>
      </c>
      <c r="C601" s="85" t="s">
        <v>2937</v>
      </c>
      <c r="D601" t="s">
        <v>13</v>
      </c>
      <c r="E601" t="s">
        <v>49</v>
      </c>
      <c r="F601" t="s">
        <v>29</v>
      </c>
      <c r="G601" s="91" t="s">
        <v>3094</v>
      </c>
    </row>
    <row r="602" spans="2:7" x14ac:dyDescent="0.2">
      <c r="B602" s="90" t="s">
        <v>3567</v>
      </c>
      <c r="C602" s="85" t="s">
        <v>2949</v>
      </c>
      <c r="D602" t="s">
        <v>13</v>
      </c>
      <c r="E602" t="s">
        <v>49</v>
      </c>
      <c r="F602" t="s">
        <v>29</v>
      </c>
      <c r="G602" s="91" t="s">
        <v>3093</v>
      </c>
    </row>
    <row r="603" spans="2:7" x14ac:dyDescent="0.2">
      <c r="B603" s="92" t="s">
        <v>3568</v>
      </c>
      <c r="C603" s="85" t="s">
        <v>2843</v>
      </c>
      <c r="D603" t="s">
        <v>14</v>
      </c>
      <c r="E603" t="s">
        <v>34</v>
      </c>
      <c r="F603" t="s">
        <v>2</v>
      </c>
      <c r="G603" s="91" t="s">
        <v>3084</v>
      </c>
    </row>
    <row r="604" spans="2:7" x14ac:dyDescent="0.2">
      <c r="B604" s="92" t="s">
        <v>3568</v>
      </c>
      <c r="C604" s="85" t="s">
        <v>235</v>
      </c>
      <c r="D604" t="s">
        <v>13</v>
      </c>
      <c r="E604" t="s">
        <v>49</v>
      </c>
      <c r="F604" t="s">
        <v>2</v>
      </c>
      <c r="G604" s="91" t="s">
        <v>3085</v>
      </c>
    </row>
    <row r="605" spans="2:7" x14ac:dyDescent="0.2">
      <c r="B605" s="92" t="s">
        <v>3568</v>
      </c>
      <c r="C605" s="85" t="s">
        <v>2978</v>
      </c>
      <c r="D605" t="s">
        <v>13</v>
      </c>
      <c r="E605" t="s">
        <v>27</v>
      </c>
      <c r="F605" t="s">
        <v>2</v>
      </c>
      <c r="G605" s="91" t="s">
        <v>3086</v>
      </c>
    </row>
    <row r="606" spans="2:7" x14ac:dyDescent="0.2">
      <c r="B606" s="92" t="s">
        <v>3568</v>
      </c>
      <c r="C606" s="85" t="s">
        <v>3010</v>
      </c>
      <c r="D606" t="s">
        <v>13</v>
      </c>
      <c r="E606" t="s">
        <v>27</v>
      </c>
      <c r="F606" t="s">
        <v>29</v>
      </c>
      <c r="G606" s="91" t="s">
        <v>2780</v>
      </c>
    </row>
    <row r="607" spans="2:7" x14ac:dyDescent="0.2">
      <c r="B607" s="92" t="s">
        <v>3568</v>
      </c>
      <c r="C607" s="85" t="s">
        <v>2941</v>
      </c>
      <c r="D607" t="s">
        <v>13</v>
      </c>
      <c r="E607" t="s">
        <v>49</v>
      </c>
      <c r="F607" t="s">
        <v>29</v>
      </c>
      <c r="G607" s="91" t="s">
        <v>3089</v>
      </c>
    </row>
    <row r="608" spans="2:7" x14ac:dyDescent="0.2">
      <c r="B608" s="92" t="s">
        <v>3568</v>
      </c>
      <c r="C608" s="85" t="s">
        <v>3088</v>
      </c>
      <c r="D608" t="s">
        <v>13</v>
      </c>
      <c r="E608" t="s">
        <v>27</v>
      </c>
      <c r="F608" t="s">
        <v>29</v>
      </c>
      <c r="G608" s="91" t="s">
        <v>3090</v>
      </c>
    </row>
    <row r="609" spans="2:7" x14ac:dyDescent="0.2">
      <c r="B609" s="92" t="s">
        <v>3568</v>
      </c>
      <c r="C609" s="85" t="s">
        <v>2774</v>
      </c>
      <c r="D609" t="s">
        <v>13</v>
      </c>
      <c r="E609" t="s">
        <v>42</v>
      </c>
      <c r="F609" t="s">
        <v>29</v>
      </c>
      <c r="G609" s="91" t="s">
        <v>3091</v>
      </c>
    </row>
    <row r="610" spans="2:7" x14ac:dyDescent="0.2">
      <c r="B610" s="92" t="s">
        <v>3568</v>
      </c>
      <c r="C610" s="85" t="s">
        <v>2937</v>
      </c>
      <c r="D610" t="s">
        <v>13</v>
      </c>
      <c r="E610" t="s">
        <v>49</v>
      </c>
      <c r="F610" t="s">
        <v>2</v>
      </c>
      <c r="G610" s="91" t="s">
        <v>3092</v>
      </c>
    </row>
    <row r="611" spans="2:7" x14ac:dyDescent="0.2">
      <c r="B611" s="92" t="s">
        <v>3569</v>
      </c>
      <c r="C611" s="85" t="s">
        <v>2843</v>
      </c>
      <c r="D611" t="s">
        <v>14</v>
      </c>
      <c r="E611" t="s">
        <v>34</v>
      </c>
      <c r="F611" t="s">
        <v>2</v>
      </c>
      <c r="G611" s="91"/>
    </row>
    <row r="612" spans="2:7" x14ac:dyDescent="0.2">
      <c r="B612" s="92" t="s">
        <v>3569</v>
      </c>
      <c r="C612" s="85" t="s">
        <v>235</v>
      </c>
      <c r="D612" t="s">
        <v>13</v>
      </c>
      <c r="E612" t="s">
        <v>49</v>
      </c>
      <c r="F612" t="s">
        <v>2</v>
      </c>
      <c r="G612" s="91" t="s">
        <v>3079</v>
      </c>
    </row>
    <row r="613" spans="2:7" x14ac:dyDescent="0.2">
      <c r="B613" s="92" t="s">
        <v>3569</v>
      </c>
      <c r="C613" s="85" t="s">
        <v>2978</v>
      </c>
      <c r="D613" t="s">
        <v>13</v>
      </c>
      <c r="E613" t="s">
        <v>27</v>
      </c>
      <c r="F613" t="s">
        <v>2</v>
      </c>
      <c r="G613" s="91" t="s">
        <v>3078</v>
      </c>
    </row>
    <row r="614" spans="2:7" x14ac:dyDescent="0.2">
      <c r="B614" s="92" t="s">
        <v>3569</v>
      </c>
      <c r="C614" s="85" t="s">
        <v>2774</v>
      </c>
      <c r="D614" t="s">
        <v>13</v>
      </c>
      <c r="E614" t="s">
        <v>49</v>
      </c>
      <c r="F614" t="s">
        <v>29</v>
      </c>
      <c r="G614" s="91" t="s">
        <v>3080</v>
      </c>
    </row>
    <row r="615" spans="2:7" x14ac:dyDescent="0.2">
      <c r="B615" s="92" t="s">
        <v>3569</v>
      </c>
      <c r="C615" s="85" t="s">
        <v>3075</v>
      </c>
      <c r="D615" t="s">
        <v>13</v>
      </c>
      <c r="E615" t="s">
        <v>49</v>
      </c>
      <c r="F615" t="s">
        <v>29</v>
      </c>
      <c r="G615" s="91" t="s">
        <v>3087</v>
      </c>
    </row>
    <row r="616" spans="2:7" x14ac:dyDescent="0.2">
      <c r="B616" s="92" t="s">
        <v>3569</v>
      </c>
      <c r="C616" s="85" t="s">
        <v>3010</v>
      </c>
      <c r="D616" t="s">
        <v>13</v>
      </c>
      <c r="E616" t="s">
        <v>27</v>
      </c>
      <c r="F616" t="s">
        <v>2</v>
      </c>
      <c r="G616" s="91" t="s">
        <v>3081</v>
      </c>
    </row>
    <row r="617" spans="2:7" x14ac:dyDescent="0.2">
      <c r="B617" s="92" t="s">
        <v>3569</v>
      </c>
      <c r="C617" s="85" t="s">
        <v>2775</v>
      </c>
      <c r="D617" t="s">
        <v>13</v>
      </c>
      <c r="E617" t="s">
        <v>49</v>
      </c>
      <c r="F617" t="s">
        <v>29</v>
      </c>
      <c r="G617" s="91" t="s">
        <v>3082</v>
      </c>
    </row>
    <row r="618" spans="2:7" x14ac:dyDescent="0.2">
      <c r="B618" s="92" t="s">
        <v>3569</v>
      </c>
      <c r="C618" s="85" t="s">
        <v>2941</v>
      </c>
      <c r="D618" t="s">
        <v>13</v>
      </c>
      <c r="E618" t="s">
        <v>49</v>
      </c>
      <c r="F618" t="s">
        <v>2</v>
      </c>
      <c r="G618" s="91" t="s">
        <v>3083</v>
      </c>
    </row>
    <row r="619" spans="2:7" x14ac:dyDescent="0.2">
      <c r="B619" s="92" t="s">
        <v>3570</v>
      </c>
      <c r="C619" s="85" t="s">
        <v>2843</v>
      </c>
      <c r="D619" t="s">
        <v>14</v>
      </c>
      <c r="E619" t="s">
        <v>34</v>
      </c>
      <c r="F619" t="s">
        <v>2</v>
      </c>
      <c r="G619" s="91" t="s">
        <v>3072</v>
      </c>
    </row>
    <row r="620" spans="2:7" x14ac:dyDescent="0.2">
      <c r="B620" s="92" t="s">
        <v>3570</v>
      </c>
      <c r="C620" s="85" t="s">
        <v>2843</v>
      </c>
      <c r="D620" t="s">
        <v>14</v>
      </c>
      <c r="E620" t="s">
        <v>49</v>
      </c>
      <c r="F620" t="s">
        <v>29</v>
      </c>
      <c r="G620" s="91" t="s">
        <v>3072</v>
      </c>
    </row>
    <row r="621" spans="2:7" x14ac:dyDescent="0.2">
      <c r="B621" s="92" t="s">
        <v>3570</v>
      </c>
      <c r="C621" s="85" t="s">
        <v>235</v>
      </c>
      <c r="D621" t="s">
        <v>13</v>
      </c>
      <c r="E621" t="s">
        <v>49</v>
      </c>
      <c r="F621" t="s">
        <v>2</v>
      </c>
      <c r="G621" s="91" t="s">
        <v>3073</v>
      </c>
    </row>
    <row r="622" spans="2:7" x14ac:dyDescent="0.2">
      <c r="B622" s="92" t="s">
        <v>3570</v>
      </c>
      <c r="C622" s="85" t="s">
        <v>2978</v>
      </c>
      <c r="D622" t="s">
        <v>13</v>
      </c>
      <c r="E622" t="s">
        <v>27</v>
      </c>
      <c r="F622" t="s">
        <v>2</v>
      </c>
      <c r="G622" s="91" t="s">
        <v>3074</v>
      </c>
    </row>
    <row r="623" spans="2:7" x14ac:dyDescent="0.2">
      <c r="B623" s="92" t="s">
        <v>3570</v>
      </c>
      <c r="C623" s="85" t="s">
        <v>2774</v>
      </c>
      <c r="D623" t="s">
        <v>13</v>
      </c>
      <c r="E623" t="s">
        <v>49</v>
      </c>
      <c r="F623" t="s">
        <v>2</v>
      </c>
      <c r="G623" s="91" t="s">
        <v>3070</v>
      </c>
    </row>
    <row r="624" spans="2:7" x14ac:dyDescent="0.2">
      <c r="B624" s="92" t="s">
        <v>3570</v>
      </c>
      <c r="C624" s="85" t="s">
        <v>3075</v>
      </c>
      <c r="D624" t="s">
        <v>13</v>
      </c>
      <c r="E624" t="s">
        <v>27</v>
      </c>
      <c r="F624" t="s">
        <v>2</v>
      </c>
      <c r="G624" s="91" t="s">
        <v>3076</v>
      </c>
    </row>
    <row r="625" spans="2:7" x14ac:dyDescent="0.2">
      <c r="B625" s="92" t="s">
        <v>3570</v>
      </c>
      <c r="C625" s="85" t="s">
        <v>3010</v>
      </c>
      <c r="D625" t="s">
        <v>13</v>
      </c>
      <c r="E625" t="s">
        <v>27</v>
      </c>
      <c r="F625" t="s">
        <v>2</v>
      </c>
      <c r="G625" s="91"/>
    </row>
    <row r="626" spans="2:7" x14ac:dyDescent="0.2">
      <c r="B626" s="92" t="s">
        <v>3570</v>
      </c>
      <c r="C626" s="85" t="s">
        <v>3021</v>
      </c>
      <c r="D626" t="s">
        <v>13</v>
      </c>
      <c r="E626" t="s">
        <v>49</v>
      </c>
      <c r="F626" t="s">
        <v>29</v>
      </c>
      <c r="G626" s="91" t="s">
        <v>3077</v>
      </c>
    </row>
    <row r="627" spans="2:7" x14ac:dyDescent="0.2">
      <c r="B627" s="92" t="s">
        <v>3571</v>
      </c>
      <c r="C627" s="85" t="s">
        <v>2843</v>
      </c>
      <c r="D627" t="s">
        <v>14</v>
      </c>
      <c r="E627" t="s">
        <v>34</v>
      </c>
      <c r="F627" t="s">
        <v>2</v>
      </c>
      <c r="G627" s="91"/>
    </row>
    <row r="628" spans="2:7" x14ac:dyDescent="0.2">
      <c r="B628" s="92" t="s">
        <v>3571</v>
      </c>
      <c r="C628" s="85" t="s">
        <v>151</v>
      </c>
      <c r="D628" t="s">
        <v>13</v>
      </c>
      <c r="E628" t="s">
        <v>49</v>
      </c>
      <c r="F628" t="s">
        <v>29</v>
      </c>
      <c r="G628" s="91" t="s">
        <v>3069</v>
      </c>
    </row>
    <row r="629" spans="2:7" x14ac:dyDescent="0.2">
      <c r="B629" s="92" t="s">
        <v>3571</v>
      </c>
      <c r="C629" s="85" t="s">
        <v>235</v>
      </c>
      <c r="D629" t="s">
        <v>13</v>
      </c>
      <c r="E629" t="s">
        <v>49</v>
      </c>
      <c r="F629" t="s">
        <v>2</v>
      </c>
      <c r="G629" s="91" t="s">
        <v>3071</v>
      </c>
    </row>
    <row r="630" spans="2:7" x14ac:dyDescent="0.2">
      <c r="B630" s="92" t="s">
        <v>3571</v>
      </c>
      <c r="C630" s="85" t="s">
        <v>2978</v>
      </c>
      <c r="D630" t="s">
        <v>13</v>
      </c>
      <c r="E630" t="s">
        <v>27</v>
      </c>
      <c r="F630" t="s">
        <v>2</v>
      </c>
      <c r="G630" s="91" t="s">
        <v>3065</v>
      </c>
    </row>
    <row r="631" spans="2:7" x14ac:dyDescent="0.2">
      <c r="B631" s="92" t="s">
        <v>3571</v>
      </c>
      <c r="C631" s="85" t="s">
        <v>2774</v>
      </c>
      <c r="D631" t="s">
        <v>13</v>
      </c>
      <c r="E631" t="s">
        <v>49</v>
      </c>
      <c r="F631" t="s">
        <v>2</v>
      </c>
      <c r="G631" s="91" t="s">
        <v>3066</v>
      </c>
    </row>
    <row r="632" spans="2:7" x14ac:dyDescent="0.2">
      <c r="B632" s="92" t="s">
        <v>3572</v>
      </c>
      <c r="C632" s="85" t="s">
        <v>2843</v>
      </c>
      <c r="D632" t="s">
        <v>14</v>
      </c>
      <c r="E632" t="s">
        <v>34</v>
      </c>
      <c r="F632" t="s">
        <v>2</v>
      </c>
      <c r="G632" s="91"/>
    </row>
    <row r="633" spans="2:7" x14ac:dyDescent="0.2">
      <c r="B633" s="92" t="s">
        <v>3572</v>
      </c>
      <c r="C633" s="85" t="s">
        <v>151</v>
      </c>
      <c r="D633" t="s">
        <v>13</v>
      </c>
      <c r="E633" t="s">
        <v>49</v>
      </c>
      <c r="F633" t="s">
        <v>2</v>
      </c>
      <c r="G633" s="91" t="s">
        <v>3068</v>
      </c>
    </row>
    <row r="634" spans="2:7" x14ac:dyDescent="0.2">
      <c r="B634" s="92" t="s">
        <v>3572</v>
      </c>
      <c r="C634" s="85" t="s">
        <v>235</v>
      </c>
      <c r="D634" t="s">
        <v>13</v>
      </c>
      <c r="E634" t="s">
        <v>49</v>
      </c>
      <c r="F634" t="s">
        <v>2</v>
      </c>
      <c r="G634" s="91"/>
    </row>
    <row r="635" spans="2:7" x14ac:dyDescent="0.2">
      <c r="B635" s="92" t="s">
        <v>3572</v>
      </c>
      <c r="C635" s="85" t="s">
        <v>2978</v>
      </c>
      <c r="D635" t="s">
        <v>13</v>
      </c>
      <c r="E635" t="s">
        <v>27</v>
      </c>
      <c r="F635" t="s">
        <v>2</v>
      </c>
      <c r="G635" s="91" t="s">
        <v>3064</v>
      </c>
    </row>
    <row r="636" spans="2:7" x14ac:dyDescent="0.2">
      <c r="B636" s="92" t="s">
        <v>3572</v>
      </c>
      <c r="C636" s="85" t="s">
        <v>2774</v>
      </c>
      <c r="D636" t="s">
        <v>13</v>
      </c>
      <c r="E636" t="s">
        <v>49</v>
      </c>
      <c r="F636" t="s">
        <v>2</v>
      </c>
      <c r="G636" s="91" t="s">
        <v>3066</v>
      </c>
    </row>
    <row r="637" spans="2:7" x14ac:dyDescent="0.2">
      <c r="B637" s="92" t="s">
        <v>3572</v>
      </c>
      <c r="C637" s="85" t="s">
        <v>3010</v>
      </c>
      <c r="D637" t="s">
        <v>13</v>
      </c>
      <c r="E637" t="s">
        <v>42</v>
      </c>
      <c r="F637" t="s">
        <v>29</v>
      </c>
      <c r="G637" s="91" t="s">
        <v>3067</v>
      </c>
    </row>
    <row r="638" spans="2:7" x14ac:dyDescent="0.2">
      <c r="B638" s="92" t="s">
        <v>3573</v>
      </c>
      <c r="C638" s="85" t="s">
        <v>2843</v>
      </c>
      <c r="D638" t="s">
        <v>14</v>
      </c>
      <c r="E638" t="s">
        <v>34</v>
      </c>
      <c r="F638" t="s">
        <v>2</v>
      </c>
      <c r="G638" s="91"/>
    </row>
    <row r="639" spans="2:7" x14ac:dyDescent="0.2">
      <c r="B639" s="92" t="s">
        <v>3573</v>
      </c>
      <c r="C639" s="85" t="s">
        <v>151</v>
      </c>
      <c r="D639" t="s">
        <v>13</v>
      </c>
      <c r="E639" t="s">
        <v>49</v>
      </c>
      <c r="F639" t="s">
        <v>2</v>
      </c>
      <c r="G639" s="91"/>
    </row>
    <row r="640" spans="2:7" x14ac:dyDescent="0.2">
      <c r="B640" s="92" t="s">
        <v>3573</v>
      </c>
      <c r="C640" s="85" t="s">
        <v>235</v>
      </c>
      <c r="D640" t="s">
        <v>13</v>
      </c>
      <c r="E640" t="s">
        <v>49</v>
      </c>
      <c r="F640" t="s">
        <v>2</v>
      </c>
      <c r="G640" s="91"/>
    </row>
    <row r="641" spans="2:7" x14ac:dyDescent="0.2">
      <c r="B641" s="92" t="s">
        <v>3573</v>
      </c>
      <c r="C641" s="85" t="s">
        <v>2978</v>
      </c>
      <c r="D641" t="s">
        <v>13</v>
      </c>
      <c r="E641" t="s">
        <v>27</v>
      </c>
      <c r="F641" t="s">
        <v>2</v>
      </c>
      <c r="G641" s="91" t="s">
        <v>3063</v>
      </c>
    </row>
    <row r="642" spans="2:7" x14ac:dyDescent="0.2">
      <c r="B642" s="92" t="s">
        <v>3574</v>
      </c>
      <c r="C642" s="85" t="s">
        <v>2843</v>
      </c>
      <c r="D642" t="s">
        <v>14</v>
      </c>
      <c r="E642" t="s">
        <v>34</v>
      </c>
      <c r="F642" t="s">
        <v>2</v>
      </c>
      <c r="G642" s="91"/>
    </row>
    <row r="643" spans="2:7" x14ac:dyDescent="0.2">
      <c r="B643" s="92" t="s">
        <v>3574</v>
      </c>
      <c r="C643" s="85" t="s">
        <v>151</v>
      </c>
      <c r="D643" t="s">
        <v>13</v>
      </c>
      <c r="E643" t="s">
        <v>27</v>
      </c>
      <c r="F643" t="s">
        <v>2</v>
      </c>
      <c r="G643" s="91"/>
    </row>
    <row r="644" spans="2:7" x14ac:dyDescent="0.2">
      <c r="B644" s="92" t="s">
        <v>3574</v>
      </c>
      <c r="C644" s="85" t="s">
        <v>235</v>
      </c>
      <c r="D644" t="s">
        <v>13</v>
      </c>
      <c r="E644" t="s">
        <v>49</v>
      </c>
      <c r="F644" t="s">
        <v>2</v>
      </c>
      <c r="G644" s="91" t="s">
        <v>3061</v>
      </c>
    </row>
    <row r="645" spans="2:7" x14ac:dyDescent="0.2">
      <c r="B645" s="92" t="s">
        <v>3574</v>
      </c>
      <c r="C645" s="85" t="s">
        <v>2978</v>
      </c>
      <c r="D645" t="s">
        <v>13</v>
      </c>
      <c r="E645" t="s">
        <v>27</v>
      </c>
      <c r="F645" t="s">
        <v>2</v>
      </c>
      <c r="G645" s="91" t="s">
        <v>3062</v>
      </c>
    </row>
    <row r="646" spans="2:7" x14ac:dyDescent="0.2">
      <c r="B646" s="92" t="s">
        <v>3575</v>
      </c>
      <c r="C646" s="85" t="s">
        <v>2843</v>
      </c>
      <c r="D646" t="s">
        <v>14</v>
      </c>
      <c r="E646" t="s">
        <v>34</v>
      </c>
      <c r="F646" t="s">
        <v>2</v>
      </c>
      <c r="G646" s="91" t="s">
        <v>3054</v>
      </c>
    </row>
    <row r="647" spans="2:7" x14ac:dyDescent="0.2">
      <c r="B647" s="92" t="s">
        <v>3575</v>
      </c>
      <c r="C647" s="85" t="s">
        <v>2949</v>
      </c>
      <c r="D647" t="s">
        <v>13</v>
      </c>
      <c r="E647" t="s">
        <v>49</v>
      </c>
      <c r="F647" t="s">
        <v>29</v>
      </c>
      <c r="G647" s="91" t="s">
        <v>3057</v>
      </c>
    </row>
    <row r="648" spans="2:7" x14ac:dyDescent="0.2">
      <c r="B648" s="92" t="s">
        <v>3575</v>
      </c>
      <c r="C648" s="85" t="s">
        <v>2997</v>
      </c>
      <c r="D648" t="s">
        <v>13</v>
      </c>
      <c r="E648" t="s">
        <v>34</v>
      </c>
      <c r="F648" t="s">
        <v>29</v>
      </c>
      <c r="G648" s="91" t="s">
        <v>3058</v>
      </c>
    </row>
    <row r="649" spans="2:7" x14ac:dyDescent="0.2">
      <c r="B649" s="92" t="s">
        <v>3575</v>
      </c>
      <c r="C649" s="85" t="s">
        <v>2997</v>
      </c>
      <c r="D649" t="s">
        <v>13</v>
      </c>
      <c r="E649" t="s">
        <v>49</v>
      </c>
      <c r="F649" t="s">
        <v>29</v>
      </c>
      <c r="G649" s="91" t="s">
        <v>3055</v>
      </c>
    </row>
    <row r="650" spans="2:7" x14ac:dyDescent="0.2">
      <c r="B650" s="92" t="s">
        <v>3575</v>
      </c>
      <c r="C650" s="85" t="s">
        <v>235</v>
      </c>
      <c r="D650" t="s">
        <v>13</v>
      </c>
      <c r="E650" t="s">
        <v>34</v>
      </c>
      <c r="F650" t="s">
        <v>29</v>
      </c>
      <c r="G650" s="91" t="s">
        <v>3059</v>
      </c>
    </row>
    <row r="651" spans="2:7" x14ac:dyDescent="0.2">
      <c r="B651" s="92" t="s">
        <v>3575</v>
      </c>
      <c r="C651" s="85" t="s">
        <v>489</v>
      </c>
      <c r="D651" t="s">
        <v>19</v>
      </c>
      <c r="E651" t="s">
        <v>8</v>
      </c>
      <c r="F651" t="s">
        <v>29</v>
      </c>
      <c r="G651" s="91" t="s">
        <v>3056</v>
      </c>
    </row>
    <row r="652" spans="2:7" x14ac:dyDescent="0.2">
      <c r="B652" s="92" t="s">
        <v>3575</v>
      </c>
      <c r="C652" s="85" t="s">
        <v>3010</v>
      </c>
      <c r="D652" t="s">
        <v>13</v>
      </c>
      <c r="E652" t="s">
        <v>49</v>
      </c>
      <c r="F652" t="s">
        <v>29</v>
      </c>
      <c r="G652" s="91" t="s">
        <v>3060</v>
      </c>
    </row>
    <row r="653" spans="2:7" x14ac:dyDescent="0.2">
      <c r="B653" s="92" t="s">
        <v>3575</v>
      </c>
      <c r="C653" s="85" t="s">
        <v>151</v>
      </c>
      <c r="D653" t="s">
        <v>13</v>
      </c>
      <c r="E653" t="s">
        <v>27</v>
      </c>
      <c r="F653" t="s">
        <v>2</v>
      </c>
      <c r="G653" s="91"/>
    </row>
    <row r="654" spans="2:7" x14ac:dyDescent="0.2">
      <c r="B654" s="92" t="s">
        <v>3576</v>
      </c>
      <c r="C654" s="85" t="s">
        <v>2843</v>
      </c>
      <c r="D654" t="s">
        <v>14</v>
      </c>
      <c r="E654" t="s">
        <v>34</v>
      </c>
      <c r="F654" t="s">
        <v>2</v>
      </c>
      <c r="G654" s="91" t="s">
        <v>3050</v>
      </c>
    </row>
    <row r="655" spans="2:7" x14ac:dyDescent="0.2">
      <c r="B655" s="92" t="s">
        <v>3576</v>
      </c>
      <c r="C655" s="85" t="s">
        <v>2949</v>
      </c>
      <c r="D655" t="s">
        <v>13</v>
      </c>
      <c r="E655" t="s">
        <v>49</v>
      </c>
      <c r="F655" t="s">
        <v>2</v>
      </c>
      <c r="G655" s="91"/>
    </row>
    <row r="656" spans="2:7" x14ac:dyDescent="0.2">
      <c r="B656" s="92" t="s">
        <v>3576</v>
      </c>
      <c r="C656" s="85" t="s">
        <v>3010</v>
      </c>
      <c r="D656" t="s">
        <v>13</v>
      </c>
      <c r="E656" t="s">
        <v>42</v>
      </c>
      <c r="F656" t="s">
        <v>29</v>
      </c>
      <c r="G656" s="91" t="s">
        <v>3052</v>
      </c>
    </row>
    <row r="657" spans="2:7" x14ac:dyDescent="0.2">
      <c r="B657" s="92" t="s">
        <v>3576</v>
      </c>
      <c r="C657" s="85" t="s">
        <v>2774</v>
      </c>
      <c r="D657" t="s">
        <v>13</v>
      </c>
      <c r="E657" t="s">
        <v>49</v>
      </c>
      <c r="F657" t="s">
        <v>29</v>
      </c>
      <c r="G657" s="91" t="s">
        <v>3053</v>
      </c>
    </row>
    <row r="658" spans="2:7" x14ac:dyDescent="0.2">
      <c r="B658" s="92" t="s">
        <v>3576</v>
      </c>
      <c r="C658" s="85" t="s">
        <v>2941</v>
      </c>
      <c r="D658" t="s">
        <v>13</v>
      </c>
      <c r="E658" t="s">
        <v>49</v>
      </c>
      <c r="F658" t="s">
        <v>29</v>
      </c>
      <c r="G658" s="91" t="s">
        <v>3051</v>
      </c>
    </row>
    <row r="659" spans="2:7" x14ac:dyDescent="0.2">
      <c r="B659" s="92" t="s">
        <v>3577</v>
      </c>
      <c r="C659" s="85" t="s">
        <v>2843</v>
      </c>
      <c r="D659" t="s">
        <v>14</v>
      </c>
      <c r="E659" t="s">
        <v>34</v>
      </c>
      <c r="F659" t="s">
        <v>2</v>
      </c>
      <c r="G659" s="91" t="s">
        <v>3044</v>
      </c>
    </row>
    <row r="660" spans="2:7" x14ac:dyDescent="0.2">
      <c r="B660" s="92" t="s">
        <v>3577</v>
      </c>
      <c r="C660" s="85" t="s">
        <v>2949</v>
      </c>
      <c r="D660" t="s">
        <v>13</v>
      </c>
      <c r="E660" t="s">
        <v>49</v>
      </c>
      <c r="F660" t="s">
        <v>2</v>
      </c>
      <c r="G660" s="91"/>
    </row>
    <row r="661" spans="2:7" x14ac:dyDescent="0.2">
      <c r="B661" s="92" t="s">
        <v>3577</v>
      </c>
      <c r="C661" s="85" t="s">
        <v>3010</v>
      </c>
      <c r="D661" t="s">
        <v>13</v>
      </c>
      <c r="E661" t="s">
        <v>42</v>
      </c>
      <c r="F661" t="s">
        <v>2</v>
      </c>
      <c r="G661" s="91"/>
    </row>
    <row r="662" spans="2:7" x14ac:dyDescent="0.2">
      <c r="B662" s="92" t="s">
        <v>3577</v>
      </c>
      <c r="C662" s="85" t="s">
        <v>2774</v>
      </c>
      <c r="D662" t="s">
        <v>13</v>
      </c>
      <c r="E662" t="s">
        <v>49</v>
      </c>
      <c r="F662" t="s">
        <v>2</v>
      </c>
      <c r="G662" s="91" t="s">
        <v>3043</v>
      </c>
    </row>
    <row r="663" spans="2:7" x14ac:dyDescent="0.2">
      <c r="B663" s="92" t="s">
        <v>3577</v>
      </c>
      <c r="C663" s="85" t="s">
        <v>235</v>
      </c>
      <c r="D663" t="s">
        <v>13</v>
      </c>
      <c r="E663" t="s">
        <v>34</v>
      </c>
      <c r="F663" t="s">
        <v>29</v>
      </c>
      <c r="G663" s="91" t="s">
        <v>3042</v>
      </c>
    </row>
    <row r="664" spans="2:7" x14ac:dyDescent="0.2">
      <c r="B664" s="94" t="s">
        <v>3577</v>
      </c>
      <c r="C664" s="95" t="s">
        <v>235</v>
      </c>
      <c r="D664" s="96" t="s">
        <v>13</v>
      </c>
      <c r="E664" s="96" t="s">
        <v>28</v>
      </c>
      <c r="F664" s="96" t="s">
        <v>29</v>
      </c>
      <c r="G664" s="97" t="s">
        <v>3049</v>
      </c>
    </row>
  </sheetData>
  <autoFilter ref="B5:G721" xr:uid="{78F84827-612A-47C7-8CEA-E3119A54D606}"/>
  <hyperlinks>
    <hyperlink ref="C7" r:id="rId1" tooltip="Click to follow the hyperlink" display="\\cclserver\DATA\P 2020\03 CR Projects\06-21-CR-005 Marsa Al Arab\Construction phase" xr:uid="{4527385E-43C0-46D5-9BE1-124CA62D6786}"/>
    <hyperlink ref="C8" r:id="rId2" tooltip="Click to follow the hyperlink" display="\\cclserver\DATA\Q 2020\CCL STRENGTHENING\Dubai\2021\R1.5261.21 Al Wasl Tower" xr:uid="{181727CA-7C20-4EA3-AA11-57F418F2638C}"/>
    <hyperlink ref="C9" r:id="rId3" tooltip="Click to follow the hyperlink" display="\\cclserver\DATA\P 2020\03 CR Projects\06-20-CR-002 MEDORE Tower\Construction Phase\" xr:uid="{1C40D88F-7F4F-4F62-A9CB-7D34A6E72A00}"/>
    <hyperlink ref="C10" r:id="rId4" tooltip="Click to follow the hyperlink" display="\\cclserver\DATA\P 2020\03 CR Projects\06-22-CR-011 Park Avenue 3 (Azizi)" xr:uid="{7B9748E1-2B0C-4B46-A0B5-DCAB7CA4CD11}"/>
    <hyperlink ref="C11" r:id="rId5" tooltip="Click to follow the hyperlink" display="\\cclserver\DATA\P 2020\03 CR Projects\06-23-CR-004 CP01-13 Riviera (Azizi)" xr:uid="{C2C60AB2-35BC-40D8-A216-2FE1B7EC1260}"/>
    <hyperlink ref="C12" r:id="rId6" tooltip="Click to follow the hyperlink" display="\\cclserver\DATA\Q 2020\CCL STRENGTHENING\Dubai\2023\R1.5574.23 Palm Beach Towers" xr:uid="{344BDC27-3A1E-4BBB-A33F-259FC65486BB}"/>
    <hyperlink ref="C13" r:id="rId7" tooltip="Click to follow the hyperlink" display="\\cclserver\DATA\P 2020\03 CR Projects\06-21-CR-005 Marsa Al Arab\Construction phase" xr:uid="{5FEB16D2-5E5A-41C6-B06E-197F6423FE99}"/>
    <hyperlink ref="C14" r:id="rId8" tooltip="Click to follow the hyperlink" display="\\cclserver\DATA\Q 2020\CCL STRENGTHENING\Dubai\2021\R1.5261.21 Al Wasl Tower" xr:uid="{8914632D-F076-49E2-888D-1FC6A4217017}"/>
    <hyperlink ref="C15" r:id="rId9" tooltip="Click to follow the hyperlink" display="\\cclserver\DATA\Q 2020\CCL STRENGTHENING\Dubai\2023\R1.5583.23 Gold Souk Dubai mall" xr:uid="{0E0EA486-26B1-466A-AD64-F6B31D104710}"/>
    <hyperlink ref="C16" r:id="rId10" tooltip="Click to follow the hyperlink" display="\\cclserver\DATA\P 2020\03 CR Projects\06-20-CR-002 MEDORE Tower\Construction Phase\" xr:uid="{8B3B90CA-ED57-42A5-BF82-245F35D295F4}"/>
    <hyperlink ref="C17" r:id="rId11" tooltip="Click to follow the hyperlink" display="\\cclserver\DATA\P 2020\03 CR Projects\06-21-CR-005 Marsa Al Arab\Construction phase" xr:uid="{BA0C78DF-01A6-4366-A00A-1892CD71361E}"/>
    <hyperlink ref="C18" r:id="rId12" tooltip="Click to follow the hyperlink" display="\\cclserver\DATA\Q 2020\CCL STRENGTHENING\Dubai\2021\R1.5261.21 Al Wasl Tower" xr:uid="{3407C77D-90AF-4B56-9EBE-8D19B2A3ACCC}"/>
    <hyperlink ref="C19" r:id="rId13" tooltip="Click to follow the hyperlink" display="\\cclserver\DATA\Q 2020\CCL STRENGTHENING\Dubai\2023\R1.5583.23 Gold Souk Dubai mall" xr:uid="{FCAFE3E4-8A34-4AF6-85DA-A41BE726A0B0}"/>
    <hyperlink ref="C20" r:id="rId14" tooltip="Click to follow the hyperlink" display="\\cclserver\DATA\Q 2020\CCL STRENGTHENING\Dubai\2023\R1.5561.23 CP01-13 Meydan One" xr:uid="{750126AC-752E-46A3-98BA-B1D488D1FC8C}"/>
    <hyperlink ref="C21" r:id="rId15" tooltip="Click to follow the hyperlink" display="\\cclserver\DATA\P 2020\03 CR Projects\06-21-CR-005 Marsa Al Arab\Construction phase" xr:uid="{656F3606-9483-4181-A8E8-9A9139671E94}"/>
    <hyperlink ref="C22" r:id="rId16" tooltip="Click to follow the hyperlink" display="\\cclserver\DATA\P 2020\03 CR Projects\06-21-CR-005 Marsa Al Arab\Construction phase" xr:uid="{CB3105E1-10C0-4D69-B85C-82641DD649D3}"/>
    <hyperlink ref="C23" r:id="rId17" tooltip="Click to follow the hyperlink" display="\\cclserver\DATA\Q 2020\CCL STRENGTHENING\Dubai\2021\R1.5261.21 Al Wasl Tower" xr:uid="{713A758B-1183-439A-8F4C-50AE5866F524}"/>
    <hyperlink ref="C24" r:id="rId18" tooltip="Click to follow the hyperlink" display="\\cclserver\DATA\P 2020\03 CR Projects\06-22-CR-011 Park Avenue 3 (Azizi)" xr:uid="{13C49E76-30BC-4732-95DF-99328927325E}"/>
    <hyperlink ref="C25" r:id="rId19" tooltip="Click to follow the hyperlink" display="\\cclserver\DATA\P 2020\03 CR Projects\06-20-CR-002 MEDORE Tower\Construction Phase\" xr:uid="{F11B9244-C977-413A-86BE-955EAFB63067}"/>
    <hyperlink ref="C26" r:id="rId20" tooltip="Click to follow the hyperlink" display="\\cclserver\DATA\Q 2020\CCL STRENGTHENING\Dubai\2023\R1.5583.23 Gold Souk Dubai mall" xr:uid="{F8B1CACF-28F2-4AF0-B05F-1CDA80CBA19C}"/>
    <hyperlink ref="C27" r:id="rId21" tooltip="Click to follow the hyperlink" display="\\cclserver\DATA\Q 2020\CCL STRENGTHENING\Dubai\2023\R1.5561.23 CP01-13 Meydan One" xr:uid="{D34AC0F7-6D35-423C-8EDC-169EDCBB01ED}"/>
    <hyperlink ref="C28" r:id="rId22" tooltip="Click to follow the hyperlink" display="\\cclserver\DATA\Q 2020\CCL STRENGTHENING\Dubai\2023\R1.5574.23 Palm Beach Towers" xr:uid="{AD629996-92E5-4ADB-A272-42494AE4646E}"/>
    <hyperlink ref="C29" r:id="rId23" tooltip="Click to follow the hyperlink" display="\\cclserver\DATA\P 2020\03 CR Projects\06-21-CR-005 Marsa Al Arab\Construction phase" xr:uid="{84432267-22D5-4EB5-AACE-02CD4F9DD898}"/>
    <hyperlink ref="C30" r:id="rId24" tooltip="Click to follow the hyperlink" display="\\cclserver\DATA\P 2020\03 CR Projects\06-21-CR-005 Marsa Al Arab\Construction phase" xr:uid="{4E9B3B30-2FD0-432C-A032-B3ACB319B092}"/>
    <hyperlink ref="C31" r:id="rId25" tooltip="Click to follow the hyperlink" display="\\cclserver\DATA\Q 2020\CCL STRENGTHENING\Dubai\2021\R1.5261.21 Al Wasl Tower" xr:uid="{DFBF971D-678C-449C-B1CE-DB5C3CBE12C2}"/>
    <hyperlink ref="C32" r:id="rId26" tooltip="Click to follow the hyperlink" display="\\cclserver\DATA\P 2020\03 CR Projects\06-22-CR-011 Park Avenue 3 (Azizi)" xr:uid="{03FE8816-5AEC-4ACB-BFCC-B19A235DA830}"/>
    <hyperlink ref="C33" r:id="rId27" tooltip="Click to follow the hyperlink" display="\\cclserver\DATA\P 2020\03 CR Projects\06-20-CR-002 MEDORE Tower\Construction Phase\" xr:uid="{CAD5EE8C-366B-438B-BA57-ACC4753797F7}"/>
    <hyperlink ref="C34" r:id="rId28" tooltip="Click to follow the hyperlink" display="\\cclserver\DATA\Q 2020\CCL STRENGTHENING\Dubai\2023\R1.5583.23 Gold Souk Dubai mall" xr:uid="{87C39066-D108-4889-9EE4-F22A0F2FE632}"/>
    <hyperlink ref="C35" r:id="rId29" tooltip="Click to follow the hyperlink" display="\\cclserver\DATA\P 2020\03 CR Projects\06-22-CR-006 Prayer hall Al-Quoz (Towers United)" xr:uid="{60AF8F45-FF9D-4531-BED2-721FA1482636}"/>
    <hyperlink ref="C36" r:id="rId30" tooltip="Click to follow the hyperlink" display="\\cclserver\DATA\P 2020\03 CR Projects\06-21-CR-005 Marsa Al Arab\Construction phase" xr:uid="{9A56925D-80E6-48B8-BD71-5F96FA082BDD}"/>
    <hyperlink ref="C37" r:id="rId31" tooltip="Click to follow the hyperlink" display="\\cclserver\DATA\P 2020\03 CR Projects\06-21-CR-005 Marsa Al Arab\Construction phase" xr:uid="{94A262D7-06D5-4E66-AD29-B3B868D5939E}"/>
    <hyperlink ref="C38" r:id="rId32" tooltip="Click to follow the hyperlink" display="\\cclserver\DATA\Q 2020\CCL STRENGTHENING\Dubai\2021\R1.5261.21 Al Wasl Tower" xr:uid="{941950C8-CF25-43F0-B634-D1C31BC34E76}"/>
    <hyperlink ref="C39" r:id="rId33" tooltip="Click to follow the hyperlink" display="\\cclserver\DATA\P 2020\03 CR Projects\06-22-CR-011 Park Avenue 3 (Azizi)" xr:uid="{DB4B8695-30A7-4919-B482-8636E6FF682E}"/>
    <hyperlink ref="C40" r:id="rId34" tooltip="Click to follow the hyperlink" display="\\cclserver\DATA\P 2020\03 CR Projects\06-20-CR-002 MEDORE Tower\Construction Phase\" xr:uid="{7885FFA0-2E62-4D3C-A786-DAF603D157C2}"/>
    <hyperlink ref="C41" r:id="rId35" tooltip="Click to follow the hyperlink" display="\\cclserver\DATA\Q 2020\CCL STRENGTHENING\Dubai\2023\R1.5583.23 Gold Souk Dubai mall" xr:uid="{64BCA86B-7A6F-428D-9B98-EFB03E5AB62D}"/>
    <hyperlink ref="C42" r:id="rId36" tooltip="Click to follow the hyperlink" display="\\cclserver\DATA\P 2020\03 CR Projects\06-22-CR-006 Prayer hall Al-Quoz (Towers United)" xr:uid="{E1D69B55-870B-40DF-A44E-3B7988EA8442}"/>
    <hyperlink ref="C43" r:id="rId37" tooltip="Click to follow the hyperlink" display="\\cclserver\DATA\P 2020\03 CR Projects\06-22-CR-009 Profile Residence" xr:uid="{04C8A4EB-CF6C-4B5E-BA14-B73FBEA12CA3}"/>
    <hyperlink ref="C44" r:id="rId38" tooltip="Click to follow the hyperlink" display="\\cclserver\DATA\P 2020\03 CR Projects\06-21-CR-005 Marsa Al Arab\Construction phase" xr:uid="{7E39D5EE-4BE6-4F14-A826-21D81EAB8753}"/>
    <hyperlink ref="C45" r:id="rId39" tooltip="Click to follow the hyperlink" display="\\cclserver\DATA\P 2020\03 CR Projects\06-21-CR-005 Marsa Al Arab\Construction phase" xr:uid="{02CC1040-EA18-4841-9843-F4202C63A3DF}"/>
    <hyperlink ref="C46" r:id="rId40" tooltip="Click to follow the hyperlink" display="\\cclserver\DATA\Q 2020\CCL STRENGTHENING\Dubai\2021\R1.5261.21 Al Wasl Tower" xr:uid="{827EFDE0-2341-4FC5-A449-0776C5E1E38D}"/>
    <hyperlink ref="C47" r:id="rId41" tooltip="Click to follow the hyperlink" display="\\cclserver\DATA\P 2020\03 CR Projects\06-22-CR-011 Park Avenue 3 (Azizi)" xr:uid="{8D116F32-C7ED-40A7-97D8-A487230A53D6}"/>
    <hyperlink ref="C48" r:id="rId42" tooltip="Click to follow the hyperlink" display="\\cclserver\DATA\P 2020\03 CR Projects\06-20-CR-002 MEDORE Tower\Construction Phase\" xr:uid="{166B3886-D0A1-4DDA-9398-EBD4F833B4ED}"/>
    <hyperlink ref="C49" r:id="rId43" tooltip="Click to follow the hyperlink" display="\\cclserver\DATA\P 2020\03 CR Projects\06-22-CR-009 Profile Residence" xr:uid="{30501B58-5370-4BFB-B576-C75C6D99DD05}"/>
    <hyperlink ref="C50" r:id="rId44" tooltip="Click to follow the hyperlink" display="\\cclserver\DATA\P 2020\03 CR Projects\06-21-CR-005 Marsa Al Arab\Construction phase" xr:uid="{9AB08433-AC09-4E88-98EE-13F941C55152}"/>
    <hyperlink ref="C51" r:id="rId45" tooltip="Click to follow the hyperlink" display="\\cclserver\DATA\P 2020\03 CR Projects\06-21-CR-005 Marsa Al Arab\Construction phase" xr:uid="{227895D9-4BD6-4339-BC3B-23E30727A1E3}"/>
    <hyperlink ref="C52" r:id="rId46" tooltip="Click to follow the hyperlink" display="\\cclserver\DATA\Q 2020\CCL STRENGTHENING\Dubai\2023\R1.5574.23 Palm Beach Towers" xr:uid="{5B81E26B-9B7E-4E44-88A0-EECB1FB3F351}"/>
    <hyperlink ref="C53" r:id="rId47" tooltip="Click to follow the hyperlink" display="\\cclserver\DATA\Q 2020\CCL STRENGTHENING\Dubai\2021\R1.5261.21 Al Wasl Tower" xr:uid="{A6AFAA58-5726-4175-BCF7-E6AEC4207CEA}"/>
    <hyperlink ref="C54" r:id="rId48" tooltip="Click to follow the hyperlink" display="\\cclserver\DATA\P 2020\03 CR Projects\06-22-CR-011 Park Avenue 3 (Azizi)" xr:uid="{643D9CB1-B27D-4AAA-9F0B-9F46972CF40B}"/>
    <hyperlink ref="C55" r:id="rId49" tooltip="Click to follow the hyperlink" display="\\cclserver\DATA\Q 2020\CCL STRENGTHENING\Dubai\2023\R1.5561.23 CP01-13 Meydan One" xr:uid="{ED190176-C4B6-481B-A583-1F22701F331E}"/>
    <hyperlink ref="C56" r:id="rId50" tooltip="Click to follow the hyperlink" display="\\cclserver\DATA\P 2020\01 Dubai\06-23-BU-003 Omniyat Plot 17A Palm" xr:uid="{2B42E607-547F-4D37-8C9A-2F6C4F8D501B}"/>
    <hyperlink ref="C57" r:id="rId51" tooltip="Click to follow the hyperlink" display="\\cclserver\DATA\P 2020\03 CR Projects\06-20-CR-002 MEDORE Tower\Construction Phase\" xr:uid="{D57D7585-8567-4DF9-BC8A-ADB7A49B855E}"/>
    <hyperlink ref="C58" r:id="rId52" tooltip="Click to follow the hyperlink" display="\\cclserver\DATA\P 2020\03 CR Projects\06-22-CR-009 Profile Residence" xr:uid="{6FEC6A76-E3FF-4261-9924-0076C6F33B00}"/>
    <hyperlink ref="C59" r:id="rId53" tooltip="Click to follow the hyperlink" display="\\cclserver\DATA\P 2020\03 CR Projects\06-21-CR-005 Marsa Al Arab\Construction phase" xr:uid="{F9858C4F-57F9-4299-BCA9-27335DA7C9A1}"/>
    <hyperlink ref="C60" r:id="rId54" tooltip="Click to follow the hyperlink" display="\\cclserver\DATA\P 2020\03 CR Projects\06-21-CR-005 Marsa Al Arab\Construction phase" xr:uid="{948657F5-975B-4AE3-941E-1A67EE7DF5B6}"/>
    <hyperlink ref="C61" r:id="rId55" tooltip="Click to follow the hyperlink" display="\\cclserver\DATA\Q 2020\CCL STRENGTHENING\Dubai\2023\R1.5574.23 Palm Beach Towers" xr:uid="{0403CBB8-0712-4013-930C-813E17468781}"/>
    <hyperlink ref="C62" r:id="rId56" tooltip="Click to follow the hyperlink" display="\\cclserver\DATA\Q 2020\CCL STRENGTHENING\Dubai\2021\R1.5261.21 Al Wasl Tower" xr:uid="{6AFA6D7F-F549-43E0-8B55-15415B044D8A}"/>
    <hyperlink ref="C63" r:id="rId57" tooltip="Click to follow the hyperlink" display="\\cclserver\DATA\P 2020\03 CR Projects\06-22-CR-014 Saudi German Hospital Mirdif" xr:uid="{DDFE3594-10CE-4670-BB5A-AECB508163C6}"/>
    <hyperlink ref="C64" r:id="rId58" tooltip="Click to follow the hyperlink" display="\\cclserver\DATA\P 2020\03 CR Projects\06-20-CR-002 MEDORE Tower\Construction Phase\" xr:uid="{E000DBC6-45B1-4BA7-960C-20F6D0DB99AB}"/>
    <hyperlink ref="C65" r:id="rId59" tooltip="Click to follow the hyperlink" display="\\cclserver\DATA\P 2020\03 CR Projects\06-22-CR-011 Park Avenue 3 (Azizi)" xr:uid="{B099D1BD-609B-4ED8-A98F-5F96B6206017}"/>
    <hyperlink ref="C66" r:id="rId60" tooltip="Click to follow the hyperlink" display="\\cclserver\DATA\P 2020\03 CR Projects\06-22-CR-009 Profile Residence" xr:uid="{B0811A11-64DB-4207-BE6C-4B839C50A33B}"/>
    <hyperlink ref="C67" r:id="rId61" tooltip="Click to follow the hyperlink" display="\\cclserver\DATA\P 2020\03 CR Projects\06-21-CR-005 Marsa Al Arab\Construction phase" xr:uid="{E778E93E-659F-4962-955B-63AB88163F3F}"/>
    <hyperlink ref="C68" r:id="rId62" tooltip="Click to follow the hyperlink" display="\\cclserver\DATA\P 2020\03 CR Projects\06-22-CR-011 Park Avenue 3 (Azizi)" xr:uid="{CDF5E0D6-7FCE-4542-B016-C2F5193D9269}"/>
    <hyperlink ref="C69" r:id="rId63" tooltip="Click to follow the hyperlink" display="\\cclserver\DATA\P 2020\03 CR Projects\06-21-CR-005 Marsa Al Arab\Construction phase" xr:uid="{17FA79BA-DF8F-4CA8-852E-EA5517CEC7B0}"/>
    <hyperlink ref="C70" r:id="rId64" tooltip="Click to follow the hyperlink" display="\\cclserver\DATA\Q 2020\CCL STRENGTHENING\Dubai\2023\R1.5574.23 Palm Beach Towers" xr:uid="{C80A9F00-D88B-4045-855E-FF4174A25D2F}"/>
    <hyperlink ref="C71" r:id="rId65" tooltip="Click to follow the hyperlink" display="\\cclserver\DATA\Q 2020\CCL STRENGTHENING\Dubai\2021\R1.5261.21 Al Wasl Tower" xr:uid="{B8BB972E-F435-4A59-9D56-4ACDBD955C9B}"/>
    <hyperlink ref="C72" r:id="rId66" tooltip="Click to follow the hyperlink" display="\\cclserver\DATA\P 2020\03 CR Projects\06-22-CR-014 Saudi German Hospital Mirdif" xr:uid="{0ED626D6-5E39-40B3-A277-5E0FE79EB4D2}"/>
    <hyperlink ref="C73" r:id="rId67" tooltip="Click to follow the hyperlink" display="\\cclserver\DATA\P 2020\03 CR Projects\06-20-CR-002 MEDORE Tower\Construction Phase\" xr:uid="{04D395B0-DF71-49BA-BD7D-05266AAAFA2F}"/>
    <hyperlink ref="C74" r:id="rId68" tooltip="Click to follow the hyperlink" display="\\cclserver\DATA\P 2020\03 CR Projects\06-22-CR-006 Prayer hall Al-Quoz (Towers United)" xr:uid="{CD1B31F8-4CD0-4EAB-A347-3CC5CBC4796C}"/>
    <hyperlink ref="C75" r:id="rId69" tooltip="Click to follow the hyperlink" display="\\cclserver\DATA\P 2020\03 CR Projects\06-22-CR-009 Profile Residence" xr:uid="{18FD8EED-7EF5-419C-8D6C-030522572574}"/>
    <hyperlink ref="C76" r:id="rId70" tooltip="Click to follow the hyperlink" display="\\cclserver\DATA\P 2020\03 CR Projects\06-21-CR-005 Marsa Al Arab\Construction phase" xr:uid="{E9FFB605-1305-4487-AB28-B0129D8AB4D6}"/>
    <hyperlink ref="C77" r:id="rId71" tooltip="Click to follow the hyperlink" display="\\cclserver\DATA\P 2020\03 CR Projects\06-22-CR-011 Park Avenue 3 (Azizi)" xr:uid="{3B3C1CE3-734B-4070-9FBE-0F141F099F70}"/>
    <hyperlink ref="C78" r:id="rId72" tooltip="Click to follow the hyperlink" display="\\cclserver\DATA\P 2020\03 CR Projects\06-21-CR-005 Marsa Al Arab\Construction phase" xr:uid="{4F058F86-1203-4CB9-B1CC-8FDF3A90F9F9}"/>
    <hyperlink ref="C79" r:id="rId73" tooltip="Click to follow the hyperlink" display="\\cclserver\DATA\Q 2020\CCL STRENGTHENING\Dubai\2023\R1.5574.23 Palm Beach Towers" xr:uid="{9D4A0711-399D-4270-96EC-97B9440571ED}"/>
    <hyperlink ref="C80" r:id="rId74" tooltip="Click to follow the hyperlink" display="\\cclserver\DATA\Q 2020\CCL STRENGTHENING\Dubai\2021\R1.5261.21 Al Wasl Tower" xr:uid="{8B4F15E5-0A86-406D-95D8-FC525CF992BF}"/>
    <hyperlink ref="C81" r:id="rId75" tooltip="Click to follow the hyperlink" display="\\cclserver\DATA\P 2020\03 CR Projects\06-22-CR-014 Saudi German Hospital Mirdif" xr:uid="{C59C5C43-D796-4343-86B7-0C08A5F9127D}"/>
    <hyperlink ref="C82" r:id="rId76" tooltip="Click to follow the hyperlink" display="\\cclserver\DATA\P 2020\03 CR Projects\06-20-CR-002 MEDORE Tower\Construction Phase\" xr:uid="{30581D79-11FE-40CD-90F0-34224D22486A}"/>
    <hyperlink ref="C83" r:id="rId77" tooltip="Click to follow the hyperlink" display="\\cclserver\DATA\P 2020\03 CR Projects\06-22-CR-009 Profile Residence" xr:uid="{474AD3C1-2A51-496C-9A5F-44AC1AD09D6D}"/>
    <hyperlink ref="C84" r:id="rId78" tooltip="Click to follow the hyperlink" display="\\cclserver\DATA\P 2020\03 CR Projects\06-21-CR-005 Marsa Al Arab\Construction phase" xr:uid="{879D1ECA-5708-4CA6-9C08-D5B1C54FF71D}"/>
    <hyperlink ref="C85" r:id="rId79" tooltip="Click to follow the hyperlink" display="\\cclserver\DATA\P 2020\03 CR Projects\06-22-CR-011 Park Avenue 3 (Azizi)" xr:uid="{F3B431AE-2B7F-48DE-B28D-578560C77C6A}"/>
    <hyperlink ref="C86" r:id="rId80" tooltip="Click to follow the hyperlink" display="\\cclserver\DATA\P 2020\03 CR Projects\06-21-CR-005 Marsa Al Arab\Construction phase" xr:uid="{B954C7D8-CC1C-42D9-8E17-C4A402BD7225}"/>
    <hyperlink ref="C87" r:id="rId81" tooltip="Click to follow the hyperlink" display="\\cclserver\DATA\Q 2020\CCL STRENGTHENING\Dubai\2023\R1.5574.23 Palm Beach Towers" xr:uid="{666376BE-0B76-4E93-93F7-8E59380B0ABE}"/>
    <hyperlink ref="C88" r:id="rId82" tooltip="Click to follow the hyperlink" display="\\cclserver\DATA\Q 2020\CCL STRENGTHENING\Dubai\2021\R1.5261.21 Al Wasl Tower" xr:uid="{1F3D5FD1-ECCC-4608-B927-AC7A11E9F491}"/>
    <hyperlink ref="C89" r:id="rId83" tooltip="Click to follow the hyperlink" display="\\cclserver\DATA\P 2020\03 CR Projects\06-22-CR-014 Saudi German Hospital Mirdif" xr:uid="{8B1F76C6-2D02-4CD8-8B84-BAB808BBDBE4}"/>
    <hyperlink ref="C90" r:id="rId84" tooltip="Click to follow the hyperlink" display="\\cclserver\DATA\P 2020\03 CR Projects\06-22-CR-006 Prayer hall Al-Quoz (Towers United)" xr:uid="{B2AD43B5-4A47-4662-B170-71B036C42030}"/>
    <hyperlink ref="C91" r:id="rId85" tooltip="Click to follow the hyperlink" display="\\cclserver\DATA\P 2020\03 CR Projects\06-22-CR-009 Profile Residence" xr:uid="{1F2A3BDA-E237-4D60-B67F-51D8BC20051D}"/>
    <hyperlink ref="C92" r:id="rId86" tooltip="Click to follow the hyperlink" display="\\cclserver\DATA\P 2020\03 CR Projects\06-21-CR-005 Marsa Al Arab\Construction phase" xr:uid="{D77FDCAD-4C9E-43A8-BD76-C3E089309603}"/>
    <hyperlink ref="C93" r:id="rId87" tooltip="Click to follow the hyperlink" display="\\cclserver\DATA\P 2020\03 CR Projects\06-22-CR-011 Park Avenue 3 (Azizi)" xr:uid="{2E885C8C-9E4D-4623-A6E8-C24743224B49}"/>
    <hyperlink ref="C94" r:id="rId88" tooltip="Click to follow the hyperlink" display="\\cclserver\DATA\P 2020\03 CR Projects\06-21-CR-005 Marsa Al Arab\Construction phase" xr:uid="{37BB3A80-A3CF-4A76-93BE-0A3423AAE296}"/>
    <hyperlink ref="C95" r:id="rId89" tooltip="Click to follow the hyperlink" display="\\cclserver\DATA\Q 2020\CCL STRENGTHENING\Dubai\2023\R1.5574.23 Palm Beach Towers" xr:uid="{9E984092-3FE1-4267-83DA-64ACCF16B275}"/>
    <hyperlink ref="C96" r:id="rId90" tooltip="Click to follow the hyperlink" display="\\cclserver\DATA\Q 2020\CCL STRENGTHENING\Dubai\2021\R1.5261.21 Al Wasl Tower" xr:uid="{005A0EB7-D1FB-450D-BC8A-5E6E22D9B3E9}"/>
    <hyperlink ref="C97" r:id="rId91" tooltip="Click to follow the hyperlink" display="\\cclserver\DATA\P 2020\03 CR Projects\06-22-CR-014 Saudi German Hospital Mirdif" xr:uid="{06B0D739-83CE-4B85-9031-61939EB5BD57}"/>
    <hyperlink ref="C98" r:id="rId92" tooltip="Click to follow the hyperlink" display="\\cclserver\DATA\P 2020\03 CR Projects\06-22-CR-009 Profile Residence" xr:uid="{1AD7BE28-635F-4A99-B075-91809D3143CE}"/>
    <hyperlink ref="C99" r:id="rId93" tooltip="Click to follow the hyperlink" display="\\cclserver\DATA\P 2020\03 CR Projects\06-21-CR-005 Marsa Al Arab\Construction phase" xr:uid="{4C06E9C0-1E86-4D58-94DA-4C2DFBED3A10}"/>
    <hyperlink ref="C100" r:id="rId94" tooltip="Click to follow the hyperlink" display="\\cclserver\DATA\P 2020\03 CR Projects\06-22-CR-011 Park Avenue 3 (Azizi)" xr:uid="{74AFCB12-7D67-45DE-8B00-E31A46C5DE05}"/>
    <hyperlink ref="C101" r:id="rId95" tooltip="Click to follow the hyperlink" display="\\cclserver\DATA\P 2020\03 CR Projects\06-21-CR-005 Marsa Al Arab\Construction phase" xr:uid="{F4CF073E-1802-4969-B91F-A1BE270B3E15}"/>
    <hyperlink ref="C102" r:id="rId96" tooltip="Click to follow the hyperlink" display="\\cclserver\DATA\Q 2020\CCL STRENGTHENING\Dubai\2023\R1.5574.23 Palm Beach Towers" xr:uid="{CD38FBB3-BCA9-49BF-BA76-57A6BEAD6C27}"/>
    <hyperlink ref="C103" r:id="rId97" tooltip="Click to follow the hyperlink" display="\\cclserver\DATA\Q 2020\CCL STRENGTHENING\Dubai\2021\R1.5261.21 Al Wasl Tower" xr:uid="{7CBF8459-9324-4181-B958-EC802B5817A0}"/>
    <hyperlink ref="C104" r:id="rId98" tooltip="Click to follow the hyperlink" display="\\cclserver\DATA\P 2020\03 CR Projects\06-22-CR-006 Prayer hall Al-Quoz (Towers United)" xr:uid="{F5358320-48D0-47B5-90CC-FB54FF770ADA}"/>
    <hyperlink ref="C105" r:id="rId99" tooltip="Click to follow the hyperlink" display="\\cclserver\DATA\P 2020\03 CR Projects\06-22-CR-009 Profile Residence" xr:uid="{EEEAF547-B20D-4549-9AF9-FE7B32249C73}"/>
    <hyperlink ref="C106" r:id="rId100" tooltip="Click to follow the hyperlink" display="\\cclserver\DATA\P 2020\03 CR Projects\06-21-CR-005 Marsa Al Arab\Construction phase" xr:uid="{B5384B95-1D29-42ED-9ECA-0B3CDB0BC8B8}"/>
    <hyperlink ref="C107" r:id="rId101" tooltip="Click to follow the hyperlink" display="\\cclserver\DATA\P 2020\03 CR Projects\06-22-CR-011 Park Avenue 3 (Azizi)" xr:uid="{DA6B6F8D-4695-4EDC-ABBB-C71EBCEFCB84}"/>
    <hyperlink ref="C108" r:id="rId102" tooltip="Click to follow the hyperlink" display="\\cclserver\DATA\P 2020\03 CR Projects\06-21-CR-005 Marsa Al Arab\Construction phase" xr:uid="{736949B7-4450-4B10-A6AE-3DA930375997}"/>
    <hyperlink ref="C109" r:id="rId103" tooltip="Click to follow the hyperlink" display="\\cclserver\DATA\Q 2020\CCL STRENGTHENING\Dubai\2023\R1.5561.23 CP01-13 Meydan One" xr:uid="{3CC3199D-B308-4EF9-92AB-8F148D7471ED}"/>
    <hyperlink ref="C110" r:id="rId104" tooltip="Click to follow the hyperlink" display="\\cclserver\DATA\Q 2020\CCL STRENGTHENING\Dubai\2023\R1.5574.23 Palm Beach Towers" xr:uid="{1B7BE267-1F5D-410A-AAB3-42D1063521A9}"/>
    <hyperlink ref="C111" r:id="rId105" tooltip="Click to follow the hyperlink" display="\\cclserver\DATA\Q 2020\CCL STRENGTHENING\Dubai\2021\R1.5261.21 Al Wasl Tower" xr:uid="{09D7D469-0275-4886-B260-D94972371F8E}"/>
    <hyperlink ref="C112" r:id="rId106" tooltip="Click to follow the hyperlink" display="\\cclserver\DATA\P 2020\03 CR Projects\06-22-CR-009 Profile Residence" xr:uid="{031696A5-FC69-4C43-BF87-90B2F6558D20}"/>
    <hyperlink ref="C113" r:id="rId107" tooltip="Click to follow the hyperlink" display="\\cclserver\DATA\P 2020\03 CR Projects\06-21-CR-005 Marsa Al Arab\Construction phase" xr:uid="{CD0B1F7D-1741-4635-9803-369A9C179D36}"/>
    <hyperlink ref="C114" r:id="rId108" tooltip="Click to follow the hyperlink" display="\\cclserver\DATA\P 2020\03 CR Projects\06-22-CR-011 Park Avenue 3 (Azizi)" xr:uid="{CC6F8585-0C52-4D67-9FFF-8CD2E1C9E58E}"/>
    <hyperlink ref="C115" r:id="rId109" tooltip="Click to follow the hyperlink" display="\\cclserver\DATA\P 2020\03 CR Projects\06-21-CR-005 Marsa Al Arab\Construction phase" xr:uid="{AA5E1906-4EA8-43C9-A16D-A1ED8830CBE5}"/>
    <hyperlink ref="C116" r:id="rId110" tooltip="Click to follow the hyperlink" display="\\cclserver\DATA\Q 2020\CCL STRENGTHENING\Dubai\2023\R1.5561.23 CP01-13 Meydan One" xr:uid="{F075E6C9-63F1-46A7-B678-5964AEAFCAB4}"/>
    <hyperlink ref="C117" r:id="rId111" tooltip="Click to follow the hyperlink" display="\\cclserver\DATA\Q 2020\CCL STRENGTHENING\Dubai\2023\R1.5574.23 Palm Beach Towers" xr:uid="{183A8AFF-BB4D-4298-869F-C1509175840B}"/>
    <hyperlink ref="C118" r:id="rId112" tooltip="Click to follow the hyperlink" display="\\cclserver\DATA\P 2020\03 CR Projects\06-22-CR-009 Profile Residence" xr:uid="{C9247A2C-B691-4772-9FBE-42ABC647C23D}"/>
    <hyperlink ref="C119" r:id="rId113" tooltip="Click to follow the hyperlink" display="\\cclserver\DATA\P 2020\03 CR Projects\06-21-CR-005 Marsa Al Arab\Construction phase" xr:uid="{AC32875F-45CA-4914-9040-557CA953EDEA}"/>
    <hyperlink ref="C120" r:id="rId114" tooltip="Click to follow the hyperlink" display="\\cclserver\DATA\P 2020\03 CR Projects\06-22-CR-011 Park Avenue 3 (Azizi)" xr:uid="{D15D6472-E1C5-4D02-B242-9AEDB24162E1}"/>
    <hyperlink ref="C121" r:id="rId115" tooltip="Click to follow the hyperlink" display="\\cclserver\DATA\P 2020\03 CR Projects\06-21-CR-005 Marsa Al Arab\Construction phase" xr:uid="{CD944896-DCBF-491A-A4EF-A2AC66519165}"/>
    <hyperlink ref="C122" r:id="rId116" tooltip="Click to follow the hyperlink" display="\\cclserver\DATA\Q 2020\CCL STRENGTHENING\Dubai\2023\R1.5561.23 CP01-13 Meydan One" xr:uid="{69C9D821-F5BB-4C88-86AE-3D0CD7A42075}"/>
    <hyperlink ref="C123" r:id="rId117" tooltip="Click to follow the hyperlink" display="\\cclserver\DATA\Q 2020\CCL STRENGTHENING\Dubai\2023\R1.5574.23 Palm Beach Towers" xr:uid="{2EE6B638-14FD-4C7E-9FFA-C7E14D3D53BD}"/>
    <hyperlink ref="C124" r:id="rId118" tooltip="Click to follow the hyperlink" display="\\cclserver\DATA\Q 2020\CCL STRENGTHENING\Dubai\2023\R1.5567.23 CP03-005" xr:uid="{EA5C8418-2E73-4750-A72F-DC37AF78AF21}"/>
    <hyperlink ref="C125" r:id="rId119" tooltip="Click to follow the hyperlink" display="\\cclserver\DATA\Q 2020\CCL STRENGTHENING\Dubai\2021\R1.5261.21 Al Wasl Tower" xr:uid="{ADC90378-6D0A-4DC4-BFC9-8EE536D25F25}"/>
    <hyperlink ref="C127" r:id="rId120" tooltip="Click to follow the hyperlink" display="\\cclserver\DATA\P 2020\03 CR Projects\06-22-CR-009 Profile Residence" xr:uid="{F3405D0E-4588-49B7-A16B-6A980B2941CB}"/>
    <hyperlink ref="C128" r:id="rId121" tooltip="Click to follow the hyperlink" display="\\cclserver\DATA\P 2020\03 CR Projects\06-21-CR-005 Marsa Al Arab\Construction phase" xr:uid="{061FD6D8-9737-4AB9-BF3C-05EE8D74C370}"/>
    <hyperlink ref="C129" r:id="rId122" tooltip="Click to follow the hyperlink" display="\\cclserver\DATA\P 2020\03 CR Projects\06-22-CR-011 Park Avenue 3 (Azizi)" xr:uid="{19A4C096-22F8-45F6-9927-0D458260A61F}"/>
    <hyperlink ref="C130" r:id="rId123" tooltip="Click to follow the hyperlink" display="\\cclserver\DATA\P 2020\03 CR Projects\06-21-CR-005 Marsa Al Arab\Construction phase" xr:uid="{4D161992-44C6-4E15-8EA8-A7D8B47D3F14}"/>
    <hyperlink ref="C131" r:id="rId124" tooltip="Click to follow the hyperlink" display="\\cclserver\DATA\Q 2020\CCL STRENGTHENING\Dubai\2023\R1.5561.23 CP01-13 Meydan One" xr:uid="{8C01AB29-CA12-45A6-B43F-B081CD783410}"/>
    <hyperlink ref="C132" r:id="rId125" tooltip="Click to follow the hyperlink" display="\\cclserver\DATA\Q 2020\CCL STRENGTHENING\Dubai\2023\R1.5574.23 Palm Beach Towers" xr:uid="{D0C943E3-DF45-46C7-8DB0-D337FFEAA3BF}"/>
    <hyperlink ref="C133" r:id="rId126" tooltip="Click to follow the hyperlink" display="\\cclserver\DATA\Q 2020\CCL STRENGTHENING\Dubai\2023\R1.5567.23 CP03-005" xr:uid="{809B0740-B454-4F6A-8E4D-563C4B83A52F}"/>
    <hyperlink ref="C134" r:id="rId127" tooltip="Click to follow the hyperlink" display="\\cclserver\DATA\P 2020\03 CR Projects\06-22-CR-009 Profile Residence" xr:uid="{931605E0-ABEC-4E8A-8A36-6711EBB62D4D}"/>
    <hyperlink ref="C135" r:id="rId128" tooltip="Click to follow the hyperlink" display="\\cclserver\DATA\P 2020\03 CR Projects\06-21-CR-005 Marsa Al Arab\Construction phase" xr:uid="{9B9EAAD9-1820-4CCC-A22F-FF53707213AD}"/>
    <hyperlink ref="C136" r:id="rId129" tooltip="Click to follow the hyperlink" display="\\cclserver\DATA\P 2020\03 CR Projects\06-22-CR-011 Park Avenue 3 (Azizi)" xr:uid="{3D9EE74A-B627-486A-9174-F952897D18F6}"/>
    <hyperlink ref="C137" r:id="rId130" tooltip="Click to follow the hyperlink" display="\\cclserver\DATA\P 2020\03 CR Projects\06-21-CR-005 Marsa Al Arab\Construction phase" xr:uid="{0E5F2B3F-D4D4-4D3B-A41C-3CA9958B1D0E}"/>
    <hyperlink ref="C138" r:id="rId131" tooltip="Click to follow the hyperlink" display="\\cclserver\DATA\Q 2020\CCL STRENGTHENING\Dubai\2023\R1.5561.23 CP01-13 Meydan One" xr:uid="{C04DB8CB-3785-48DA-AC1F-AFF8FBBC8CE2}"/>
    <hyperlink ref="C139" r:id="rId132" tooltip="Click to follow the hyperlink" display="\\cclserver\DATA\Q 2020\CCL STRENGTHENING\Dubai\2023\R1.5574.23 Palm Beach Towers" xr:uid="{2D7BB879-5CC5-4C22-BA82-688BCA9F0A32}"/>
    <hyperlink ref="C140" r:id="rId133" tooltip="Click to follow the hyperlink" display="\\cclserver\DATA\Q 2020\CCL STRENGTHENING\Dubai\2023\R1.5567.23 CP03-005" xr:uid="{17960E2F-B2A7-4B84-8182-DB693C1DF62C}"/>
    <hyperlink ref="C141" r:id="rId134" tooltip="Click to follow the hyperlink" display="\\cclserver\DATA\Q 2020\CCL STRENGTHENING\Dubai\2023\R1.5567.23 CP03-005" xr:uid="{17A4318C-F588-4422-B5E2-7A40E90FA314}"/>
    <hyperlink ref="C142" r:id="rId135" tooltip="Click to follow the hyperlink" display="\\cclserver\DATA\P 2020\03 CR Projects\06-22-CR-009 Profile Residence" xr:uid="{D54D6BA9-92A1-4D1A-9526-2C3FFD1DE694}"/>
    <hyperlink ref="C143" r:id="rId136" tooltip="Click to follow the hyperlink" display="\\cclserver\DATA\P 2020\03 CR Projects\06-21-CR-005 Marsa Al Arab\Construction phase" xr:uid="{DAEEAF92-5DFC-40B1-A404-D2B918DC06AB}"/>
    <hyperlink ref="C144" r:id="rId137" tooltip="Click to follow the hyperlink" display="\\cclserver\DATA\P 2020\03 CR Projects\06-22-CR-011 Park Avenue 3 (Azizi)" xr:uid="{93F7B579-5BE0-49CF-8C54-9A6610D33A69}"/>
    <hyperlink ref="C145" r:id="rId138" tooltip="Click to follow the hyperlink" display="\\cclserver\DATA\P 2020\03 CR Projects\06-21-CR-005 Marsa Al Arab\Construction phase" xr:uid="{AE6C8649-077F-4E4F-B559-349FF37C9DC4}"/>
    <hyperlink ref="C146" r:id="rId139" tooltip="Click to follow the hyperlink" display="\\cclserver\DATA\Q 2020\CCL STRENGTHENING\Dubai\2023\R1.5561.23 CP01-13 Meydan One" xr:uid="{1B75D441-DF77-4AD0-8EF0-22D768A9A286}"/>
    <hyperlink ref="C147" r:id="rId140" tooltip="Click to follow the hyperlink" display="\\cclserver\DATA\P 2020\03 CR Projects\06-22-CR-009 Profile Residence" xr:uid="{FCEAC84D-1297-451F-A261-E8009FA629A3}"/>
    <hyperlink ref="C148" r:id="rId141" tooltip="Click to follow the hyperlink" display="\\cclserver\DATA\P 2020\03 CR Projects\06-21-CR-005 Marsa Al Arab\Construction phase" xr:uid="{D9A0346B-EE9C-4C3D-B5BC-0473D3E38D02}"/>
    <hyperlink ref="C149" r:id="rId142" tooltip="Click to follow the hyperlink" display="\\cclserver\DATA\P 2020\03 CR Projects\06-22-CR-011 Park Avenue 3 (Azizi)" xr:uid="{3C4742C0-8D45-481B-A7A0-7032DE1F1606}"/>
    <hyperlink ref="C150" r:id="rId143" tooltip="Click to follow the hyperlink" display="\\cclserver\DATA\P 2020\03 CR Projects\06-21-CR-005 Marsa Al Arab\Construction phase" xr:uid="{36396774-6F51-4DD6-8D14-A99EE98ACD3A}"/>
    <hyperlink ref="C151" r:id="rId144" tooltip="Click to follow the hyperlink" display="\\cclserver\DATA\Q 2020\CCL STRENGTHENING\Dubai\2023\R1.5567.23 CP03-005" xr:uid="{271803EA-CC7C-453E-88CD-4CFF3347265A}"/>
    <hyperlink ref="C152" r:id="rId145" tooltip="Click to follow the hyperlink" display="\\cclserver\DATA\Q 2020\CCL STRENGTHENING\Dubai\2023\R1.5561.23 CP01-13 Meydan One" xr:uid="{F63AB9A0-AB4C-43E6-BD13-BB2FFA19B9C8}"/>
    <hyperlink ref="C153" r:id="rId146" tooltip="Click to follow the hyperlink" display="\\cclserver\DATA\P 2020\03 CR Projects\06-22-CR-006 Prayer hall Al-Quoz (Towers United)" xr:uid="{B41FF595-BC2A-4AAE-B82F-EE818FF08A52}"/>
    <hyperlink ref="C154" r:id="rId147" tooltip="Click to follow the hyperlink" display="\\cclserver\DATA\P 2020\03 CR Projects\06-22-CR-009 Profile Residence" xr:uid="{D71075ED-580D-475B-9D14-C9F2BE4F0993}"/>
    <hyperlink ref="C155" r:id="rId148" tooltip="Click to follow the hyperlink" display="\\cclserver\DATA\P 2020\03 CR Projects\06-21-CR-005 Marsa Al Arab\Construction phase" xr:uid="{5077C2C0-2DD8-4690-A626-876754BD8122}"/>
    <hyperlink ref="C156" r:id="rId149" tooltip="Click to follow the hyperlink" display="\\cclserver\DATA\P 2020\03 CR Projects\06-22-CR-011 Park Avenue 3 (Azizi)" xr:uid="{28741622-DDA4-4B3B-AB28-E9F53C7C1232}"/>
    <hyperlink ref="C157" r:id="rId150" tooltip="Click to follow the hyperlink" display="\\cclserver\DATA\P 2020\03 CR Projects\06-21-CR-005 Marsa Al Arab\Construction phase" xr:uid="{F3331B44-9ADD-4501-8BF6-3544314963EA}"/>
    <hyperlink ref="C158" r:id="rId151" tooltip="Click to follow the hyperlink" display="\\cclserver\DATA\Q 2020\CCL STRENGTHENING\Dubai\2023\R1.5567.23 CP03-005" xr:uid="{8A88F343-232D-4AF9-84C1-4673DF32F099}"/>
    <hyperlink ref="C159" r:id="rId152" tooltip="Click to follow the hyperlink" display="\\cclserver\DATA\P 2020\03 CR Projects\06-22-CR-006 Prayer hall Al-Quoz (Towers United)" xr:uid="{0BE28776-306B-4BCA-9BAB-C5B6D43EFA09}"/>
    <hyperlink ref="C160" r:id="rId153" tooltip="Click to follow the hyperlink" display="\\cclserver\DATA\P 2020\03 CR Projects\06-22-CR-009 Profile Residence" xr:uid="{17BAC6F6-A7CB-4F60-A15C-A8FDB15374ED}"/>
    <hyperlink ref="C161" r:id="rId154" tooltip="Click to follow the hyperlink" display="\\cclserver\DATA\P 2020\03 CR Projects\06-21-CR-005 Marsa Al Arab\Construction phase" xr:uid="{B5719FB2-F569-4943-BCE2-C2FB808B5989}"/>
    <hyperlink ref="C162" r:id="rId155" tooltip="Click to follow the hyperlink" display="\\cclserver\DATA\P 2020\03 CR Projects\06-22-CR-011 Park Avenue 3 (Azizi)" xr:uid="{6BE43090-237F-43C4-96B6-595DAF43602E}"/>
    <hyperlink ref="C163" r:id="rId156" tooltip="Click to follow the hyperlink" display="\\cclserver\DATA\P 2020\03 CR Projects\06-21-CR-005 Marsa Al Arab\Construction phase" xr:uid="{A10CF42F-0331-43A8-BFEC-774DF973F96B}"/>
    <hyperlink ref="C164" r:id="rId157" tooltip="Click to follow the hyperlink" display="\\cclserver\DATA\Q 2020\CCL STRENGTHENING\Dubai\2023\R1.5567.23 CP03-005" xr:uid="{7998340A-7247-4564-8DB6-600DE685CE0B}"/>
    <hyperlink ref="C165" r:id="rId158" tooltip="Click to follow the hyperlink" display="\\cclserver\DATA\P 2020\03 CR Projects\06-22-CR-006 Prayer hall Al-Quoz (Towers United)" xr:uid="{CAD38AFE-8C11-4AC2-A020-C8F3C4B9D3D7}"/>
    <hyperlink ref="C166" r:id="rId159" tooltip="Click to follow the hyperlink" display="\\cclserver\DATA\P 2020\03 CR Projects\06-22-CR-004 G+1 Private Villa &amp; Majlis" xr:uid="{238F680F-77F2-47F2-982E-367AA51311C8}"/>
    <hyperlink ref="C167" r:id="rId160" tooltip="Click to follow the hyperlink" display="\\cclserver\DATA\P 2020\03 CR Projects\06-20-CR-002 MEDORE Tower\Construction Phase\" xr:uid="{6C8BA695-61E7-4167-97E2-10ACFDADD409}"/>
    <hyperlink ref="C168" r:id="rId161" tooltip="Click to follow the hyperlink" display="\\cclserver\DATA\P 2020\03 CR Projects\06-22-CR-009 Profile Residence" xr:uid="{D50B977B-1ED7-49E4-A70A-379EBB3A83FA}"/>
    <hyperlink ref="C169" r:id="rId162" tooltip="Click to follow the hyperlink" display="\\cclserver\DATA\P 2020\03 CR Projects\06-21-CR-005 Marsa Al Arab\Construction phase" xr:uid="{4475E3E2-E5D9-4FDC-9320-A2C5AE0D6C44}"/>
    <hyperlink ref="C170" r:id="rId163" tooltip="Click to follow the hyperlink" display="\\cclserver\DATA\P 2020\03 CR Projects\06-22-CR-011 Park Avenue 3 (Azizi)" xr:uid="{543B7D3A-A6B3-42B2-81FF-70ECFCCE9775}"/>
    <hyperlink ref="C171" r:id="rId164" tooltip="Click to follow the hyperlink" display="\\cclserver\DATA\P 2020\03 CR Projects\06-21-CR-005 Marsa Al Arab\Construction phase" xr:uid="{2C3D43D0-5A01-4366-9632-52D463D75BD0}"/>
    <hyperlink ref="C172" r:id="rId165" tooltip="Click to follow the hyperlink" display="\\cclserver\DATA\Q 2020\CCL STRENGTHENING\Dubai\2023\R1.5567.23 CP03-005" xr:uid="{89146853-50B3-4A97-9D93-27F7C82052E8}"/>
    <hyperlink ref="C173" r:id="rId166" tooltip="Click to follow the hyperlink" display="\\cclserver\DATA\P 2020\03 CR Projects\06-22-CR-009 Profile Residence" xr:uid="{D7F90D83-09A3-4948-83D9-7D4385AA12C9}"/>
    <hyperlink ref="C174" r:id="rId167" tooltip="Click to follow the hyperlink" display="\\cclserver\DATA\P 2020\03 CR Projects\06-21-CR-005 Marsa Al Arab\Construction phase" xr:uid="{89330CC4-F692-402F-A7C0-61DF66B52CC2}"/>
    <hyperlink ref="C175" r:id="rId168" tooltip="Click to follow the hyperlink" display="\\cclserver\DATA\P 2020\03 CR Projects\06-22-CR-011 Park Avenue 3 (Azizi)" xr:uid="{35C8E2F2-B461-48CC-973B-66713FDD0D6C}"/>
    <hyperlink ref="C176" r:id="rId169" tooltip="Click to follow the hyperlink" display="\\cclserver\DATA\P 2020\03 CR Projects\06-21-CR-005 Marsa Al Arab\Construction phase" xr:uid="{23AC9C7B-4292-4616-A736-CA82EE117D49}"/>
    <hyperlink ref="C177" r:id="rId170" tooltip="Click to follow the hyperlink" display="\\cclserver\DATA\Q 2020\CCL STRENGTHENING\Dubai\2023\R1.5567.23 CP03-005" xr:uid="{3C094B37-0B37-443B-8BCA-971BCE3E9EF3}"/>
    <hyperlink ref="C178" r:id="rId171" tooltip="Click to follow the hyperlink" display="\\cclserver\DATA\Q 2020\CCL STRENGTHENING\Dubai\2023\R1.5562.23 Park Tower" xr:uid="{55513DE7-5390-4C2F-AEFB-165BAA5B10C8}"/>
    <hyperlink ref="C179" r:id="rId172" tooltip="Click to follow the hyperlink" display="\\cclserver\DATA\P 2020\03 CR Projects\06-22-CR-006 Prayer hall Al-Quoz (Towers United)" xr:uid="{40C68AE0-32EB-4DDC-A4B3-3FC6F923A6A3}"/>
    <hyperlink ref="C180" r:id="rId173" tooltip="Click to follow the hyperlink" display="\\cclserver\DATA\P 2020\03 CR Projects\06-22-CR-009 Profile Residence" xr:uid="{EE24E158-F843-46E2-8D1A-9DEC972EEE8D}"/>
    <hyperlink ref="C181" r:id="rId174" tooltip="Click to follow the hyperlink" display="\\cclserver\DATA\P 2020\03 CR Projects\06-21-CR-005 Marsa Al Arab\Construction phase" xr:uid="{9C4BF44A-AD65-4905-9C48-410A4125B271}"/>
    <hyperlink ref="C182" r:id="rId175" tooltip="Click to follow the hyperlink" display="\\cclserver\DATA\P 2020\03 CR Projects\06-22-CR-011 Park Avenue 3 (Azizi)" xr:uid="{BA692745-53CE-4D3E-9BA2-076D3849DA49}"/>
    <hyperlink ref="C183" r:id="rId176" tooltip="Click to follow the hyperlink" display="\\cclserver\DATA\P 2020\03 CR Projects\06-21-CR-005 Marsa Al Arab\Construction phase" xr:uid="{543F0955-B1B6-4364-B7F1-17E751E95DC2}"/>
    <hyperlink ref="C184" r:id="rId177" tooltip="Click to follow the hyperlink" display="\\cclserver\DATA\Q 2020\CCL STRENGTHENING\Dubai\2023\R1.5562.23 Park Tower" xr:uid="{73419351-4775-4175-8081-6BA5C1574858}"/>
    <hyperlink ref="C185" r:id="rId178" tooltip="Click to follow the hyperlink" display="\\cclserver\DATA\P 2020\03 CR Projects\06-22-CR-004 G+1 Private Villa &amp; Majlis" xr:uid="{B26516DF-0A9D-43FA-B2E9-F9F3598F2FA3}"/>
    <hyperlink ref="C186" r:id="rId179" tooltip="Click to follow the hyperlink" display="\\cclserver\DATA\Q 2020\CCL STRENGTHENING\Dubai\2023\R1.5567.23 CP03-005" xr:uid="{50FEA224-E1EA-4C4E-8E4C-0E7C7227E0FA}"/>
    <hyperlink ref="C187" r:id="rId180" tooltip="Click to follow the hyperlink" display="\\cclserver\DATA\P 2020\03 CR Projects\06-22-CR-009 Profile Residence" xr:uid="{F25B8707-C8EA-40DD-85EA-8480D7B5F466}"/>
    <hyperlink ref="C188" r:id="rId181" tooltip="Click to follow the hyperlink" display="\\cclserver\DATA\P 2020\03 CR Projects\06-21-CR-005 Marsa Al Arab\Construction phase" xr:uid="{AB40D9B1-A98E-4A9C-A9CD-9E843443240B}"/>
    <hyperlink ref="C189" r:id="rId182" tooltip="Click to follow the hyperlink" display="\\cclserver\DATA\P 2020\03 CR Projects\06-22-CR-011 Park Avenue 3 (Azizi)" xr:uid="{2A99F179-BB29-4A41-A2DB-8D9743A60FEE}"/>
    <hyperlink ref="C190" r:id="rId183" tooltip="Click to follow the hyperlink" display="\\cclserver\DATA\P 2020\03 CR Projects\06-21-CR-005 Marsa Al Arab\Construction phase" xr:uid="{6EC56527-AC73-4DB0-976D-BB2DC18D3022}"/>
    <hyperlink ref="C191" r:id="rId184" tooltip="Click to follow the hyperlink" display="\\cclserver\DATA\P 2020\03 CR Projects\06-21-CR-005 Marsa Al Arab\Construction phase" xr:uid="{876FAF5E-4924-46EE-A23A-2B08A50E5093}"/>
    <hyperlink ref="C192" r:id="rId185" tooltip="Click to follow the hyperlink" display="\\cclserver\DATA\Q 2020\CCL STRENGTHENING\Dubai\2023\R1.5562.23 Park Tower" xr:uid="{DBB7FFD9-83AC-4975-AA49-B42857C9BE2A}"/>
    <hyperlink ref="C193" r:id="rId186" tooltip="Click to follow the hyperlink" display="\\cclserver\DATA\P 2020\03 CR Projects\06-22-CR-004 G+1 Private Villa &amp; Majlis" xr:uid="{41B335C0-D806-44ED-9535-192283B95552}"/>
    <hyperlink ref="C194" r:id="rId187" tooltip="Click to follow the hyperlink" display="\\cclserver\DATA\P 2020\03 CR Projects\06-22-CR-009 Profile Residence" xr:uid="{17AF4C4C-C5A7-4574-BBEB-53BEC8A0EB3F}"/>
    <hyperlink ref="C195" r:id="rId188" tooltip="Click to follow the hyperlink" display="\\cclserver\DATA\P 2020\03 CR Projects\06-21-CR-005 Marsa Al Arab\Construction phase" xr:uid="{350605F7-B810-4E30-B24D-F1F743868FEF}"/>
    <hyperlink ref="C196" r:id="rId189" tooltip="Click to follow the hyperlink" display="\\cclserver\DATA\P 2020\03 CR Projects\06-22-CR-011 Park Avenue 3 (Azizi)" xr:uid="{98E1AD42-BFB3-4A18-BA23-4E2C0A44C159}"/>
    <hyperlink ref="C197" r:id="rId190" tooltip="Click to follow the hyperlink" display="\\cclserver\DATA\P 2020\03 CR Projects\06-21-CR-005 Marsa Al Arab\Construction phase" xr:uid="{2A31F4BC-D7CF-4FDB-B5EB-14E794B7E3CB}"/>
    <hyperlink ref="C198" r:id="rId191" tooltip="Click to follow the hyperlink" display="\\cclserver\DATA\Q 2020\CCL STRENGTHENING\Dubai\2023\R1.5562.23 Park Tower" xr:uid="{5D2E30D3-8023-4D7E-8A92-E3BCE8F26FC4}"/>
    <hyperlink ref="C199" r:id="rId192" tooltip="Click to follow the hyperlink" display="\\cclserver\DATA\P 2020\03 CR Projects\06-20-CR-002 MEDORE Tower\Construction Phase\" xr:uid="{0A6CD8FD-4F15-452D-8207-2A1304C132C8}"/>
    <hyperlink ref="C200" r:id="rId193" tooltip="Click to follow the hyperlink" display="\\cclserver\DATA\P 2020\03 CR Projects\06-21-CR-005 Marsa Al Arab\Construction phase" xr:uid="{18F0AEC5-E118-4803-A30F-12C3F95CB969}"/>
    <hyperlink ref="C201" r:id="rId194" tooltip="Click to follow the hyperlink" display="\\cclserver\DATA\Q 2020\CCL STRENGTHENING\Dubai\2021\R1.5261.21 Al Wasl Tower" xr:uid="{AD80FEC0-9F3B-4F48-AABF-F5AA95BF68F0}"/>
    <hyperlink ref="C202" r:id="rId195" tooltip="Click to follow the hyperlink" display="\\cclserver\DATA\Q 2020\CCL STRENGTHENING\Dubai\2023\R1.5562.23 Park Tower" xr:uid="{031DE88C-985B-4136-941D-21E36E7C8BC1}"/>
    <hyperlink ref="C203" r:id="rId196" tooltip="Click to follow the hyperlink" display="\\cclserver\DATA\P 2020\03 CR Projects\06-22-CR-009 Profile Residence" xr:uid="{EA429252-2B63-4B5E-AFBD-EC1198754432}"/>
    <hyperlink ref="C204" r:id="rId197" tooltip="Click to follow the hyperlink" display="\\cclserver\DATA\P 2020\03 CR Projects\06-21-CR-005 Marsa Al Arab\Construction phase" xr:uid="{7500303C-8BCE-440D-846B-FC1B9AFA6AA6}"/>
    <hyperlink ref="C205" r:id="rId198" tooltip="Click to follow the hyperlink" display="\\cclserver\DATA\P 2020\03 CR Projects\06-22-CR-011 Park Avenue 3 (Azizi)" xr:uid="{08086AE3-A28C-428A-B3E4-E567DFC8D4EC}"/>
    <hyperlink ref="C206" r:id="rId199" tooltip="Click to follow the hyperlink" display="\\cclserver\DATA\P 2020\03 CR Projects\06-21-CR-005 Marsa Al Arab\Construction phase" xr:uid="{D7071E0A-76CC-47FE-8A1A-2D36C9F660CA}"/>
    <hyperlink ref="C207" r:id="rId200" tooltip="Click to follow the hyperlink" display="\\cclserver\DATA\Q 2020\CCL STRENGTHENING\Dubai\2023\R1.5562.23 Park Tower" xr:uid="{69115AD4-2102-4557-9F80-A663571415DD}"/>
    <hyperlink ref="C208" r:id="rId201" tooltip="Click to follow the hyperlink" display="\\cclserver\DATA\Q 2020\CCL STRENGTHENING\Dubai\2023\R1.5562.23 Park Tower" xr:uid="{F6E85A74-0269-484E-9B6F-A87422FD63FE}"/>
    <hyperlink ref="C209" r:id="rId202" tooltip="Click to follow the hyperlink" display="\\cclserver\DATA\P 2020\03 CR Projects\06-20-CR-002 MEDORE Tower\Construction Phase\" xr:uid="{DB39815F-8C04-45FC-B1AF-AB1B8F002ACE}"/>
    <hyperlink ref="C210" r:id="rId203" tooltip="Click to follow the hyperlink" display="\\cclserver\DATA\P 2020\03 CR Projects\06-21-CR-005 Marsa Al Arab\Construction phase" xr:uid="{715195DD-63C3-43FC-AF7B-8524A79B2E87}"/>
    <hyperlink ref="C211" r:id="rId204" tooltip="Click to follow the hyperlink" display="\\cclserver\DATA\P 2020\03 CR Projects\06-22-CR-009 Profile Residence" xr:uid="{B8EB3852-84A2-463E-9781-A2E9D5871100}"/>
    <hyperlink ref="C212" r:id="rId205" tooltip="Click to follow the hyperlink" display="\\cclserver\DATA\P 2020\03 CR Projects\06-21-CR-005 Marsa Al Arab\Construction phase" xr:uid="{E6762A07-8A14-40EE-AC1D-E08DD9B791B1}"/>
    <hyperlink ref="C213" r:id="rId206" tooltip="Click to follow the hyperlink" display="\\cclserver\DATA\P 2020\03 CR Projects\06-22-CR-011 Park Avenue 3 (Azizi)" xr:uid="{EA9239DC-D151-4355-B428-93C7898DE7BC}"/>
    <hyperlink ref="C214" r:id="rId207" tooltip="Click to follow the hyperlink" display="\\cclserver\DATA\P 2020\03 CR Projects\06-21-CR-005 Marsa Al Arab\Construction phase" xr:uid="{6FBE62B1-A792-4F5A-8C83-85D39B97F67E}"/>
    <hyperlink ref="C215" r:id="rId208" tooltip="Click to follow the hyperlink" display="\\cclserver\DATA\Q 2020\CCL STRENGTHENING\Dubai\2023\R1.5562.23 Park Tower" xr:uid="{5CFCDF21-61C9-4FAD-A155-4315C10075A3}"/>
    <hyperlink ref="C216" r:id="rId209" tooltip="Click to follow the hyperlink" display="\\cclserver\DATA\Q 2020\CCL STRENGTHENING\Dubai\2023\R1.5562.23 Park Tower" xr:uid="{A1AC0F6B-05CC-4468-B73E-BBA72C9457D0}"/>
    <hyperlink ref="C217" r:id="rId210" tooltip="Click to follow the hyperlink" display="\\cclserver\DATA\Q 2020\CCL STRENGTHENING\Dubai\2023\R1.5514.23 Private Palace Jumeirah" xr:uid="{11FA2F8C-B83C-4BDB-8E77-7420AC6D6C3F}"/>
    <hyperlink ref="C218" r:id="rId211" tooltip="Click to follow the hyperlink" display="\\cclserver\DATA\P 2020\03 CR Projects\06-22-CR-004 G+1 Private Villa &amp; Majlis" xr:uid="{1D881181-867D-42C4-A068-8DDD68FE2F5E}"/>
    <hyperlink ref="C219" r:id="rId212" tooltip="Click to follow the hyperlink" display="\\cclserver\DATA\Q 2020\CCL STRENGTHENING\Dubai\2023\R1.5516.23 Burjuman Mall Refurbishment" xr:uid="{C9BD7E88-D037-451A-95B4-D1B54EFF965E}"/>
    <hyperlink ref="C220" r:id="rId213" tooltip="Click to follow the hyperlink" display="\\cclserver\DATA\P 2020\03 CR Projects\06-22-CR-006 Prayer hall Al-Quoz (Towers United)" xr:uid="{E0A6744E-5F5C-4367-83FB-C323BE124C49}"/>
    <hyperlink ref="C221" r:id="rId214" tooltip="Click to follow the hyperlink" display="\\cclserver\DATA\P 2020\03 CR Projects\06-22-CR-009 Profile Residence" xr:uid="{C2FA9147-3A8D-4D0D-8A0C-2C87CD59ADA0}"/>
    <hyperlink ref="C222" r:id="rId215" tooltip="Click to follow the hyperlink" display="\\cclserver\DATA\P 2020\03 CR Projects\06-21-CR-005 Marsa Al Arab\Construction phase" xr:uid="{5DD4CB61-A43C-4172-AE22-13BE50F14D62}"/>
    <hyperlink ref="C223" r:id="rId216" tooltip="Click to follow the hyperlink" display="\\cclserver\DATA\P 2020\03 CR Projects\06-22-CR-011 Park Avenue 3 (Azizi)" xr:uid="{5C823887-B407-436E-9677-DCB9AB733B5A}"/>
    <hyperlink ref="C224" r:id="rId217" tooltip="Click to follow the hyperlink" display="\\cclserver\DATA\P 2020\03 CR Projects\06-21-CR-005 Marsa Al Arab\Construction phase" xr:uid="{B7EF7517-1A28-4468-928A-7A55E577B7A5}"/>
    <hyperlink ref="C225" r:id="rId218" tooltip="Click to follow the hyperlink" display="\\cclserver\DATA\Q 2020\CCL STRENGTHENING\Dubai\2023\R1.5562.23 Park Tower" xr:uid="{17A08C65-99E4-41D0-AEC6-0CE96F396648}"/>
    <hyperlink ref="C226" r:id="rId219" tooltip="Click to follow the hyperlink" display="\\cclserver\DATA\Q 2020\CCL STRENGTHENING\Dubai\2023\R1.5562.23 Park Tower" xr:uid="{BF04D4FA-2FF0-41CF-8EC8-730E25F8F469}"/>
    <hyperlink ref="C227" r:id="rId220" tooltip="Click to follow the hyperlink" display="\\cclserver\DATA\Q 2020\CCL STRENGTHENING\Dubai\2023\R1.5514.23 Private Palace Jumeirah" xr:uid="{B820E52C-5B09-4111-A80F-A502C15E6A45}"/>
    <hyperlink ref="C228" r:id="rId221" tooltip="Click to follow the hyperlink" display="\\cclserver\DATA\P 2020\03 CR Projects\06-22-CR-009 Profile Residence" xr:uid="{F7F9A914-6D92-4B2E-BBA9-9004D17FA198}"/>
    <hyperlink ref="C229" r:id="rId222" tooltip="Click to follow the hyperlink" display="\\cclserver\DATA\Q 2020\CCL STRENGTHENING\Dubai\2023\R1.5550.23 OFFICE ANNEX Str" xr:uid="{CD4E2DA4-C50D-45C2-8ACC-F766EFA5FC7B}"/>
    <hyperlink ref="C230" r:id="rId223" tooltip="Click to follow the hyperlink" display="\\cclserver\DATA\P 2020\03 CR Projects\06-21-CR-005 Marsa Al Arab\Construction phase" xr:uid="{EBDF9C4A-AD1A-45C3-BC65-2BC683E99887}"/>
    <hyperlink ref="C231" r:id="rId224" tooltip="Click to follow the hyperlink" display="\\cclserver\DATA\Q 2020\CCL STRENGTHENING\Dubai\2023\R1.5550.23 OFFICE ANNEX Str" xr:uid="{6D2FB776-6BFD-495C-8FAA-4AC5B0FE7B75}"/>
    <hyperlink ref="C232" r:id="rId225" tooltip="Click to follow the hyperlink" display="\\cclserver\DATA\P 2020\03 CR Projects\06-22-CR-011 Park Avenue 3 (Azizi)" xr:uid="{E28192EC-1F40-45F9-BA7F-5A27618D5E8A}"/>
    <hyperlink ref="C233" r:id="rId226" tooltip="Click to follow the hyperlink" display="\\cclserver\DATA\P 2020\03 CR Projects\06-21-CR-005 Marsa Al Arab\Construction phase" xr:uid="{D3A09CD3-C1EE-45AE-8F7E-778D7AF40E04}"/>
    <hyperlink ref="C234" r:id="rId227" tooltip="Click to follow the hyperlink" display="\\cclserver\DATA\P 2020\03 CR Projects\06-20-CR-002 MEDORE Tower\Construction Phase\" xr:uid="{6A44A453-54FC-4BD8-B364-2C972EF5A555}"/>
    <hyperlink ref="C235" r:id="rId228" tooltip="Click to follow the hyperlink" display="\\cclserver\DATA\P 2020\03 CR Projects\06-22-CR-011 Park Avenue 3 (Azizi)" xr:uid="{584F03E1-8F5E-4F2B-BEAA-825EAE69AC97}"/>
    <hyperlink ref="C236" r:id="rId229" tooltip="Click to follow the hyperlink" display="\\cclserver\DATA\Q 2020\CCL STRENGTHENING\Dubai\2023\R1.5562.23 Park Tower" xr:uid="{B7CA5384-4676-479B-B238-59D9975E8501}"/>
    <hyperlink ref="C237" r:id="rId230" tooltip="Click to follow the hyperlink" display="\\cclserver\DATA\P 2020\03 CR Projects\06-22-CR-009 Profile Residence" xr:uid="{51D865A2-C726-4185-8D33-8372CBFADBDC}"/>
    <hyperlink ref="C238" r:id="rId231" tooltip="Click to follow the hyperlink" display="\\cclserver\DATA\Q 2020\CCL STRENGTHENING\Dubai\2023\R1.5550.23 OFFICE ANNEX Str" xr:uid="{564B2772-DC47-46F5-8AC9-D1216D3BA227}"/>
    <hyperlink ref="C239" r:id="rId232" tooltip="Click to follow the hyperlink" display="\\cclserver\DATA\P 2020\03 CR Projects\06-21-CR-005 Marsa Al Arab\Construction phase" xr:uid="{DF8B674E-BA24-489D-804D-4FFB5239D47D}"/>
    <hyperlink ref="C240" r:id="rId233" tooltip="Click to follow the hyperlink" display="\\cclserver\DATA\Q 2020\CCL STRENGTHENING\Dubai\2023\R1.5550.23 OFFICE ANNEX Str" xr:uid="{AD465B07-7746-4221-9D0A-CAE4F6A9937B}"/>
    <hyperlink ref="C241" r:id="rId234" tooltip="Click to follow the hyperlink" display="\\cclserver\DATA\P 2020\03 CR Projects\06-22-CR-011 Park Avenue 3 (Azizi)" xr:uid="{C71A631E-C4EB-4CD4-AD8A-7FF2B03090C6}"/>
    <hyperlink ref="C242" r:id="rId235" tooltip="Click to follow the hyperlink" display="\\cclserver\DATA\Q 2020\01 Dubai\Buildings\2023\A1.5544.23 Omniyat @ Plot 17A" xr:uid="{8A1ED590-F09E-4E24-9F3D-98839F249954}"/>
    <hyperlink ref="C243" r:id="rId236" tooltip="Click to follow the hyperlink" display="\\cclserver\DATA\P 2020\03 CR Projects\06-20-CR-002 MEDORE Tower\Construction Phase\" xr:uid="{B44E13F2-A22C-4513-9CD0-6ADD3975669A}"/>
    <hyperlink ref="C244" r:id="rId237" tooltip="Click to follow the hyperlink" display="\\cclserver\DATA\P 2020\03 CR Projects\06-21-CR-005 Marsa Al Arab\Construction phase" xr:uid="{546B4BF1-F646-4849-9511-991A02B4EAE6}"/>
    <hyperlink ref="C245" r:id="rId238" tooltip="Click to follow the hyperlink" display="\\cclserver\DATA\Q 2020\CCL STRENGTHENING\Dubai\2023\R1.5561.23 CP01-13 Meydan One" xr:uid="{DA7811A6-402E-465A-80BE-3D6C318BC4F2}"/>
    <hyperlink ref="C246" r:id="rId239" tooltip="Click to follow the hyperlink" display="\\cclserver\DATA\P 2020\03 CR Projects\06-22-CR-009 Profile Residence" xr:uid="{2C66FA5A-CA88-4102-9FFB-6E25FE35C91A}"/>
    <hyperlink ref="C247" r:id="rId240" tooltip="Click to follow the hyperlink" display="\\cclserver\DATA\Q 2020\CCL STRENGTHENING\Dubai\2023\R1.5550.23 OFFICE ANNEX Str" xr:uid="{AB688ED7-D430-444F-A622-5E1D4E029DE8}"/>
    <hyperlink ref="C248" r:id="rId241" tooltip="Click to follow the hyperlink" display="\\cclserver\DATA\P 2020\03 CR Projects\06-20-CR-002 MEDORE Tower\Construction Phase\" xr:uid="{7B318D2B-C762-440A-A801-3EBDDE141768}"/>
    <hyperlink ref="C249" r:id="rId242" tooltip="Click to follow the hyperlink" display="\\cclserver\DATA\P 2020\03 CR Projects\06-22-CR-006 Prayer hall Al-Quoz (Towers United)" xr:uid="{7570330E-F66B-4FE7-8303-9DF734C04323}"/>
    <hyperlink ref="C250" r:id="rId243" tooltip="Click to follow the hyperlink" display="\\cclserver\DATA\P 2020\03 CR Projects\06-21-CR-005 Marsa Al Arab\Construction phase" xr:uid="{1B47EFB4-067F-4B54-996D-7DA6D96D2900}"/>
    <hyperlink ref="C251" r:id="rId244" tooltip="Click to follow the hyperlink" display="\\cclserver\DATA\Q 2020\CCL STRENGTHENING\Dubai\2023\R1.5550.23 OFFICE ANNEX Str" xr:uid="{8A762EE5-F3EE-4F2B-BD91-65FFF312B2F5}"/>
    <hyperlink ref="C252" r:id="rId245" tooltip="Click to follow the hyperlink" display="\\cclserver\DATA\Q 2020\CCL STRENGTHENING\Abu Dhabi\2023\R2.5556.23 Al Qaffay ISland" xr:uid="{F7B18A52-8D9A-4B3C-A6EC-8D8FF7B1656B}"/>
    <hyperlink ref="C253" r:id="rId246" tooltip="Click to follow the hyperlink" display="\\cclserver\DATA\P 2020\03 CR Projects\06-22-CR-011 Park Avenue 3 (Azizi)" xr:uid="{6BE0C68C-4EE9-473F-B1D9-F60CC90611DA}"/>
    <hyperlink ref="C254" r:id="rId247" tooltip="Click to follow the hyperlink" display="\\cclserver\DATA\P 2020\03 CR Projects\06-22-CR-009 Profile Residence" xr:uid="{23558C25-4D0B-4CDB-84E3-CE4C731D9EEE}"/>
    <hyperlink ref="C255" r:id="rId248" tooltip="Click to follow the hyperlink" display="\\cclserver\DATA\Q 2020\CCL STRENGTHENING\Dubai\2023\R1.5550.23 OFFICE ANNEX Str" xr:uid="{ECE7ACB5-855A-4CCF-A647-89FFFFCF6B09}"/>
    <hyperlink ref="C256" r:id="rId249" tooltip="Click to follow the hyperlink" display="\\cclserver\DATA\P 2020\03 CR Projects\06-20-CR-002 MEDORE Tower\Construction Phase\" xr:uid="{1510ED3E-F78C-42EF-97D0-180FBA3D9046}"/>
    <hyperlink ref="C257" r:id="rId250" tooltip="Click to follow the hyperlink" display="\\cclserver\DATA\P 2020\03 CR Projects\06-22-CR-006 Prayer hall Al-Quoz (Towers United)" xr:uid="{10A38B76-315D-4283-976D-3FB392BA0227}"/>
    <hyperlink ref="C258" r:id="rId251" tooltip="Click to follow the hyperlink" display="\\cclserver\DATA\P 2020\03 CR Projects\06-21-CR-005 Marsa Al Arab\Construction phase" xr:uid="{3376C072-2439-427D-9A09-4C478A6DC283}"/>
    <hyperlink ref="C259" r:id="rId252" tooltip="Click to follow the hyperlink" display="\\cclserver\DATA\Q 2020\CCL STRENGTHENING\Dubai\2023\R1.5550.23 OFFICE ANNEX Str" xr:uid="{BFED5873-D1E0-46D1-929F-9B8606E252AB}"/>
    <hyperlink ref="C260" r:id="rId253" tooltip="Click to follow the hyperlink" display="\\cclserver\DATA\Q 2020\CCL STRENGTHENING\Abu Dhabi\2023\R2.5556.23 Al Qaffay ISland" xr:uid="{F691C865-087B-47BD-8F02-B9735113C1CD}"/>
    <hyperlink ref="C261" r:id="rId254" tooltip="Click to follow the hyperlink" display="\\cclserver\DATA\P 2020\03 CR Projects\06-22-CR-017 Addax Tower" xr:uid="{0AD7A703-6A80-4970-A4B0-F5C0BD101BCC}"/>
    <hyperlink ref="C262" r:id="rId255" tooltip="Click to follow the hyperlink" display="\\cclserver\DATA\P 2020\03 CR Projects\06-22-CR-009 Profile Residence" xr:uid="{5049D441-EBF7-4F15-8BAE-F977E7AA6888}"/>
    <hyperlink ref="C263" r:id="rId256" tooltip="Click to follow the hyperlink" display="\\cclserver\DATA\Q 2020\CCL STRENGTHENING\Dubai\2023\R1.5550.23 OFFICE ANNEX Str" xr:uid="{E1656ECB-8FF0-4676-AB82-24F5B93ABD4C}"/>
    <hyperlink ref="C264" r:id="rId257" tooltip="Click to follow the hyperlink" display="\\cclserver\DATA\P 2020\03 CR Projects\06-20-CR-002 MEDORE Tower\Construction Phase\" xr:uid="{6168E0C2-347B-4445-83B1-1412E9AEA82B}"/>
    <hyperlink ref="C265" r:id="rId258" tooltip="Click to follow the hyperlink" display="\\cclserver\DATA\P 2020\03 CR Projects\06-22-CR-006 Prayer hall Al-Quoz (Towers United)" xr:uid="{87E1FB79-DA7B-4EC5-8D0D-D3BC8AE9FD80}"/>
    <hyperlink ref="C266" r:id="rId259" tooltip="Click to follow the hyperlink" display="\\cclserver\DATA\P 2020\03 CR Projects\06-21-CR-005 Marsa Al Arab\Construction phase" xr:uid="{4E9DF224-2296-4AF2-B809-834B92BCFB4B}"/>
    <hyperlink ref="C267" r:id="rId260" tooltip="Click to follow the hyperlink" display="\\cclserver\DATA\Q 2020\CCL STRENGTHENING\Dubai\2023\R1.5550.23 OFFICE ANNEX Str" xr:uid="{627F6784-CD47-4DDA-965A-552B61FB57DF}"/>
    <hyperlink ref="C268" r:id="rId261" tooltip="Click to follow the hyperlink" display="\\cclserver\DATA\Q 2020\CCL STRENGTHENING\Dubai\2023\R1.5516.23 Burjuman Mall Refurbishment" xr:uid="{DCC67F58-DC2A-4D53-B886-0B708E392493}"/>
    <hyperlink ref="C269" r:id="rId262" tooltip="Click to follow the hyperlink" display="\\cclserver\DATA\P 2020\03 CR Projects\06-22-CR-017 Addax Tower" xr:uid="{1F27D3E0-CAE0-4EC5-8F78-BC77E9B6CEB1}"/>
    <hyperlink ref="C270" r:id="rId263" tooltip="Click to follow the hyperlink" display="\\cclserver\DATA\P 2020\03 CR Projects\06-22-CR-009 Profile Residence" xr:uid="{44FF6F4C-3C3B-4C3E-B4E6-EF6AEAC40790}"/>
    <hyperlink ref="C271" r:id="rId264" tooltip="Click to follow the hyperlink" display="\\cclserver\DATA\Q 2020\CCL STRENGTHENING\Dubai\2023\R1.5550.23 OFFICE ANNEX Str" xr:uid="{1BBFC915-384E-466D-B6DC-210B37646849}"/>
    <hyperlink ref="C272" r:id="rId265" tooltip="Click to follow the hyperlink" display="\\cclserver\DATA\P 2020\03 CR Projects\06-20-CR-002 MEDORE Tower\Construction Phase\" xr:uid="{5DFE5D9D-D67C-44DE-B863-EC02A3CB0D09}"/>
    <hyperlink ref="C273" r:id="rId266" tooltip="Click to follow the hyperlink" display="\\cclserver\DATA\P 2020\03 CR Projects\06-21-CR-005 Marsa Al Arab\Construction phase" xr:uid="{8ED29CDF-DAA2-48A3-A494-C05BF423E350}"/>
    <hyperlink ref="C274" r:id="rId267" tooltip="Click to follow the hyperlink" display="\\cclserver\DATA\P 2020\03 CR Projects\06-22-CR-006 Prayer hall Al-Quoz (Towers United)" xr:uid="{AEF3EA6B-D22F-4FB9-92B1-60E63D176C4F}"/>
    <hyperlink ref="C275" r:id="rId268" tooltip="Click to follow the hyperlink" display="\\cclserver\DATA\P 2020\03 CR Projects\06-21-CR-005 Marsa Al Arab\Construction phase" xr:uid="{30E492AD-5E3B-4794-8108-BE85A8AE7935}"/>
    <hyperlink ref="C276" r:id="rId269" tooltip="Click to follow the hyperlink" display="\\cclserver\DATA\Q 2020\CCL STRENGTHENING\Dubai\2023\R1.5550.23 OFFICE ANNEX Str" xr:uid="{6018C8EC-414F-4CF0-B28B-AF9FB5BB5AC2}"/>
    <hyperlink ref="C277" r:id="rId270" tooltip="Click to follow the hyperlink" display="\\cclserver\DATA\Q 2020\CCL STRENGTHENING\Dubai\2023\R1.5516.23 Burjuman Mall Refurbishment" xr:uid="{A4E2F887-2CB9-44BB-82D2-F70A550400D7}"/>
    <hyperlink ref="C278" r:id="rId271" tooltip="Click to follow the hyperlink" display="\\cclserver\DATA\Q 2020\CCL STRENGTHENING\Dubai\2023\R1.5516.23 Burjuman Mall Refurbishment" xr:uid="{7826D5FB-38F5-4ECB-A95A-6DFDC3BA193D}"/>
    <hyperlink ref="C279" r:id="rId272" tooltip="Click to follow the hyperlink" display="\\cclserver\DATA\P 2020\03 CR Projects\06-22-CR-017 Addax Tower" xr:uid="{7B2EB08B-DCC3-4305-B9AF-43352CBDA3D0}"/>
    <hyperlink ref="C280" r:id="rId273" tooltip="Click to follow the hyperlink" display="\\cclserver\DATA\P 2020\03 CR Projects\06-22-CR-009 Profile Residence" xr:uid="{F09C9AF5-A8B2-425E-9D2F-0ADB03801C48}"/>
    <hyperlink ref="C281" r:id="rId274" tooltip="Click to follow the hyperlink" display="\\cclserver\DATA\Q 2020\CCL STRENGTHENING\Dubai\2023\R1.5550.23 OFFICE ANNEX Str" xr:uid="{FDC64BFE-1252-48D5-8A6A-7F3D65A96090}"/>
    <hyperlink ref="C282" r:id="rId275" tooltip="Click to follow the hyperlink" display="\\cclserver\DATA\P 2020\03 CR Projects\06-20-CR-002 MEDORE Tower\Construction Phase\" xr:uid="{A267B012-6A6F-441E-BB3C-4CCF62C9C591}"/>
    <hyperlink ref="C283" r:id="rId276" tooltip="Click to follow the hyperlink" display="\\cclserver\DATA\Q 2020\CCL STRENGTHENING\Dubai\2023\R1.5551.23 Villa P69 @ Emirates Hills" xr:uid="{3B4A5F52-5144-41FA-8893-8231372DB9FB}"/>
    <hyperlink ref="C284" r:id="rId277" tooltip="Click to follow the hyperlink" display="\\cclserver\DATA\Q 2020\CCL STRENGTHENING\Dubai\2023\R1.5516.23 Burjuman Mall Refurbishment" xr:uid="{F4AEAF72-51AF-42EF-9381-20ED68B5DFE7}"/>
    <hyperlink ref="C285" r:id="rId278" tooltip="Click to follow the hyperlink" display="\\cclserver\DATA\P 2020\03 CR Projects\06-21-CR-005 Marsa Al Arab\Construction phase" xr:uid="{E815A882-BE8A-4462-884D-06B11B375FC9}"/>
    <hyperlink ref="C286" r:id="rId279" tooltip="Click to follow the hyperlink" display="\\cclserver\DATA\P 2020\03 CR Projects\06-22-CR-006 Prayer hall Al-Quoz (Towers United)" xr:uid="{E75FF5E2-18C8-4777-9CBA-BE008F427D23}"/>
    <hyperlink ref="C287" r:id="rId280" tooltip="Click to follow the hyperlink" display="\\cclserver\DATA\P 2020\03 CR Projects\06-22-CR-006 Prayer hall Al-Quoz (Towers United)" xr:uid="{649113A4-F0BF-4977-BBFE-E938A7D9F5AA}"/>
    <hyperlink ref="C288" r:id="rId281" tooltip="Click to follow the hyperlink" display="\\cclserver\DATA\P 2020\03 CR Projects\06-22-CR-017 Addax Tower" xr:uid="{8918A99B-4103-4B13-95E0-85780050E7E2}"/>
    <hyperlink ref="C289" r:id="rId282" tooltip="Click to follow the hyperlink" display="\\cclserver\DATA\P 2020\03 CR Projects\06-22-CR-009 Profile Residence" xr:uid="{DDF29991-3895-4A13-9DFD-21DBE98CB256}"/>
    <hyperlink ref="C290" r:id="rId283" tooltip="Click to follow the hyperlink" display="\\cclserver\DATA\Q 2020\CCL STRENGTHENING\Dubai\2023\R1.5550.23 OFFICE ANNEX Str" xr:uid="{D35A6B0A-9C0D-40B2-81F4-2BEA90352BB1}"/>
    <hyperlink ref="C291" r:id="rId284" tooltip="Click to follow the hyperlink" display="\\cclserver\DATA\P 2020\03 CR Projects\06-20-CR-002 MEDORE Tower\Construction Phase\" xr:uid="{BC65C797-FA70-4F8F-9F86-9F2E8C6652FC}"/>
    <hyperlink ref="C292" r:id="rId285" tooltip="Click to follow the hyperlink" display="\\cclserver\DATA\Q 2020\CCL STRENGTHENING\Dubai\2023\R1.5551.23 Villa P69 @ Emirates Hills" xr:uid="{4BCDB492-DB7E-47A2-B928-A4B967571D0C}"/>
    <hyperlink ref="C293" r:id="rId286" tooltip="Click to follow the hyperlink" display="\\cclserver\DATA\Q 2020\CCL STRENGTHENING\Dubai\2023\R1.5516.23 Burjuman Mall Refurbishment" xr:uid="{B5C725E4-2233-47AC-8E90-C71540186ADB}"/>
    <hyperlink ref="C294" r:id="rId287" tooltip="Click to follow the hyperlink" display="\\cclserver\DATA\P 2020\03 CR Projects\06-21-CR-005 Marsa Al Arab\Construction phase" xr:uid="{7332F364-2924-4FC6-9F2B-0F2297DD9B66}"/>
    <hyperlink ref="C295" r:id="rId288" tooltip="Click to follow the hyperlink" display="\\cclserver\DATA\P 2020\03 CR Projects\06-22-CR-017 Addax Tower" xr:uid="{6B4A8170-8F29-4F26-9AAF-C1046539F035}"/>
    <hyperlink ref="C296" r:id="rId289" tooltip="Click to follow the hyperlink" display="\\cclserver\DATA\P 2020\03 CR Projects\06-22-CR-009 Profile Residence" xr:uid="{1700F0B2-9F80-4F58-BF41-3198A64813A5}"/>
    <hyperlink ref="C297" r:id="rId290" tooltip="Click to follow the hyperlink" display="\\cclserver\DATA\Q 2020\CCL STRENGTHENING\Dubai\2023\R1.5550.23 OFFICE ANNEX Str" xr:uid="{E96B37D8-9670-4B1C-9B2E-AE0C1DE407F9}"/>
    <hyperlink ref="C298" r:id="rId291" tooltip="Click to follow the hyperlink" display="\\cclserver\DATA\P 2020\03 CR Projects\06-20-CR-002 MEDORE Tower\Construction Phase\" xr:uid="{FC9C62C3-4389-4244-8DE3-A7D0E53DD723}"/>
    <hyperlink ref="C299" r:id="rId292" tooltip="Click to follow the hyperlink" display="\\cclserver\DATA\Q 2020\CCL STRENGTHENING\Dubai\2023\R1.5551.23 Villa P69 @ Emirates Hills" xr:uid="{9F3CBE6B-BFA5-42E9-9E55-1FC76D1B471B}"/>
    <hyperlink ref="C300" r:id="rId293" tooltip="Click to follow the hyperlink" display="\\cclserver\DATA\P 2020\03 CR Projects\06-22-CR-017 Addax Tower" xr:uid="{95B82E12-379F-44B4-AC95-2AA672D3ECAD}"/>
    <hyperlink ref="C301" r:id="rId294" tooltip="Click to follow the hyperlink" display="\\cclserver\DATA\P 2020\03 CR Projects\06-22-CR-009 Profile Residence" xr:uid="{72BBD381-2EEE-4BF7-9680-B0E4B7EC2928}"/>
    <hyperlink ref="C302" r:id="rId295" tooltip="Click to follow the hyperlink" display="\\cclserver\DATA\Q 2020\CCL STRENGTHENING\Dubai\2023\R1.5550.23 OFFICE ANNEX Str" xr:uid="{D1C32A06-96EA-4121-9941-BFCAD5C19E3F}"/>
    <hyperlink ref="C303" r:id="rId296" tooltip="Click to follow the hyperlink" display="\\cclserver\DATA\P 2020\03 CR Projects\06-20-CR-002 MEDORE Tower\Construction Phase\" xr:uid="{F957F293-8A3B-42C5-BB6A-732CFA5ED390}"/>
    <hyperlink ref="C304" r:id="rId297" tooltip="Click to follow the hyperlink" display="\\cclserver\DATA\Q 2020\CCL STRENGTHENING\Dubai\2023\R1.5541.23 Mina Bldg Al-Baha (Raffa)" xr:uid="{32200A2B-8AAB-4D70-9C41-E4EBBEF249A8}"/>
    <hyperlink ref="C305" r:id="rId298" tooltip="Click to follow the hyperlink" display="\\cclserver\DATA\P 2020\03 CR Projects\06-22-CR-017 Addax Tower" xr:uid="{21065436-BCEC-44A2-B27B-D712C01399DA}"/>
    <hyperlink ref="C306" r:id="rId299" tooltip="Click to follow the hyperlink" display="\\cclserver\DATA\P 2020\03 CR Projects\06-22-CR-009 Profile Residence" xr:uid="{B8B068F7-46EC-459B-927E-D10F82977AEF}"/>
    <hyperlink ref="C307" r:id="rId300" tooltip="Click to follow the hyperlink" display="\\cclserver\DATA\Q 2020\CCL STRENGTHENING\Dubai\2022\R1.5399.22 Nakheel Mall Redevelopment" xr:uid="{D9E345D5-9BD2-4201-BFA8-0EF8E8F01BB1}"/>
    <hyperlink ref="C308" r:id="rId301" tooltip="Click to follow the hyperlink" display="\\cclserver\DATA\Q 2020\CCL STRENGTHENING\Dubai\2023\R1.5516.23 Burjuman Mall Refurbishment" xr:uid="{B98B6853-E327-4E97-AF90-E706C01ACBCD}"/>
    <hyperlink ref="C309" r:id="rId302" tooltip="Click to follow the hyperlink" display="\\cclserver\DATA\Q 2020\CCL STRENGTHENING\Dubai\2023\R1.5550.23 OFFICE ANNEX Str" xr:uid="{417F6143-A2F2-425A-BFDD-2B6A9AA30C29}"/>
    <hyperlink ref="C310" r:id="rId303" tooltip="Click to follow the hyperlink" display="\\cclserver\DATA\P 2020\03 CR Projects\06-20-CR-002 MEDORE Tower\Construction Phase\" xr:uid="{0C8DDBEB-1D60-4D81-8F51-E5ABF6E02633}"/>
    <hyperlink ref="C311" r:id="rId304" tooltip="Click to follow the hyperlink" display="\\cclserver\DATA\Q 2020\CCL STRENGTHENING\Dubai\2023\R1.5530.23 SARI Villa Al Awir" xr:uid="{DA2C09C0-074F-4209-B790-ED22A17FDAC7}"/>
    <hyperlink ref="C312" r:id="rId305" tooltip="Click to follow the hyperlink" display="\\cclserver\DATA\P 2020\03 CR Projects\06-22-CR-017 Addax Tower" xr:uid="{DE654B9C-A746-4403-AA28-977E7A288EB6}"/>
    <hyperlink ref="C313" r:id="rId306" tooltip="Click to follow the hyperlink" display="\\cclserver\DATA\P 2020\03 CR Projects\06-22-CR-009 Profile Residence" xr:uid="{6008C632-2698-419D-BD6A-962725A599AF}"/>
    <hyperlink ref="C314" r:id="rId307" tooltip="Click to follow the hyperlink" display="\\cclserver\DATA\Q 2020\CCL STRENGTHENING\Dubai\2022\R1.5399.22 Nakheel Mall Redevelopment" xr:uid="{CE0D2598-1DA6-4121-ABEC-E422B9909152}"/>
    <hyperlink ref="C315" r:id="rId308" tooltip="Click to follow the hyperlink" display="\\cclserver\DATA\Q 2020\CCL STRENGTHENING\Dubai\2023\R1.5516.23 Burjuman Mall Refurbishment" xr:uid="{01196A49-4F67-47E3-92DF-B6CA7460D40C}"/>
    <hyperlink ref="C316" r:id="rId309" tooltip="Click to follow the hyperlink" display="\\cclserver\DATA\Q 2020\CCL STRENGTHENING\Dubai\2023\R1.5550.23 OFFICE ANNEX Str" xr:uid="{D450D8FF-AF33-4197-88C7-F610297B0539}"/>
    <hyperlink ref="C317" r:id="rId310" tooltip="Click to follow the hyperlink" display="\\cclserver\DATA\P 2020\03 CR Projects\06-20-CR-002 MEDORE Tower\Construction Phase\" xr:uid="{3294E3B9-7DD5-487D-AC60-13D90710BF54}"/>
    <hyperlink ref="C319" r:id="rId311" tooltip="Click to follow the hyperlink" display="\\cclserver\DATA\P 2020\03 CR Projects\06-22-CR-017 Addax Tower" xr:uid="{FCCE63D9-879F-4234-842F-E12478AB143F}"/>
    <hyperlink ref="C320" r:id="rId312" tooltip="Click to follow the hyperlink" display="\\cclserver\DATA\P 2020\03 CR Projects\06-22-CR-009 Profile Residence" xr:uid="{18F5A910-BC99-4809-905D-1EBFA80DABC1}"/>
    <hyperlink ref="C321" r:id="rId313" tooltip="Click to follow the hyperlink" display="\\cclserver\DATA\Q 2020\CCL STRENGTHENING\Dubai\2022\R1.5399.22 Nakheel Mall Redevelopment" xr:uid="{7FD069A4-E9F5-4DD3-924E-2326328E66B8}"/>
    <hyperlink ref="C322" r:id="rId314" tooltip="Click to follow the hyperlink" display="\\cclserver\DATA\Q 2020\CCL STRENGTHENING\Dubai\2023\R1.5516.23 Burjuman Mall Refurbishment" xr:uid="{C7613E9B-DAEF-47AA-ACEC-F25977554D12}"/>
    <hyperlink ref="C323" r:id="rId315" tooltip="Click to follow the hyperlink" display="\\cclserver\DATA\P 2020\03 CR Projects\06-22-CR-011 Park Avenue 3 (Azizi)" xr:uid="{BC695D60-5389-4AFD-80E2-1B6D5EA2527F}"/>
    <hyperlink ref="C324" r:id="rId316" tooltip="Click to follow the hyperlink" display="\\cclserver\DATA\Q 2020\CCL STRENGTHENING\Dubai\2023\R1.5530.23 SARI Villa Al Awir" xr:uid="{D4B453A8-7EB3-4235-AD3F-C83C5B6D708A}"/>
    <hyperlink ref="C325" r:id="rId317" tooltip="Click to follow the hyperlink" display="\\cclserver\DATA\P 2020\03 CR Projects\06-22-CR-006 Prayer hall Al-Quoz (Towers United)" xr:uid="{07F6F9A9-325E-4DDC-A7C2-216025260304}"/>
    <hyperlink ref="C326" r:id="rId318" tooltip="Click to follow the hyperlink" display="\\cclserver\DATA\P 2020\03 CR Projects\06-22-CR-017 Addax Tower" xr:uid="{490B021C-F550-4094-A9BD-D6915EA0CA10}"/>
    <hyperlink ref="C327" r:id="rId319" tooltip="Click to follow the hyperlink" display="\\cclserver\DATA\P 2020\03 CR Projects\06-22-CR-009 Profile Residence" xr:uid="{7A75ACB2-7B06-403A-A9B9-1948508BDF1E}"/>
    <hyperlink ref="C328" r:id="rId320" tooltip="Click to follow the hyperlink" display="\\cclserver\DATA\Q 2020\CCL STRENGTHENING\Dubai\2022\R1.5399.22 Nakheel Mall Redevelopment" xr:uid="{E97A925D-C0A3-4EBD-B279-9A4918A73046}"/>
    <hyperlink ref="C329" r:id="rId321" tooltip="Click to follow the hyperlink" display="\\cclserver\DATA\Q 2020\CCL STRENGTHENING\Dubai\2023\R1.5516.23 Burjuman Mall Refurbishment" xr:uid="{32AF90D7-DE3A-4A75-8ECD-8960BB9CB2B7}"/>
    <hyperlink ref="C330" r:id="rId322" tooltip="Click to follow the hyperlink" display="\\cclserver\DATA\P 2020\03 CR Projects\06-22-CR-011 Park Avenue 3 (Azizi)" xr:uid="{4E5A192A-D773-48AF-B356-873CEC8AC7D1}"/>
    <hyperlink ref="C331" r:id="rId323" tooltip="Click to follow the hyperlink" display="\\cclserver\DATA\P 2020\03 CR Projects\06-20-CR-002 MEDORE Tower\Construction Phase\" xr:uid="{13856545-7465-4A09-BA0A-F3B702DFCEE0}"/>
    <hyperlink ref="C332" r:id="rId324" tooltip="Click to follow the hyperlink" display="\\cclserver\DATA\P 2020\03 CR Projects\06-21-CR-005 Marsa Al Arab\Construction phase" xr:uid="{A23CFBEF-CBA1-44AA-81C1-22F57545800E}"/>
    <hyperlink ref="C333" r:id="rId325" tooltip="Click to follow the hyperlink" display="\\cclserver\DATA\P 2020\03 CR Projects\06-22-CR-017 Addax Tower" xr:uid="{0CC86A33-1479-417A-B5BF-2998F4378B3C}"/>
    <hyperlink ref="C334" r:id="rId326" tooltip="Click to follow the hyperlink" display="\\cclserver\DATA\P 2020\03 CR Projects\06-22-CR-009 Profile Residence" xr:uid="{C2736820-D9C5-4B27-A8F8-AA329ED6FB61}"/>
    <hyperlink ref="C335" r:id="rId327" tooltip="Click to follow the hyperlink" display="\\cclserver\DATA\Q 2020\CCL STRENGTHENING\Dubai\2022\R1.5399.22 Nakheel Mall Redevelopment" xr:uid="{402172DD-AA59-41B9-AA96-8F739274BD0E}"/>
    <hyperlink ref="C336" r:id="rId328" tooltip="Click to follow the hyperlink" display="\\cclserver\DATA\Q 2020\CCL STRENGTHENING\Dubai\2023\R1.5541.23 Mina Bldg Al-Baha (Raffa)" xr:uid="{475E5E93-BBDB-4AD6-84AB-C4698DCD0997}"/>
    <hyperlink ref="C337" r:id="rId329" tooltip="Click to follow the hyperlink" display="\\cclserver\DATA\Q 2020\CCL STRENGTHENING\Dubai\2023\R1.5516.23 Burjuman Mall Refurbishment" xr:uid="{13B749C2-AA32-43A9-B633-FD17C296FADA}"/>
    <hyperlink ref="C338" r:id="rId330" tooltip="Click to follow the hyperlink" display="\\cclserver\DATA\P 2020\03 CR Projects\06-22-CR-017 Addax Tower" xr:uid="{CD99E12D-4CB1-411B-A375-01BA52F2C8C9}"/>
    <hyperlink ref="C339" r:id="rId331" tooltip="Click to follow the hyperlink" display="\\cclserver\DATA\P 2020\03 CR Projects\06-22-CR-009 Profile Residence" xr:uid="{8B698A24-464F-45CC-A058-3E46A1F013B8}"/>
    <hyperlink ref="C340" r:id="rId332" tooltip="Click to follow the hyperlink" display="\\cclserver\DATA\Q 2020\CCL STRENGTHENING\Dubai\2022\R1.5399.22 Nakheel Mall Redevelopment" xr:uid="{8AC84BAA-49D9-403F-B8EF-49B19D99B0E4}"/>
    <hyperlink ref="C341" r:id="rId333" tooltip="Click to follow the hyperlink" display="\\cclserver\DATA\P 2020\03 CR Projects\06-20-CR-002 MEDORE Tower\Construction Phase\" xr:uid="{32C9B67B-40CA-42D5-BCDA-6C189E6530F7}"/>
    <hyperlink ref="C342" r:id="rId334" tooltip="Click to follow the hyperlink" display="\\cclserver\DATA\Q 2020\CCL STRENGTHENING\Dubai\2023\R1.5541.23 Mina Bldg Al-Baha (Raffa)" xr:uid="{1BB44CD9-A21A-4D50-A7F9-1627A5A9EDEB}"/>
    <hyperlink ref="C343" r:id="rId335" tooltip="Click to follow the hyperlink" display="\\cclserver\DATA\Q 2020\CCL STRENGTHENING\Dubai\2023\R1.5516.23 Burjuman Mall Refurbishment" xr:uid="{F69D7FB5-BE0F-48E6-A43A-110984CEE88E}"/>
    <hyperlink ref="C344" r:id="rId336" tooltip="Click to follow the hyperlink" display="\\cclserver\DATA\P 2020\03 CR Projects\06-20-CR-002 MEDORE Tower\Construction Phase\" xr:uid="{F1818C89-5718-49B0-8C0B-36F99FD04980}"/>
    <hyperlink ref="C345" r:id="rId337" tooltip="Click to follow the hyperlink" display="\\cclserver\DATA\P 2020\03 CR Projects\06-22-CR-017 Addax Tower" xr:uid="{D04D02BB-EDD7-4717-AC29-74E8F16A6AE8}"/>
    <hyperlink ref="C346" r:id="rId338" tooltip="Click to follow the hyperlink" display="\\cclserver\DATA\P 2020\03 CR Projects\06-22-CR-004 G+1 Private Villa &amp; Majlis" xr:uid="{68AF86FB-7644-4DE4-8B70-64DCA819007E}"/>
    <hyperlink ref="C347" r:id="rId339" tooltip="Click to follow the hyperlink" display="\\cclserver\DATA\P 2020\03 CR Projects\06-22-CR-009 Profile Residence" xr:uid="{E50F392E-0C5E-4664-9AFD-88C03AC159E5}"/>
    <hyperlink ref="C348" r:id="rId340" tooltip="Click to follow the hyperlink" display="\\cclserver\DATA\Q 2020\CCL STRENGTHENING\Dubai\2023\R1.5516.23 Burjuman Mall Refurbishment" xr:uid="{080AB683-7C75-4C39-850B-AFD657D0EBCF}"/>
    <hyperlink ref="C349" r:id="rId341" tooltip="Click to follow the hyperlink" display="\\cclserver\DATA\Q 2020\CCL STRENGTHENING\Dubai\2023\R1.5541.23 Mina Bldg Al-Baha (Raffa)" xr:uid="{50BDF174-FE49-4D3A-9662-C18931850BFB}"/>
    <hyperlink ref="C350" r:id="rId342" tooltip="Click to follow the hyperlink" display="\\cclserver\DATA\Q 2020\CCL STRENGTHENING\Dubai\2022\R1.5399.22 Nakheel Mall Redevelopment" xr:uid="{7A78F390-4761-4AF4-A72C-C360717154C2}"/>
    <hyperlink ref="C351" r:id="rId343" tooltip="Click to follow the hyperlink" display="\\cclserver\DATA\P 2020\03 CR Projects\06-22-CR-017 Addax Tower" xr:uid="{C0D15743-03F1-4618-9AF0-78D135640DBF}"/>
    <hyperlink ref="C352" r:id="rId344" tooltip="Click to follow the hyperlink" display="\\cclserver\DATA\P 2020\03 CR Projects\06-22-CR-004 G+1 Private Villa &amp; Majlis" xr:uid="{204C7EF3-E3C7-41FD-AFF4-DDE0511ECD0B}"/>
    <hyperlink ref="C353" r:id="rId345" tooltip="Click to follow the hyperlink" display="\\cclserver\DATA\P 2020\03 CR Projects\06-22-CR-009 Profile Residence" xr:uid="{880A2576-BCEA-4812-A1CE-1E544E9AF5AE}"/>
    <hyperlink ref="C354" r:id="rId346" tooltip="Click to follow the hyperlink" display="\\cclserver\DATA\P 2020\03 CR Projects\06-21-CR-005 Marsa Al Arab\Construction phase" xr:uid="{CBCA1F28-9F10-48B7-9FAC-6FAE2232A89B}"/>
    <hyperlink ref="C355" r:id="rId347" tooltip="Click to follow the hyperlink" display="\\cclserver\DATA\Q 2020\CCL STRENGTHENING\Dubai\2023\R1.5516.23 Burjuman Mall Refurbishment" xr:uid="{A813EFBB-E29B-4374-ADBC-E4F71CD1AEA5}"/>
    <hyperlink ref="C356" r:id="rId348" tooltip="Click to follow the hyperlink" display="\\cclserver\DATA\P 2020\03 CR Projects\06-22-CR-011 Park Avenue 3 (Azizi)" xr:uid="{8E41A8D9-4429-406B-BF0B-E12A6976A435}"/>
    <hyperlink ref="C357" r:id="rId349" tooltip="Click to follow the hyperlink" display="\\cclserver\DATA\Q 2020\CCL STRENGTHENING\Dubai\2023\R1.5514.23 Private Palace Jumeirah" xr:uid="{72E05920-10D7-44F3-B095-7447738B798B}"/>
    <hyperlink ref="C358" r:id="rId350" tooltip="Click to follow the hyperlink" display="\\cclserver\DATA\P 2020\03 CR Projects\06-22-CR-017 Addax Tower" xr:uid="{C9C7CF30-C05F-4B19-B642-D5514A434598}"/>
    <hyperlink ref="C359" r:id="rId351" tooltip="Click to follow the hyperlink" display="\\cclserver\DATA\P 2020\03 CR Projects\06-22-CR-004 G+1 Private Villa &amp; Majlis" xr:uid="{F24B4E01-E826-4128-8F78-7E0A71426E50}"/>
    <hyperlink ref="C360" r:id="rId352" tooltip="Click to follow the hyperlink" display="\\cclserver\DATA\P 2020\03 CR Projects\06-22-CR-014 Saudi German Hospital Mirdif" xr:uid="{35FDEFCB-E7ED-4528-AF97-0324637A327B}"/>
    <hyperlink ref="C361" r:id="rId353" tooltip="Click to follow the hyperlink" display="\\cclserver\DATA\P 2020\03 CR Projects\06-22-CR-009 Profile Residence" xr:uid="{615B0D1F-07E5-4ECD-866F-B2A8C1C46A53}"/>
    <hyperlink ref="C362" r:id="rId354" tooltip="Click to follow the hyperlink" display="\\cclserver\DATA\Q 2020\CCL STRENGTHENING\Dubai\2023\R1.5541.23 Mina Bldg Al-Baha (Raffa)" xr:uid="{758AB4CF-2DA8-484E-88D1-AFE46BCA961D}"/>
    <hyperlink ref="C363" r:id="rId355" tooltip="Click to follow the hyperlink" display="\\cclserver\DATA\P 2020\03 CR Projects\06-21-CR-005 Marsa Al Arab\Construction phase" xr:uid="{B4C25CA9-F97C-4331-A2A6-1763E2CC6BA4}"/>
    <hyperlink ref="C364" r:id="rId356" tooltip="Click to follow the hyperlink" display="\\cclserver\DATA\Q 2020\CCL STRENGTHENING\Dubai\2023\R1.5546.23 CP03 - 02 &amp; 003" xr:uid="{78C72975-5F7C-4309-8C9C-BD167E9F8FEE}"/>
    <hyperlink ref="C365" r:id="rId357" tooltip="Click to follow the hyperlink" display="\\cclserver\DATA\Q 2020\CCL STRENGTHENING\Dubai\2023\R1.5516.23 Burjuman Mall Refurbishment" xr:uid="{87007737-F89B-4B74-9AD7-91F069E9859E}"/>
    <hyperlink ref="C366" r:id="rId358" tooltip="Click to follow the hyperlink" display="\\cclserver\DATA\P 2020\03 CR Projects\06-22-CR-011 Park Avenue 3 (Azizi)" xr:uid="{4379A724-4AF2-4BBA-A6D3-ECE3E801A40C}"/>
    <hyperlink ref="C367" r:id="rId359" tooltip="Click to follow the hyperlink" display="\\cclserver\DATA\P 2020\03 CR Projects\06-22-CR-017 Addax Tower" xr:uid="{4AD7342E-9A3F-4E7E-AA0B-8087C0DB1A90}"/>
    <hyperlink ref="C368" r:id="rId360" tooltip="Click to follow the hyperlink" display="\\cclserver\DATA\P 2020\03 CR Projects\06-22-CR-004 G+1 Private Villa &amp; Majlis" xr:uid="{E158CE4A-C3F6-426B-A356-3318422452BA}"/>
    <hyperlink ref="C369" r:id="rId361" tooltip="Click to follow the hyperlink" display="\\cclserver\DATA\P 2020\03 CR Projects\06-22-CR-014 Saudi German Hospital Mirdif" xr:uid="{D14A9F06-55D8-4C9B-9807-E6BA37766576}"/>
    <hyperlink ref="C370" r:id="rId362" tooltip="Click to follow the hyperlink" display="\\cclserver\DATA\P 2020\03 CR Projects\06-22-CR-009 Profile Residence" xr:uid="{6B934BAE-5BF5-4E55-87C0-CF6AE00A8BBC}"/>
    <hyperlink ref="C371" r:id="rId363" tooltip="Click to follow the hyperlink" display="\\cclserver\DATA\P 2020\03 CR Projects\06-20-CR-002 MEDORE Tower\Construction Phase\" xr:uid="{D4493077-7CE9-48D5-AB77-D07A01744E95}"/>
    <hyperlink ref="C372" r:id="rId364" tooltip="Click to follow the hyperlink" display="\\cclserver\DATA\Q 2020\CCL STRENGTHENING\Dubai\2023\R1.5541.23 Mina Bldg Al-Baha (Raffa)" xr:uid="{18F5C683-9D8E-42A8-9BCF-BDBE32CAF02D}"/>
    <hyperlink ref="C373" r:id="rId365" tooltip="Click to follow the hyperlink" display="\\cclserver\DATA\P 2020\03 CR Projects\06-21-CR-005 Marsa Al Arab\Construction phase" xr:uid="{C1B309A7-D23B-4FFC-8CDD-E54939A56F57}"/>
    <hyperlink ref="C374" r:id="rId366" tooltip="Click to follow the hyperlink" display="\\cclserver\DATA\Q 2020\CCL STRENGTHENING\Dubai\2023\R1.5546.23 CP03 - 02 &amp; 003" xr:uid="{FAF414DF-C887-4A7F-B1C4-AD50045C579F}"/>
    <hyperlink ref="C375" r:id="rId367" tooltip="Click to follow the hyperlink" display="\\cclserver\DATA\Q 2020\CCL STRENGTHENING\Dubai\2023\R1.5516.23 Burjuman Mall Refurbishment" xr:uid="{D8C7642D-6807-4662-9822-C1ECB7630D43}"/>
    <hyperlink ref="C376" r:id="rId368" tooltip="Click to follow the hyperlink" display="\\cclserver\DATA\P 2020\03 CR Projects\06-22-CR-017 Addax Tower" xr:uid="{3B9D1658-A86B-48D3-99D2-1CC74B5B2E93}"/>
    <hyperlink ref="C377" r:id="rId369" tooltip="Click to follow the hyperlink" display="\\cclserver\DATA\P 2020\03 CR Projects\06-22-CR-004 G+1 Private Villa &amp; Majlis" xr:uid="{28676911-85EC-4340-984D-2B976AD4FA58}"/>
    <hyperlink ref="C378" r:id="rId370" tooltip="Click to follow the hyperlink" display="\\cclserver\DATA\P 2020\03 CR Projects\06-22-CR-014 Saudi German Hospital Mirdif" xr:uid="{9A7A402A-6016-414F-94E1-F6CEEA09A81D}"/>
    <hyperlink ref="C379" r:id="rId371" tooltip="Click to follow the hyperlink" display="\\cclserver\DATA\P 2020\03 CR Projects\06-22-CR-009 Profile Residence" xr:uid="{5138DE62-FBB0-402B-8A07-8CCBA313DA18}"/>
    <hyperlink ref="C380" r:id="rId372" tooltip="Click to follow the hyperlink" display="\\cclserver\DATA\P 2020\03 CR Projects\06-20-CR-002 MEDORE Tower\Construction Phase\" xr:uid="{F0E455FD-B8CA-4A56-9709-4F9D3D8FE9B5}"/>
    <hyperlink ref="C381" r:id="rId373" tooltip="Click to follow the hyperlink" display="\\cclserver\DATA\Q 2020\CCL STRENGTHENING\Dubai\2023\R1.5541.23 Mina Bldg Al-Baha (Raffa)" xr:uid="{00017052-FDB9-4259-8223-072D920C47BE}"/>
    <hyperlink ref="C382" r:id="rId374" tooltip="Click to follow the hyperlink" display="\\cclserver\DATA\Q 2020\01 Dubai\Buildings\2023\A1.5544.23 Omniyat @ Plot 17A" xr:uid="{3A45E62C-2A4B-4C68-BC36-8C114B7F83AD}"/>
    <hyperlink ref="C383" r:id="rId375" tooltip="Click to follow the hyperlink" display="\\cclserver\DATA\P 2020\03 CR Projects\06-21-CR-005 Marsa Al Arab\Construction phase" xr:uid="{863DEEAF-0847-4E63-925B-9DCDA5B69E0A}"/>
    <hyperlink ref="C384" r:id="rId376" tooltip="Click to follow the hyperlink" display="\\cclserver\DATA\P 2020\03 CR Projects\06-22-CR-017 Addax Tower" xr:uid="{77805DEE-740C-4FFB-94E8-AC2785538ABB}"/>
    <hyperlink ref="C385" r:id="rId377" tooltip="Click to follow the hyperlink" display="\\cclserver\DATA\P 2020\03 CR Projects\06-22-CR-004 G+1 Private Villa &amp; Majlis" xr:uid="{A20F23FF-51B3-418D-AE64-7A787B9212AD}"/>
    <hyperlink ref="C386" r:id="rId378" tooltip="Click to follow the hyperlink" display="\\cclserver\DATA\P 2020\03 CR Projects\06-22-CR-014 Saudi German Hospital Mirdif" xr:uid="{5C9B9164-6B57-486B-8140-BC6CA83465CA}"/>
    <hyperlink ref="C387" r:id="rId379" tooltip="Click to follow the hyperlink" display="\\cclserver\DATA\P 2020\03 CR Projects\06-22-CR-009 Profile Residence" xr:uid="{AF7CD984-EEF5-4A4B-B117-A880BBF55948}"/>
    <hyperlink ref="C388" r:id="rId380" tooltip="Click to follow the hyperlink" display="\\cclserver\DATA\Q 2020\CCL STRENGTHENING\FILING_PENDING\16. Center Park" xr:uid="{32128BFD-26EA-417E-83F5-00A3B560EF83}"/>
    <hyperlink ref="C389" r:id="rId381" tooltip="Click to follow the hyperlink" display="\\cclserver\DATA\P 2020\03 CR Projects\06-20-CR-002 MEDORE Tower\Construction Phase\" xr:uid="{66CDAD92-B39A-41D8-834F-1FE5CDBA4D92}"/>
    <hyperlink ref="C390" r:id="rId382" tooltip="Click to follow the hyperlink" display="\\cclserver\DATA\Q 2020\CCL STRENGTHENING\Dubai\2023\R1.5541.23 Mina Bldg Al-Baha (Raffa)" xr:uid="{CE042DC4-99FA-4313-B459-5C8A095FFAD4}"/>
    <hyperlink ref="C391" r:id="rId383" tooltip="Click to follow the hyperlink" display="\\cclserver\DATA\P 2020\03 CR Projects\06-22-CR-017 Addax Tower" xr:uid="{B6D01168-274C-4434-9048-6462026B3FDB}"/>
    <hyperlink ref="C392" r:id="rId384" tooltip="Click to follow the hyperlink" display="\\cclserver\DATA\P 2020\03 CR Projects\06-22-CR-004 G+1 Private Villa &amp; Majlis" xr:uid="{1FEB256B-B0E1-4F68-8C08-C642C8449B87}"/>
    <hyperlink ref="C393" r:id="rId385" tooltip="Click to follow the hyperlink" display="\\cclserver\DATA\P 2020\03 CR Projects\06-22-CR-014 Saudi German Hospital Mirdif" xr:uid="{114AC0E5-7A13-4EA2-BF62-E740A6C5963E}"/>
    <hyperlink ref="C394" r:id="rId386" tooltip="Click to follow the hyperlink" display="\\cclserver\DATA\P 2020\03 CR Projects\06-22-CR-009 Profile Residence" xr:uid="{34D6FC03-3242-4DB2-B93E-35D7AF3BA06D}"/>
    <hyperlink ref="C395" r:id="rId387" tooltip="Click to follow the hyperlink" display="\\cclserver\DATA\Q 2020\CCL STRENGTHENING\FILING_PENDING\16. Center Park" xr:uid="{06B9301D-8C8F-4597-8934-09366CBF310F}"/>
    <hyperlink ref="C396" r:id="rId388" tooltip="Click to follow the hyperlink" display="\\cclserver\DATA\P 2020\03 CR Projects\06-20-CR-002 MEDORE Tower\Construction Phase\" xr:uid="{DCD31267-E071-4DDA-AC8D-D848AF07C8F7}"/>
    <hyperlink ref="C397" r:id="rId389" tooltip="Click to follow the hyperlink" display="\\cclserver\DATA\Q 2020\CCL STRENGTHENING\Dubai\2023\R1.5541.23 Mina Bldg Al-Baha (Raffa)" xr:uid="{C6BF36CB-7A4A-4FE7-8B7E-A4DA91C4B909}"/>
    <hyperlink ref="C398" r:id="rId390" tooltip="Click to follow the hyperlink" display="\\cclserver\DATA\Q 2020\CCL STRENGTHENING\Dubai\2023\R1.5514.23 Private Palace Jumeirah" xr:uid="{070E5AB0-4F7E-4987-8411-F6511C91279A}"/>
    <hyperlink ref="C399" r:id="rId391" tooltip="Click to follow the hyperlink" display="\\cclserver\DATA\P 2020\03 CR Projects\06-21-CR-005 Marsa Al Arab\Construction phase" xr:uid="{2C5F660F-DAFE-49A9-ADC6-91252CDAC5FC}"/>
    <hyperlink ref="C400" r:id="rId392" tooltip="Click to follow the hyperlink" display="\\cclserver\DATA\P 2020\03 CR Projects\06-22-CR-017 Addax Tower" xr:uid="{A6910710-0319-44A5-9D86-82C7BEFEBB93}"/>
    <hyperlink ref="C401" r:id="rId393" tooltip="Click to follow the hyperlink" display="\\cclserver\DATA\P 2020\03 CR Projects\06-22-CR-004 G+1 Private Villa &amp; Majlis" xr:uid="{FFC5CBCA-376A-41D4-A7C2-DC7BE654897E}"/>
    <hyperlink ref="C402" r:id="rId394" tooltip="Click to follow the hyperlink" display="\\cclserver\DATA\P 2020\03 CR Projects\06-22-CR-014 Saudi German Hospital Mirdif" xr:uid="{32FE8412-AF04-418D-9645-08D761E406D7}"/>
    <hyperlink ref="C403" r:id="rId395" tooltip="Click to follow the hyperlink" display="\\cclserver\DATA\P 2020\03 CR Projects\06-22-CR-009 Profile Residence" xr:uid="{8D9EC487-12E5-420B-A0AC-77464AD897FB}"/>
    <hyperlink ref="C404" r:id="rId396" tooltip="Click to follow the hyperlink" display="\\cclserver\DATA\Q 2020\CCL STRENGTHENING\FILING_PENDING\16. Center Park" xr:uid="{F81A342D-4931-4628-9B8C-DBB69501D378}"/>
    <hyperlink ref="C405" r:id="rId397" tooltip="Click to follow the hyperlink" display="\\cclserver\DATA\Q 2020\CCL STRENGTHENING\Dubai\2023\R1.5537.23 Astoria Tower Habtoor City" xr:uid="{12F84C78-CFBE-4D63-8AF3-0D7838D0999B}"/>
    <hyperlink ref="C406" r:id="rId398" tooltip="Click to follow the hyperlink" display="\\cclserver\DATA\P 2020\03 CR Projects\06-20-CR-002 MEDORE Tower\Construction Phase\" xr:uid="{A1ED015A-3470-4AA1-A3D8-8E247971534A}"/>
    <hyperlink ref="C407" r:id="rId399" tooltip="Click to follow the hyperlink" display="\\cclserver\DATA\Q 2020\CCL STRENGTHENING\Dubai\2023\R1.5541.23 Mina Bldg Al-Baha (Raffa)" xr:uid="{346D8A47-8DF5-4746-9706-0176642B08F5}"/>
    <hyperlink ref="C408" r:id="rId400" tooltip="Click to follow the hyperlink" display="\\cclserver\DATA\Q 2020\CCL STRENGTHENING\Dubai\2022\R1.5399.22 Nakheel Mall Redevelopment" xr:uid="{531A0C82-389D-4A44-ACF5-DF7573A4BD11}"/>
    <hyperlink ref="C409" r:id="rId401" tooltip="Click to follow the hyperlink" display="\\cclserver\DATA\P 2020\03 CR Projects\06-22-CR-014 Saudi German Hospital Mirdif" xr:uid="{57914598-AAED-4676-801E-C9DA9186810A}"/>
    <hyperlink ref="C410" r:id="rId402" tooltip="Click to follow the hyperlink" display="\\cclserver\DATA\P 2020\03 CR Projects\06-22-CR-017 Addax Tower" xr:uid="{5B4E1F9C-6A25-42D1-833E-4CA8BED66190}"/>
    <hyperlink ref="C411" r:id="rId403" tooltip="Click to follow the hyperlink" display="\\cclserver\DATA\P 2020\03 CR Projects\06-22-CR-004 G+1 Private Villa &amp; Majlis" xr:uid="{D8369616-2136-4335-968F-9F257D408913}"/>
    <hyperlink ref="C412" r:id="rId404" tooltip="Click to follow the hyperlink" display="\\cclserver\DATA\P 2020\03 CR Projects\06-22-CR-014 Saudi German Hospital Mirdif" xr:uid="{42647C24-673B-4208-8F29-5997EB52075E}"/>
    <hyperlink ref="C413" r:id="rId405" tooltip="Click to follow the hyperlink" display="\\cclserver\DATA\P 2020\03 CR Projects\06-22-CR-009 Profile Residence" xr:uid="{B4133603-67EC-481E-9508-C1C6B68A26A3}"/>
    <hyperlink ref="C414" r:id="rId406" tooltip="Click to follow the hyperlink" display="\\cclserver\DATA\Q 2020\CCL STRENGTHENING\FILING_PENDING\16. Center Park" xr:uid="{8DDEB255-D77B-4B45-A419-8145C845D662}"/>
    <hyperlink ref="C415" r:id="rId407" tooltip="Click to follow the hyperlink" display="\\cclserver\DATA\P 2020\03 CR Projects\06-22-CR-011 Park Avenue 3 (Azizi)" xr:uid="{7D079C0F-CFAC-42DC-AA4F-D81F162D1F55}"/>
    <hyperlink ref="C416" r:id="rId408" tooltip="Click to follow the hyperlink" display="\\cclserver\DATA\Q 2020\CCL STRENGTHENING\Dubai\2023\R1.5537.23 Astoria Tower Habtoor City" xr:uid="{9971A664-8AE9-473A-BAFC-2541F91E691A}"/>
    <hyperlink ref="C417" r:id="rId409" tooltip="Click to follow the hyperlink" display="\\cclserver\DATA\P 2020\03 CR Projects\06-20-CR-002 MEDORE Tower\Construction Phase\" xr:uid="{05943399-E18C-495C-926F-D574C21D7109}"/>
    <hyperlink ref="C418" r:id="rId410" tooltip="Click to follow the hyperlink" display="\\cclserver\DATA\P 2020\03 CR Projects\06-20-CR-002 MEDORE Tower\Construction Phase\" xr:uid="{27BFC769-2BF2-44A5-AC35-75D36C96DE4F}"/>
    <hyperlink ref="C419" r:id="rId411" tooltip="Click to follow the hyperlink" display="\\cclserver\DATA\Q 2020\CCL STRENGTHENING\Dubai\2022\R1.5399.22 Nakheel Mall Redevelopment" xr:uid="{50116096-1DD8-41A9-AC6E-4F7C040ECABB}"/>
    <hyperlink ref="C420" r:id="rId412" tooltip="Click to follow the hyperlink" display="\\cclserver\DATA\Q 2020\CCL STRENGTHENING\Dubai\2023\R1.5541.23 Mina Bldg Al-Baha (Raffa)" xr:uid="{E23EC2D9-961A-4610-B583-4D5F7D1DCAFE}"/>
    <hyperlink ref="C421" r:id="rId413" tooltip="Click to follow the hyperlink" display="\\cclserver\DATA\P 2020\03 CR Projects\06-22-CR-017 Addax Tower" xr:uid="{8735321A-94D2-4C51-B333-85C51F3630FE}"/>
    <hyperlink ref="C422" r:id="rId414" tooltip="Click to follow the hyperlink" display="\\cclserver\DATA\P 2020\03 CR Projects\06-22-CR-004 G+1 Private Villa &amp; Majlis" xr:uid="{E7E748A4-B552-40D2-8595-E305B3098573}"/>
    <hyperlink ref="C423" r:id="rId415" tooltip="Click to follow the hyperlink" display="\\cclserver\DATA\P 2020\03 CR Projects\06-22-CR-014 Saudi German Hospital Mirdif" xr:uid="{3CC7E552-F8EE-41B8-AE37-F990603E0D1A}"/>
    <hyperlink ref="C424" r:id="rId416" tooltip="Click to follow the hyperlink" display="\\cclserver\DATA\P 2020\03 CR Projects\06-21-CR-005 Marsa Al Arab\Construction phase" xr:uid="{622FD7B3-DFCE-4DFA-A27B-D9ABD5EA9DE8}"/>
    <hyperlink ref="C425" r:id="rId417" tooltip="Click to follow the hyperlink" display="\\cclserver\DATA\P 2020\03 CR Projects\06-22-CR-009 Profile Residence" xr:uid="{A73EC7A5-9788-469C-B5FD-566FD0DEC9C4}"/>
    <hyperlink ref="C426" r:id="rId418" tooltip="Click to follow the hyperlink" display="\\cclserver\DATA\Q 2020\CCL STRENGTHENING\FILING_PENDING\16. Center Park" xr:uid="{F3F69E42-CC57-4168-A9A5-07CB80056489}"/>
    <hyperlink ref="C427" r:id="rId419" tooltip="Click to follow the hyperlink" display="\\cclserver\DATA\P 2020\03 CR Projects\06-22-CR-011 Park Avenue 3 (Azizi)" xr:uid="{2C9F9087-C3B0-4424-A06B-95484801DA4B}"/>
    <hyperlink ref="C428" r:id="rId420" tooltip="Click to follow the hyperlink" display="\\cclserver\DATA\P 2020\03 CR Projects\06-20-CR-002 MEDORE Tower\Construction Phase\" xr:uid="{302F32FF-30AD-419A-AB97-955EFBEC53B7}"/>
    <hyperlink ref="C429" r:id="rId421" tooltip="Click to follow the hyperlink" display="\\cclserver\DATA\P 2020\03 CR Projects\06-20-CR-002 MEDORE Tower\Construction Phase\" xr:uid="{E1EAE439-2BED-4CEF-8879-A5E2224BE8C4}"/>
    <hyperlink ref="C430" r:id="rId422" tooltip="Click to follow the hyperlink" display="\\cclserver\DATA\Q 2020\CCL STRENGTHENING\Dubai\2022\R1.5399.22 Nakheel Mall Redevelopment" xr:uid="{B0CC179F-E667-469B-B5AE-745F17000EAE}"/>
    <hyperlink ref="C431" r:id="rId423" tooltip="Click to follow the hyperlink" display="\\cclserver\DATA\Q 2020\CCL STRENGTHENING\Dubai\2023\R1.5537.23 Astoria Tower Habtoor City" xr:uid="{4EAA8109-4F7C-4A70-AE37-7B9BE1C11923}"/>
    <hyperlink ref="C432" r:id="rId424" tooltip="Click to follow the hyperlink" display="\\cclserver\DATA\P 2020\03 CR Projects\06-22-CR-017 Addax Tower" xr:uid="{B3311762-CFDB-4D46-9FF4-196D48F61671}"/>
    <hyperlink ref="C433" r:id="rId425" tooltip="Click to follow the hyperlink" display="\\cclserver\DATA\P 2020\03 CR Projects\06-22-CR-004 G+1 Private Villa &amp; Majlis" xr:uid="{11EBECD5-2A5B-4BDB-83EF-883144973992}"/>
    <hyperlink ref="C434" r:id="rId426" tooltip="Click to follow the hyperlink" display="\\cclserver\DATA\P 2020\03 CR Projects\06-22-CR-014 Saudi German Hospital Mirdif" xr:uid="{D209FD0A-1D10-4B5B-909F-65E514EBB435}"/>
    <hyperlink ref="C435" r:id="rId427" tooltip="Click to follow the hyperlink" display="\\cclserver\DATA\P 2020\03 CR Projects\06-22-CR-014 Saudi German Hospital Mirdif" xr:uid="{59C03A31-6ACB-4BD8-AC2B-571EA64465BD}"/>
    <hyperlink ref="C436" r:id="rId428" tooltip="Click to follow the hyperlink" display="\\cclserver\DATA\P 2020\03 CR Projects\06-21-CR-005 Marsa Al Arab\Construction phase" xr:uid="{0880A3AD-36B2-425D-9F6D-57530AC9EFDB}"/>
    <hyperlink ref="C437" r:id="rId429" tooltip="Click to follow the hyperlink" display="\\cclserver\DATA\P 2020\03 CR Projects\06-22-CR-011 Park Avenue 3 (Azizi)" xr:uid="{107BA811-297D-48DE-A777-B7CEFD75C09E}"/>
    <hyperlink ref="C438" r:id="rId430" tooltip="Click to follow the hyperlink" display="\\cclserver\DATA\P 2020\03 CR Projects\06-22-CR-009 Profile Residence" xr:uid="{7FEFAD5C-23C0-462B-BAE7-FAD684A608E2}"/>
    <hyperlink ref="C439" r:id="rId431" tooltip="Click to follow the hyperlink" display="\\cclserver\DATA\Q 2020\CCL STRENGTHENING\FILING_PENDING\16. Center Park" xr:uid="{427D8043-5CCE-4BD3-B421-C2D5F3E14965}"/>
    <hyperlink ref="C440" r:id="rId432" tooltip="Click to follow the hyperlink" display="\\cclserver\DATA\P 2020\03 CR Projects\06-22-CR-017 Addax Tower" xr:uid="{86B693AD-88DB-41B6-A2C5-CF5213ED2963}"/>
    <hyperlink ref="C441" r:id="rId433" tooltip="Click to follow the hyperlink" display="\\cclserver\DATA\P 2020\03 CR Projects\06-22-CR-004 G+1 Private Villa &amp; Majlis" xr:uid="{B15B8B67-0BFB-4BAC-9EA1-A4E671342206}"/>
    <hyperlink ref="C442" r:id="rId434" tooltip="Click to follow the hyperlink" display="\\cclserver\DATA\P 2020\03 CR Projects\06-22-CR-014 Saudi German Hospital Mirdif" xr:uid="{B406509B-B82D-44F5-8D0D-7BEB84BA70EC}"/>
    <hyperlink ref="C443" r:id="rId435" tooltip="Click to follow the hyperlink" display="\\cclserver\DATA\P 2020\03 CR Projects\06-22-CR-014 Saudi German Hospital Mirdif" xr:uid="{CC92ED8F-D849-46ED-96E6-412CCE465939}"/>
    <hyperlink ref="C444" r:id="rId436" tooltip="Click to follow the hyperlink" display="\\cclserver\DATA\P 2020\03 CR Projects\06-21-CR-005 Marsa Al Arab\Construction phase" xr:uid="{BB865CD4-D187-4B72-BEA1-8AE39831B3FF}"/>
    <hyperlink ref="C445" r:id="rId437" tooltip="Click to follow the hyperlink" display="\\cclserver\DATA\P 2020\03 CR Projects\06-22-CR-011 Park Avenue 3 (Azizi)" xr:uid="{486BF019-16CE-4161-8993-D405D9AA5EAE}"/>
    <hyperlink ref="C446" r:id="rId438" tooltip="Click to follow the hyperlink" display="\\cclserver\DATA\P 2020\03 CR Projects\06-22-CR-009 Profile Residence" xr:uid="{3460D3C6-6C88-40C6-8499-46035947A3DA}"/>
    <hyperlink ref="C447" r:id="rId439" tooltip="Click to follow the hyperlink" display="\\cclserver\DATA\P 2020\03 CR Projects\06-22-CR-017 Addax Tower" xr:uid="{8BDEEE00-4077-43B1-BD18-9300D21BF133}"/>
    <hyperlink ref="C448" r:id="rId440" tooltip="Click to follow the hyperlink" display="\\cclserver\DATA\P 2020\03 CR Projects\06-22-CR-004 G+1 Private Villa &amp; Majlis" xr:uid="{F3723777-D0B1-4530-BA4D-FE6A1EF0D748}"/>
    <hyperlink ref="C449" r:id="rId441" tooltip="Click to follow the hyperlink" display="\\cclserver\DATA\P 2020\03 CR Projects\06-22-CR-014 Saudi German Hospital Mirdif" xr:uid="{988385BD-3117-4DA8-9543-E0B1B6CF7EAD}"/>
    <hyperlink ref="C450" r:id="rId442" tooltip="Click to follow the hyperlink" display="\\cclserver\DATA\P 2020\03 CR Projects\06-22-CR-014 Saudi German Hospital Mirdif" xr:uid="{0D8ADFB8-170A-4157-BE6E-B1130C2C2769}"/>
    <hyperlink ref="C451" r:id="rId443" tooltip="Click to follow the hyperlink" display="\\cclserver\DATA\P 2020\03 CR Projects\06-21-CR-005 Marsa Al Arab\Construction phase" xr:uid="{7D32C4EF-BD68-4ACA-A419-F9ED00FFFC56}"/>
    <hyperlink ref="C452" r:id="rId444" tooltip="Click to follow the hyperlink" display="\\cclserver\DATA\Q 2020\CCL STRENGTHENING\Dubai\2022\R1.5399.22 Nakheel Mall Redevelopment" xr:uid="{ED1DE2AE-FD76-4B04-B1B8-9B8377411E6F}"/>
    <hyperlink ref="C453" r:id="rId445" tooltip="Click to follow the hyperlink" display="\\cclserver\DATA\P 2020\03 CR Projects\06-22-CR-011 Park Avenue 3 (Azizi)" xr:uid="{F2938EA5-8613-4D88-A8C0-E011F841B363}"/>
    <hyperlink ref="C454" r:id="rId446" tooltip="Click to follow the hyperlink" display="\\cclserver\DATA\Q 2020\CCL STRENGTHENING\Dubai\2023\R1.5537.23 Astoria Tower Habtoor City" xr:uid="{7800A4CF-CCE7-4414-87AB-A514BAF2466B}"/>
    <hyperlink ref="C455" r:id="rId447" tooltip="Click to follow the hyperlink" display="\\cclserver\DATA\P 2020\03 CR Projects\06-22-CR-017 Addax Tower" xr:uid="{2B0C2911-EC44-4E36-9B6B-5E961E064E33}"/>
    <hyperlink ref="C456" r:id="rId448" tooltip="Click to follow the hyperlink" display="\\cclserver\DATA\P 2020\03 CR Projects\06-22-CR-004 G+1 Private Villa &amp; Majlis" xr:uid="{1567678B-37DE-4036-A32E-AB159BC9E1D2}"/>
    <hyperlink ref="C457" r:id="rId449" tooltip="Click to follow the hyperlink" display="\\cclserver\DATA\P 2020\03 CR Projects\06-22-CR-014 Saudi German Hospital Mirdif" xr:uid="{E8B844DD-C281-4D6E-99FA-47B6DB6BCBDA}"/>
    <hyperlink ref="C458" r:id="rId450" tooltip="Click to follow the hyperlink" display="\\cclserver\DATA\Q 2020\CCL STRENGTHENING\Dubai\2022\R1.5399.22 Nakheel Mall Redevelopment" xr:uid="{78F0BD06-075F-48BB-A90C-1D113EEC82ED}"/>
    <hyperlink ref="C459" r:id="rId451" tooltip="Click to follow the hyperlink" display="\\cclserver\DATA\P 2020\03 CR Projects\06-22-CR-014 Saudi German Hospital Mirdif" xr:uid="{ECB12676-9482-4B55-BC43-889A5E055897}"/>
    <hyperlink ref="C460" r:id="rId452" tooltip="Click to follow the hyperlink" display="\\cclserver\DATA\Q 2020\CCL STRENGTHENING\Dubai\2022\R1.5485.22 Villa L46" xr:uid="{954DED62-8E9F-4C04-B9E0-BDB1CC014FD0}"/>
    <hyperlink ref="C461" r:id="rId453" tooltip="Click to follow the hyperlink" display="\\cclserver\DATA\P 2020\03 CR Projects\06-21-CR-005 Marsa Al Arab\Construction phase" xr:uid="{0255EF07-F3FD-47E2-8B70-DDC8E284015A}"/>
    <hyperlink ref="C462" r:id="rId454" tooltip="Click to follow the hyperlink" display="\\cclserver\DATA\Q 2020\CCL STRENGTHENING\Dubai\2023\R1.5533.23 Labor Camp @ Warsan" xr:uid="{A1EBA7D3-4039-43DE-9AB5-B69AE585175A}"/>
    <hyperlink ref="C463" r:id="rId455" tooltip="Click to follow the hyperlink" display="\\cclserver\DATA\P 2020\03 CR Projects\06-22-CR-011 Park Avenue 3 (Azizi)" xr:uid="{536F97B4-FFCA-4FA6-918F-B4677384E563}"/>
    <hyperlink ref="C464" r:id="rId456" tooltip="Click to follow the hyperlink" display="\\cclserver\DATA\Q 2020\CCL STRENGTHENING\Dubai\2022\R1.5399.22 Nakheel Mall Redevelopment" xr:uid="{7A497A54-6DBB-4542-9C8D-A49B80D59D0D}"/>
    <hyperlink ref="C465" r:id="rId457" tooltip="Click to follow the hyperlink" display="\\cclserver\DATA\P 2020\03 CR Projects\06-19-CR-007 Latifa Tower" xr:uid="{2E6E508C-12BB-47A7-9146-7E603945B9A2}"/>
    <hyperlink ref="C466" r:id="rId458" tooltip="Click to follow the hyperlink" display="\\cclserver\DATA\P 2020\03 CR Projects\06-22-CR-017 Addax Tower" xr:uid="{139C335C-20E3-459D-96AB-AC7EA9CA5315}"/>
    <hyperlink ref="C467" r:id="rId459" tooltip="Click to follow the hyperlink" display="\\cclserver\DATA\P 2020\03 CR Projects\06-22-CR-004 G+1 Private Villa &amp; Majlis" xr:uid="{0CE36BAB-6FA3-48CA-B84A-9250A9BEA20B}"/>
    <hyperlink ref="C468" r:id="rId460" tooltip="Click to follow the hyperlink" display="\\cclserver\DATA\Q 2020\CCL STRENGTHENING\Dubai\2023\R1.5526.23 Damac Cour Jardin" xr:uid="{869522AD-A10D-4B5F-93F9-EB389684D332}"/>
    <hyperlink ref="C469" r:id="rId461" tooltip="Click to follow the hyperlink" display="\\cclserver\DATA\Q 2020\CCL STRENGTHENING\Dubai\2023\R1.5525.23 Damac Waters Edge" xr:uid="{6490DBD3-3D87-46A1-ABA4-2137EB2FE7D7}"/>
    <hyperlink ref="C470" r:id="rId462" tooltip="Click to follow the hyperlink" display="\\cclserver\DATA\P 2020\03 CR Projects\06-22-CR-014 Saudi German Hospital Mirdif" xr:uid="{99BBFAAE-C9FC-4B09-A3B7-D93AE7F48AFC}"/>
    <hyperlink ref="C471" r:id="rId463" tooltip="Click to follow the hyperlink" display="\\cclserver\DATA\P 2020\03 CR Projects\06-20-CR-002 MEDORE Tower\Construction Phase\" xr:uid="{B0122502-9E8A-47AC-AE57-A0DD93AD79C2}"/>
    <hyperlink ref="C472" r:id="rId464" tooltip="Click to follow the hyperlink" display="\\cclserver\DATA\Q 2020\CCL STRENGTHENING\Dubai\2021\R1.5261.21 Al Wasl Tower" xr:uid="{BCD3CBDD-2A0A-4EB3-BC9D-29EE142A6D44}"/>
    <hyperlink ref="C473" r:id="rId465" tooltip="Click to follow the hyperlink" display="\\cclserver\DATA\Q 2020\CCL STRENGTHENING\Dubai\2022\R1.5399.22 Nakheel Mall Redevelopment" xr:uid="{143E7318-C604-459C-A60A-5C03595551F3}"/>
    <hyperlink ref="C474" r:id="rId466" tooltip="Click to follow the hyperlink" display="\\cclserver\DATA\P 2020\03 CR Projects\06-21-CR-005 Marsa Al Arab\Construction phase" xr:uid="{C48D80F2-C023-43A3-96EB-F531C792E17C}"/>
    <hyperlink ref="C475" r:id="rId467" tooltip="Click to follow the hyperlink" display="\\cclserver\DATA\P 2020\03 CR Projects\06-22-CR-017 Addax Tower" xr:uid="{6F7D962D-D753-4DFB-BB54-F96C3399349A}"/>
    <hyperlink ref="C476" r:id="rId468" tooltip="Click to follow the hyperlink" display="\\cclserver\DATA\P 2020\03 CR Projects\06-22-CR-004 G+1 Private Villa &amp; Majlis" xr:uid="{AA921294-84D6-431A-93B7-AE3080CD2650}"/>
    <hyperlink ref="C477" r:id="rId469" tooltip="Click to follow the hyperlink" display="\\cclserver\DATA\Q 2020\CCL STRENGTHENING\Dubai\2023\R1.5526.23 Damac Cour Jardin" xr:uid="{4B941498-3023-4479-AAF4-F981B1175E71}"/>
    <hyperlink ref="C478" r:id="rId470" tooltip="Click to follow the hyperlink" display="\\cclserver\DATA\Q 2020\CCL STRENGTHENING\Dubai\2023\R1.5525.23 Damac Waters Edge" xr:uid="{A0EB1FE3-060C-4DC5-9A50-77BE629AB8A3}"/>
    <hyperlink ref="C479" r:id="rId471" tooltip="Click to follow the hyperlink" display="\\cclserver\DATA\P 2020\03 CR Projects\06-22-CR-014 Saudi German Hospital Mirdif" xr:uid="{98FFB0EB-4BFA-408F-ABCC-1929EB990972}"/>
    <hyperlink ref="C480" r:id="rId472" tooltip="Click to follow the hyperlink" display="\\cclserver\DATA\P 2020\03 CR Projects\06-20-CR-002 MEDORE Tower\Construction Phase\" xr:uid="{7888380C-4BB7-4E52-BF2D-8F1D1FE8BA5B}"/>
    <hyperlink ref="C481" r:id="rId473" tooltip="Click to follow the hyperlink" display="\\cclserver\DATA\P 2020\03 CR Projects\06-21-CR-005 Marsa Al Arab\Construction phase" xr:uid="{D2832434-87AA-4AF7-9820-37AD935BEB3B}"/>
    <hyperlink ref="C482" r:id="rId474" tooltip="Click to follow the hyperlink" display="\\cclserver\DATA\Q 2020\CCL STRENGTHENING\Dubai\2023\R1.5530.23 SARI Villa Al Awir" xr:uid="{8FE48839-610B-4E19-BB56-F5253E2DF9FB}"/>
    <hyperlink ref="C483" r:id="rId475" tooltip="Click to follow the hyperlink" display="\\cclserver\DATA\P 2020\03 CR Projects\06-22-CR-017 Addax Tower" xr:uid="{136149A3-1DA9-4A22-8227-F9ADD105D3EA}"/>
    <hyperlink ref="C484" r:id="rId476" tooltip="Click to follow the hyperlink" display="\\cclserver\DATA\P 2020\03 CR Projects\06-22-CR-004 G+1 Private Villa &amp; Majlis" xr:uid="{8677E1AA-4C65-460C-88CF-24CECA71E091}"/>
    <hyperlink ref="C485" r:id="rId477" tooltip="Click to follow the hyperlink" display="\\cclserver\DATA\Q 2020\CCL STRENGTHENING\Dubai\2023\R1.5526.23 Damac Cour Jardin" xr:uid="{0510585F-D223-4272-B4EC-2B1C511A60AF}"/>
    <hyperlink ref="C486" r:id="rId478" tooltip="Click to follow the hyperlink" display="\\cclserver\DATA\Q 2020\CCL STRENGTHENING\Dubai\2023\R1.5525.23 Damac Waters Edge" xr:uid="{27CA6164-A65F-4097-BD27-A09126B73605}"/>
    <hyperlink ref="C487" r:id="rId479" tooltip="Click to follow the hyperlink" display="\\cclserver\DATA\P 2020\03 CR Projects\06-22-CR-006 Prayer hall Al-Quoz (Towers United)" xr:uid="{99D832F6-BE3B-4C89-B2E3-1ED98E743DD1}"/>
    <hyperlink ref="C488" r:id="rId480" tooltip="Click to follow the hyperlink" display="\\cclserver\DATA\P 2020\03 CR Projects\06-22-CR-011 Park Avenue 3 (Azizi)" xr:uid="{638934C9-11B3-41DB-81A8-7D6D76308622}"/>
    <hyperlink ref="C489" r:id="rId481" tooltip="Click to follow the hyperlink" display="\\cclserver\DATA\Q 2020\CCL STRENGTHENING\Dubai\2021\R1.5261.21 Al Wasl Tower" xr:uid="{FD630091-B917-4CFE-94B5-97F9FD204756}"/>
    <hyperlink ref="C490" r:id="rId482" tooltip="Click to follow the hyperlink" display="\\cclserver\DATA\P 2020\03 CR Projects\06-22-CR-014 Saudi German Hospital Mirdif" xr:uid="{83269BE7-0F61-4126-8D15-BFE062F5CB37}"/>
    <hyperlink ref="C491" r:id="rId483" tooltip="Click to follow the hyperlink" display="\\cclserver\DATA\P 2020\03 CR Projects\06-22-CR-017 Addax Tower" xr:uid="{61A29BF3-2761-497C-B828-735D4E7E3E11}"/>
    <hyperlink ref="C492" r:id="rId484" tooltip="Click to follow the hyperlink" display="\\cclserver\DATA\Q 2020\CCL STRENGTHENING\Dubai\2022\R1.5399.22 Nakheel Mall Redevelopment" xr:uid="{49D822CA-41BD-45E8-9F77-F7359620042F}"/>
    <hyperlink ref="C493" r:id="rId485" tooltip="Click to follow the hyperlink" display="\\cclserver\DATA\P 2020\03 CR Projects\06-22-CR-014 Saudi German Hospital Mirdif" xr:uid="{701890E4-A337-4003-BF7E-39E8901AD8ED}"/>
    <hyperlink ref="C494" r:id="rId486" tooltip="Click to follow the hyperlink" display="\\cclserver\DATA\P 2020\03 CR Projects\06-22-CR-004 G+1 Private Villa &amp; Majlis" xr:uid="{31A3CCE4-11A4-400E-960D-1876B1B1348A}"/>
    <hyperlink ref="C495" r:id="rId487" tooltip="Click to follow the hyperlink" display="\\cclserver\DATA\P 2020\03 CR Projects\06-20-CR-002 MEDORE Tower\Construction Phase\" xr:uid="{24798E01-F1AF-414A-BDDA-B2AAAB3A5985}"/>
    <hyperlink ref="C496" r:id="rId488" tooltip="Click to follow the hyperlink" display="\\cclserver\DATA\Q 2020\CCL STRENGTHENING\Dubai\2023\R1.5526.23 Damac Cour Jardin" xr:uid="{D725AF1D-E0E2-473F-AABB-76BF31FFDC20}"/>
    <hyperlink ref="C497" r:id="rId489" tooltip="Click to follow the hyperlink" display="\\cclserver\DATA\Q 2020\CCL STRENGTHENING\Dubai\2023\R1.5525.23 Damac Waters Edge" xr:uid="{D027ED95-CF6B-482C-9A07-073928D4C465}"/>
    <hyperlink ref="C498" r:id="rId490" tooltip="Click to follow the hyperlink" display="\\cclserver\DATA\P 2020\03 CR Projects\06-22-CR-017 Addax Tower" xr:uid="{E4C283EF-C9EE-4162-A4D1-B5DE6E997B59}"/>
    <hyperlink ref="C499" r:id="rId491" tooltip="Click to follow the hyperlink" display="\\cclserver\DATA\Q 2020\CCL STRENGTHENING\Dubai\2022\R1.5399.22 Nakheel Mall Redevelopment" xr:uid="{527511B6-B4F8-429D-A32C-4E20B603CF8B}"/>
    <hyperlink ref="C500" r:id="rId492" tooltip="Click to follow the hyperlink" display="\\cclserver\DATA\P 2020\03 CR Projects\06-22-CR-014 Saudi German Hospital Mirdif" xr:uid="{093D9ED5-9D9E-43DB-93BA-A0DB90AE0490}"/>
    <hyperlink ref="C501" r:id="rId493" tooltip="Click to follow the hyperlink" display="\\cclserver\DATA\P 2020\03 CR Projects\06-22-CR-004 G+1 Private Villa &amp; Majlis" xr:uid="{0BABAA21-5C72-4180-BA03-A2AF900A2C71}"/>
    <hyperlink ref="C502" r:id="rId494" tooltip="Click to follow the hyperlink" display="\\cclserver\DATA\P 2020\03 CR Projects\06-20-CR-002 MEDORE Tower\Construction Phase\" xr:uid="{5C58FA5F-5151-4264-8A68-946FB44D5CDF}"/>
    <hyperlink ref="C503" r:id="rId495" tooltip="Click to follow the hyperlink" display="\\cclserver\DATA\P 2020\03 CR Projects\06-22-CR-017 Addax Tower" xr:uid="{0A76BF70-48F2-47F2-A052-80B8B29D08AB}"/>
    <hyperlink ref="C504" r:id="rId496" tooltip="Click to follow the hyperlink" display="\\cclserver\DATA\Q 2020\CCL STRENGTHENING\Dubai\2022\R1.5399.22 Nakheel Mall Redevelopment" xr:uid="{C36C2EED-FA92-4FFC-9A11-4ED79055AB37}"/>
    <hyperlink ref="C505" r:id="rId497" tooltip="Click to follow the hyperlink" display="\\cclserver\DATA\P 2020\03 CR Projects\06-22-CR-014 Saudi German Hospital Mirdif" xr:uid="{89533B20-42D8-40B6-9636-3F71AC9878EC}"/>
    <hyperlink ref="C506" r:id="rId498" tooltip="Click to follow the hyperlink" display="\\cclserver\DATA\P 2020\03 CR Projects\06-22-CR-004 G+1 Private Villa &amp; Majlis" xr:uid="{BC1DA345-4DED-479D-983F-E9AE7C583204}"/>
    <hyperlink ref="C507" r:id="rId499" tooltip="Click to follow the hyperlink" display="\\cclserver\DATA\P 2020\03 CR Projects\06-20-CR-002 MEDORE Tower\Construction Phase\" xr:uid="{EC9F9D5B-3CE6-4F0B-9658-56EB3573F215}"/>
    <hyperlink ref="C509" r:id="rId500" tooltip="Click to follow the hyperlink" display="\\cclserver\DATA\P 2020\03 CR Projects\06-22-CR-017 Addax Tower" xr:uid="{458D3494-CB51-4E03-AE80-AE8C6D790F51}"/>
    <hyperlink ref="C510" r:id="rId501" tooltip="Click to follow the hyperlink" display="\\cclserver\DATA\Q 2020\CCL STRENGTHENING\Dubai\2022\R1.5399.22 Nakheel Mall Redevelopment" xr:uid="{3F766B05-BC20-4995-B23E-EB334BCEE233}"/>
    <hyperlink ref="C511" r:id="rId502" tooltip="Click to follow the hyperlink" display="\\cclserver\DATA\Q 2020\CCL STRENGTHENING\Dubai\2021\R1.5261.21 Al Wasl Tower" xr:uid="{FF12DE65-85E3-458A-A8CC-0620F133D59A}"/>
    <hyperlink ref="C512" r:id="rId503" tooltip="Click to follow the hyperlink" display="\\cclserver\DATA\P 2020\03 CR Projects\06-22-CR-014 Saudi German Hospital Mirdif" xr:uid="{48EEA760-946F-4DA5-9D54-63B00FFA3A19}"/>
    <hyperlink ref="C513" r:id="rId504" tooltip="Click to follow the hyperlink" display="\\cclserver\DATA\P 2020\03 CR Projects\06-22-CR-004 G+1 Private Villa &amp; Majlis" xr:uid="{CDED77AF-7C99-4A9B-B28B-D43FD19262E8}"/>
    <hyperlink ref="C514" r:id="rId505" tooltip="Click to follow the hyperlink" display="\\cclserver\DATA\Q 2020\CCL STRENGTHENING\Dubai\2021\R1.5261.21 Al Wasl Tower" xr:uid="{8F3724BB-A785-4398-87A1-47D80A7F179E}"/>
    <hyperlink ref="C515" r:id="rId506" tooltip="Click to follow the hyperlink" display="\\cclserver\DATA\P 2020\03 CR Projects\06-20-CR-002 MEDORE Tower\Construction Phase\" xr:uid="{DF62D751-6C30-41C2-8FC9-D88EDE4A2F9B}"/>
    <hyperlink ref="C516" r:id="rId507" tooltip="Click to follow the hyperlink" display="\\cclserver\DATA\P 2020\03 CR Projects\06-22-CR-017 Addax Tower" xr:uid="{47E67FF8-BA03-4441-83E0-9530B49468F6}"/>
    <hyperlink ref="C517" r:id="rId508" tooltip="Click to follow the hyperlink" display="\\cclserver\DATA\Q 2020\CCL STRENGTHENING\Dubai\2023\R1.5526.23 Damac Cour Jardin" xr:uid="{05AA6EA8-38E5-461A-A527-062EC60B0B33}"/>
    <hyperlink ref="C518" r:id="rId509" tooltip="Click to follow the hyperlink" display="\\cclserver\DATA\Q 2020\CCL STRENGTHENING\Dubai\2023\R1.5525.23 Damac Waters Edge" xr:uid="{C0A45F61-B892-4292-B77F-E093F8B2BCE9}"/>
    <hyperlink ref="C519" r:id="rId510" tooltip="Click to follow the hyperlink" display="\\cclserver\DATA\Q 2020\CCL STRENGTHENING\Dubai\2022\R1.5399.22 Nakheel Mall Redevelopment" xr:uid="{BC405C2F-18B1-4B3E-807E-DA5CA8523C1B}"/>
    <hyperlink ref="C520" r:id="rId511" tooltip="Click to follow the hyperlink" display="\\cclserver\DATA\Q 2020\CCL STRENGTHENING\Dubai\2022\R1.5399.22 Nakheel Mall Redevelopment" xr:uid="{4CBDAEF4-7CB9-44DD-BFD4-1285CFB6154A}"/>
    <hyperlink ref="C521" r:id="rId512" tooltip="Click to follow the hyperlink" display="\\cclserver\DATA\P 2020\03 CR Projects\06-20-CR-002 MEDORE Tower\Construction Phase\" xr:uid="{41DE9896-FF8C-40F8-B335-3D5A56C9C8FB}"/>
    <hyperlink ref="C522" r:id="rId513" tooltip="Click to follow the hyperlink" display="\\cclserver\DATA\P 2020\03 CR Projects\06-22-CR-017 Addax Tower" xr:uid="{FE3BC628-3EAD-4866-B369-DFBC036D800D}"/>
    <hyperlink ref="C523" r:id="rId514" tooltip="Click to follow the hyperlink" display="\\cclserver\DATA\Q 2020\CCL STRENGTHENING\Dubai\2023\R1.5526.23 Damac Cour Jardin" xr:uid="{ECCBED58-CE72-46EB-9E1B-D5A28012A270}"/>
    <hyperlink ref="C524" r:id="rId515" tooltip="Click to follow the hyperlink" display="\\cclserver\DATA\Q 2020\CCL STRENGTHENING\Dubai\2023\R1.5525.23 Damac Waters Edge" xr:uid="{D86A4D99-8410-4C59-8CEC-4D102FE7575A}"/>
    <hyperlink ref="C525" r:id="rId516" tooltip="Click to follow the hyperlink" display="\\cclserver\DATA\P 2020\03 CR Projects\06-21-CR-005 Marsa Al Arab\Construction phase" xr:uid="{E6D66716-3DD8-41DE-95E9-58CFA72FC5E0}"/>
    <hyperlink ref="C526" r:id="rId517" tooltip="Click to follow the hyperlink" display="\\cclserver\DATA\P 2020\03 CR Projects\06-20-CR-002 MEDORE Tower\Construction Phase\" xr:uid="{D2D35F01-7D41-4D30-BE05-191804C0078B}"/>
    <hyperlink ref="C527" r:id="rId518" tooltip="Click to follow the hyperlink" display="\\cclserver\DATA\P 2020\03 CR Projects\06-22-CR-017 Addax Tower" xr:uid="{7A7CA406-B2DB-4C26-8FEC-47F07F1D237E}"/>
    <hyperlink ref="C528" r:id="rId519" tooltip="Click to follow the hyperlink" display="\\cclserver\DATA\Q 2020\CCL STRENGTHENING\Dubai\2023\R1.5524.23 Damac Capital Bay" xr:uid="{103A878C-14AC-48CA-B4BC-8011495DF59B}"/>
    <hyperlink ref="C529" r:id="rId520" tooltip="Click to follow the hyperlink" display="\\cclserver\DATA\P 2020\03 CR Projects\06-21-CR-005 Marsa Al Arab\Construction phase" xr:uid="{6806C206-8B1A-49B9-99C8-C0BC6825EC45}"/>
    <hyperlink ref="C530" r:id="rId521" tooltip="Click to follow the hyperlink" display="\\cclserver\DATA\P 2020\03 CR Projects\06-22-CR-009 Profile Residence" xr:uid="{A00D22ED-76AB-4670-AEB4-4DF0F1A1679D}"/>
    <hyperlink ref="C531" r:id="rId522" tooltip="Click to follow the hyperlink" display="\\cclserver\DATA\P 2020\03 CR Projects\06-22-CR-017 Addax Tower" xr:uid="{17B7D217-8FED-4108-B263-25D83868B3EF}"/>
    <hyperlink ref="C532" r:id="rId523" tooltip="Click to follow the hyperlink" display="\\cclserver\DATA\P 2020\03 CR Projects\06-20-CR-002 MEDORE Tower\Construction Phase\" xr:uid="{13DFD41D-C2AD-4F07-A501-CEE1561B2327}"/>
    <hyperlink ref="C533" r:id="rId524" tooltip="Click to follow the hyperlink" display="\\cclserver\DATA\Q 2020\CCL STRENGTHENING\Dubai\2023\R1.5524.23 Damac Capital Bay" xr:uid="{628C2D45-12BE-4E6A-AB01-067E5292A6BF}"/>
    <hyperlink ref="C534" r:id="rId525" tooltip="Click to follow the hyperlink" display="\\cclserver\DATA\P 2020\03 CR Projects\06-21-CR-005 Marsa Al Arab\Construction phase" xr:uid="{B3BE80C2-8B3A-4731-AB5F-20BE6D8BFBBE}"/>
    <hyperlink ref="C535" r:id="rId526" tooltip="Click to follow the hyperlink" display="\\cclserver\DATA\P 2020\03 CR Projects\06-22-CR-014 Saudi German Hospital Mirdif" xr:uid="{C527C359-5434-448D-B6F8-94829991FD57}"/>
    <hyperlink ref="C536" r:id="rId527" tooltip="Click to follow the hyperlink" display="\\cclserver\DATA\P 2020\03 CR Projects\06-22-CR-009 Profile Residence" xr:uid="{49DCA14A-FDD3-4371-BA9C-FF6684B27F87}"/>
    <hyperlink ref="C537" r:id="rId528" tooltip="Click to follow the hyperlink" display="\\cclserver\DATA\P 2020\03 CR Projects\06-22-CR-017 Addax Tower" xr:uid="{59221651-CA14-43F1-B786-6B6E13E726D0}"/>
    <hyperlink ref="C538" r:id="rId529" tooltip="Click to follow the hyperlink" display="\\cclserver\DATA\P 2020\01 Dubai\06-14-BU-004 Profile Residence\Construction Phase\CR\" xr:uid="{B10858B8-DD41-4A29-AD91-7440500340AC}"/>
    <hyperlink ref="C539" r:id="rId530" tooltip="Click to follow the hyperlink" display="\\cclserver\DATA\P 2020\03 CR Projects\06-22-CR-013 CP03-09 and CP03-13 (Azizi)\Technical Submittal\6. Warranty" xr:uid="{AA6080AD-8F58-4D72-999E-087071CB5DC3}"/>
    <hyperlink ref="C540" r:id="rId531" tooltip="Click to follow the hyperlink" display="\\cclserver\DATA\P 2020\03 CR Projects\06-20-CR-002 MEDORE Tower\Construction Phase\" xr:uid="{42B1F3D8-4519-4DF4-BA28-4401C7DD501A}"/>
    <hyperlink ref="C541" r:id="rId532" tooltip="Click to follow the hyperlink" display="\\cclserver\DATA\P 2020\03 CR Projects\06-21-CR-005 Marsa Al Arab\Construction phase" xr:uid="{D76AB34D-18BE-47BB-9C38-A1882526D468}"/>
    <hyperlink ref="C542" r:id="rId533" tooltip="Click to follow the hyperlink" display="\\cclserver\DATA\P 2020\03 CR Projects\06-22-CR-011 Park Avenue 3 (Azizi)" xr:uid="{E505B54F-5A7B-48B0-83DA-DCE459E81B88}"/>
    <hyperlink ref="C543" r:id="rId534" tooltip="Click to follow the hyperlink" display="\\cclserver\DATA\P 2020\03 CR Projects\06-21-CR-005 Marsa Al Arab\Construction phase" xr:uid="{D8572C25-1C4B-47D5-8A04-3B5C097C6BBF}"/>
    <hyperlink ref="C544" r:id="rId535" tooltip="Click to follow the hyperlink" display="\\cclserver\DATA\P 2020\03 CR Projects\06-22-CR-006 Prayer hall Al-Quoz (Towers United)" xr:uid="{FF172CE6-347D-4564-8F23-EDF325A8EB8E}"/>
    <hyperlink ref="C545" r:id="rId536" tooltip="Click to follow the hyperlink" display="\\cclserver\DATA\P 2020\01 Dubai\06-23-BU-002 Beachfront 1- Azizi\Construction Phase" xr:uid="{9BFF6045-2185-42AC-97C3-D85DF87FB5C6}"/>
    <hyperlink ref="C546" r:id="rId537" tooltip="Click to follow the hyperlink" display="\\cclserver\DATA\Q 2020\CCL STRENGTHENING\FILING_PENDING\16. DAMAC Buildings" xr:uid="{02222AEB-F377-44C2-8FDC-C0F50296B8CC}"/>
    <hyperlink ref="C547" r:id="rId538" tooltip="Click to follow the hyperlink" display="\\cclserver\DATA\Q 2020\CCL STRENGTHENING\FILING_PENDING\21. Wisal Scanning" xr:uid="{872D8E01-1C3C-4A8D-AC74-833F6D38BAFB}"/>
    <hyperlink ref="C548" r:id="rId539" tooltip="Click to follow the hyperlink" display="\\cclserver\DATA\P 2020\03 CR Projects\06-22-CR-017 Addax Tower" xr:uid="{4FE2A49B-090F-4D04-A4C9-73ABCCDBAE23}"/>
    <hyperlink ref="C549" r:id="rId540" tooltip="Click to follow the hyperlink" display="\\cclserver\DATA\P 2020\03 CR Projects\06-22-CR-006 Prayer hall Al-Quoz (Towers United)" xr:uid="{E0E8BA91-AB69-4CE3-8EA6-44EC9A241584}"/>
    <hyperlink ref="C550" r:id="rId541" tooltip="Click to follow the hyperlink" display="\\cclserver\DATA\P 2020\03 CR Projects\06-22-CR-011 Park Avenue 3 (Azizi)" xr:uid="{80606638-4A0B-49BA-9020-B7BEBFCC0C5A}"/>
    <hyperlink ref="C551" r:id="rId542" tooltip="Click to follow the hyperlink" display="\\cclserver\DATA\P 2020\01 Dubai\06-14-BU-004 Profile Residence\Construction Phase\CR\" xr:uid="{DE0732C9-B3DB-4E21-BA14-5D813BAEFBE4}"/>
    <hyperlink ref="C552" r:id="rId543" tooltip="Click to follow the hyperlink" display="\\cclserver\DATA\P 2020\03 CR Projects\06-22-CR-013 CP03-09 and CP03-13 (Azizi)" xr:uid="{EC4482A2-8435-421B-A5D7-B742927C0371}"/>
    <hyperlink ref="C553" r:id="rId544" tooltip="Click to follow the hyperlink" display="\\cclserver\DATA\P 2020\03 CR Projects\06-20-CR-002 MEDORE Tower\Construction Phase\" xr:uid="{188585DE-72DD-47E7-942E-36CB81505691}"/>
    <hyperlink ref="C554" r:id="rId545" tooltip="Click to follow the hyperlink" display="\\cclserver\DATA\P 2020\03 CR Projects\06-19-CR-007 Latifa Tower" xr:uid="{E61A86B5-7E6D-4624-8814-691CBFCFD0C7}"/>
    <hyperlink ref="C555" r:id="rId546" tooltip="Click to follow the hyperlink" display="\\cclserver\DATA\P 2020\03 CR Projects\06-21-CR-005 Marsa Al Arab\Construction phase" xr:uid="{07D4D8CA-1F43-4394-99DB-28F3AA6CB2CA}"/>
    <hyperlink ref="C556" r:id="rId547" tooltip="Click to follow the hyperlink" display="\\cclserver\DATA\Q 2020\CCL STRENGTHENING\Dubai\2021\R1.5261.21 Al Wasl Tower" xr:uid="{ABB03319-C3F1-437F-9B08-6E4C04B4AC5C}"/>
    <hyperlink ref="C557" r:id="rId548" tooltip="Click to follow the hyperlink" display="\\cclserver\DATA\P 2020\03 CR Projects\06-22-CR-017 Addax Tower" xr:uid="{97A580D5-F899-420F-99D1-3D8E6F241BB6}"/>
    <hyperlink ref="C558" r:id="rId549" tooltip="Click to follow the hyperlink" display="\\cclserver\DATA\P 2020\03 CR Projects\06-22-CR-006 Prayer hall Al-Quoz (Towers United)" xr:uid="{4A017F2A-84A3-4A33-A08F-D67919E1C9EE}"/>
    <hyperlink ref="C559" r:id="rId550" tooltip="Click to follow the hyperlink" display="\\cclserver\DATA\P 2020\03 CR Projects\06-22-CR-011 Park Avenue 3 (Azizi)" xr:uid="{E15E0AB0-2020-4C42-A13C-955F0D3E7FE1}"/>
    <hyperlink ref="C560" r:id="rId551" tooltip="Click to follow the hyperlink" display="\\cclserver\DATA\P 2020\01 Dubai\06-14-BU-004 Profile Residence\Construction Phase\CR\" xr:uid="{6E114C1C-AD8A-4CCF-85EA-4F1E9184F086}"/>
    <hyperlink ref="C561" r:id="rId552" tooltip="Click to follow the hyperlink" display="\\cclserver\DATA\P 2020\03 CR Projects\06-22-CR-013 CP03-09 and CP03-13 (Azizi)" xr:uid="{674CCC38-96C2-41EB-8EA7-ADABCF17FCA8}"/>
    <hyperlink ref="C562" r:id="rId553" tooltip="Click to follow the hyperlink" display="\\cclserver\DATA\P 2020\03 CR Projects\06-20-CR-002 MEDORE Tower\Construction Phase\" xr:uid="{E0BAD195-2108-4A73-ABE0-85A85D6F876E}"/>
    <hyperlink ref="C563" r:id="rId554" tooltip="Click to follow the hyperlink" display="\\cclserver\DATA\P 2020\03 CR Projects\06-19-CR-007 Latifa Tower" xr:uid="{34B8FE3C-FAFF-42BB-BB80-841EA7631324}"/>
    <hyperlink ref="C564" r:id="rId555" tooltip="Click to follow the hyperlink" display="\\cclserver\DATA\P 2020\03 CR Projects\06-22-CR-017 Addax Tower" xr:uid="{97D985FE-1201-49AF-80E8-052C69EAB683}"/>
    <hyperlink ref="C565" r:id="rId556" tooltip="Click to follow the hyperlink" display="\\cclserver\DATA\P 2020\03 CR Projects\06-22-CR-006 Prayer hall Al-Quoz (Towers United)" xr:uid="{4D96ADB2-4395-46A8-99C9-4175B54B227D}"/>
    <hyperlink ref="C566" r:id="rId557" tooltip="Click to follow the hyperlink" display="\\cclserver\DATA\P 2020\03 CR Projects\06-22-CR-011 Park Avenue 3 (Azizi)" xr:uid="{9FC85612-6923-4438-AB0D-4CE80CC3CA26}"/>
    <hyperlink ref="C567" r:id="rId558" tooltip="Click to follow the hyperlink" display="\\cclserver\DATA\P 2020\03 CR Projects\06-20-CR-002 MEDORE Tower\Construction Phase\" xr:uid="{B0206D1E-520D-4F45-B98E-771DBA6915B2}"/>
    <hyperlink ref="C568" r:id="rId559" tooltip="Click to follow the hyperlink" display="\\cclserver\DATA\P 2020\01 Dubai\06-14-BU-004 Profile Residence\Construction Phase\CR\" xr:uid="{81A70F4F-F6F0-40C5-8D02-1D0D5A779556}"/>
    <hyperlink ref="C569" r:id="rId560" tooltip="Click to follow the hyperlink" display="\\cclserver\DATA\P 2020\03 CR Projects\06-22-CR-013 CP03-09 and CP03-13 (Azizi)" xr:uid="{C75B8F9F-3B33-4393-A24E-8543C2DCD781}"/>
    <hyperlink ref="C570" r:id="rId561" tooltip="Click to follow the hyperlink" display="\\cclserver\DATA\P 2020\03 CR Projects\06-20-CR-002 MEDORE Tower\Construction Phase\" xr:uid="{4273A406-2F4F-441A-B604-5F885EF2CA66}"/>
    <hyperlink ref="C571" r:id="rId562" tooltip="Click to follow the hyperlink" display="\\cclserver\DATA\P 2020\03 CR Projects\06-20-CR-002 MEDORE Tower\Construction Phase\" xr:uid="{059DC07C-CF66-4A92-829A-D7F53F31CB6C}"/>
    <hyperlink ref="C572" r:id="rId563" tooltip="Click to follow the hyperlink" display="\\cclserver\DATA\P 2020\03 CR Projects\06-22-CR-017 Addax Tower" xr:uid="{E9220B50-D7C6-4C04-91E5-0037DE6AA717}"/>
    <hyperlink ref="C573" r:id="rId564" tooltip="Click to follow the hyperlink" display="\\cclserver\DATA\P 2020\03 CR Projects\06-22-CR-006 Prayer hall Al-Quoz (Towers United)" xr:uid="{4835959C-6406-4AC4-A4BE-043B09F18831}"/>
    <hyperlink ref="C574" r:id="rId565" tooltip="Click to follow the hyperlink" display="\\cclserver\DATA\P 2020\03 CR Projects\06-20-CR-002 MEDORE Tower\Construction Phase\" xr:uid="{8D3A548C-0F0E-4FCC-B435-7312438C7C3E}"/>
    <hyperlink ref="C575" r:id="rId566" tooltip="Click to follow the hyperlink" display="\\cclserver\DATA\P 2020\03 CR Projects\06-21-CR-005 Marsa Al Arab\Construction phase" xr:uid="{EF966AB3-01BF-4D81-9EB1-DD965E34A4B2}"/>
    <hyperlink ref="C576" r:id="rId567" tooltip="Click to follow the hyperlink" display="\\cclserver\DATA\P 2020\03 CR Projects\06-19-CR-007 Latifa Tower" xr:uid="{BFECF876-EEB7-4965-8622-2AAF24245C4B}"/>
    <hyperlink ref="C577" r:id="rId568" tooltip="Click to follow the hyperlink" display="\\cclserver\DATA\P 2020\03 CR Projects\06-22-CR-011 Park Avenue 3 (Azizi)" xr:uid="{C87DE006-2447-4CA5-B564-DED742C2F078}"/>
    <hyperlink ref="C578" r:id="rId569" tooltip="Click to follow the hyperlink" display="\\cclserver\DATA\P 2020\03 CR Projects\06-22-CR-017 Addax Tower" xr:uid="{F7A30F23-0CD1-4876-8A2E-D6BB26D13C7F}"/>
    <hyperlink ref="C579" r:id="rId570" tooltip="Click to follow the hyperlink" display="\\cclserver\DATA\P 2020\03 CR Projects\06-22-CR-006 Prayer hall Al-Quoz (Towers United)" xr:uid="{33523BE4-05DA-495D-8BFE-CA8238B7D3A1}"/>
    <hyperlink ref="C580" r:id="rId571" tooltip="Click to follow the hyperlink" display="\\cclserver\DATA\Q 2020\06 RAK\S6.5521.23 Wynn Tower" xr:uid="{76D13648-B9B7-43F4-8FAB-49388D6B70AF}"/>
    <hyperlink ref="C581" r:id="rId572" tooltip="Click to follow the hyperlink" display="\\cclserver\DATA\P 2020\03 CR Projects\06-22-CR-014 Saudi German Hospital Mirdif" xr:uid="{1B6B525C-5BBF-48CF-BDDC-65FA99270F91}"/>
    <hyperlink ref="C582" r:id="rId573" tooltip="Click to follow the hyperlink" display="\\cclserver\DATA\P 2020\03 CR Projects\06-22-CR-017 Addax Tower" xr:uid="{2F6B67F2-CD3B-4C02-9FD3-E15BC8489511}"/>
    <hyperlink ref="C583" r:id="rId574" tooltip="Click to follow the hyperlink" display="\\cclserver\DATA\P 2020\03 CR Projects\06-22-CR-006 Prayer hall Al-Quoz (Towers United)" xr:uid="{BCBDBF82-9E24-46C4-B9F3-7E7874007245}"/>
    <hyperlink ref="C584" r:id="rId575" tooltip="Click to follow the hyperlink" display="\\cclserver\DATA\P 2020\03 CR Projects\06-20-CR-002 MEDORE Tower\Construction Phase\" xr:uid="{FFF8CE88-6633-420F-9B60-F36547A37071}"/>
    <hyperlink ref="C585" r:id="rId576" tooltip="Click to follow the hyperlink" display="\\cclserver\DATA\P 2020\03 CR Projects\06-21-CR-005 Marsa Al Arab\Construction phase" xr:uid="{A77E54E4-F98D-4F33-84F9-B2F9B16D0C68}"/>
    <hyperlink ref="C586" r:id="rId577" tooltip="Click to follow the hyperlink" display="\\cclserver\DATA\P 2020\03 CR Projects\06-19-CR-007 Latifa Tower" xr:uid="{2BFE0F87-6D9D-4E9B-B428-B2EA13C53DC9}"/>
    <hyperlink ref="C587" r:id="rId578" tooltip="Click to follow the hyperlink" display="\\cclserver\DATA\P 2020\03 CR Projects\06-22-CR-017 Addax Tower" xr:uid="{40864551-C3E0-41FC-8D23-563B6294C2B7}"/>
    <hyperlink ref="C588" r:id="rId579" tooltip="Click to follow the hyperlink" display="\\cclserver\DATA\P 2020\03 CR Projects\06-22-CR-006 Prayer hall Al-Quoz (Towers United)" xr:uid="{4434F99E-6A81-47F4-8FBC-8338212ABB3E}"/>
    <hyperlink ref="C589" r:id="rId580" tooltip="Click to follow the hyperlink" display="\\cclserver\DATA\P 2020\03 CR Projects\06-20-CR-002 MEDORE Tower\Construction Phase\" xr:uid="{3B1ACB3A-D887-4E5C-9A1D-7F36E0BF5162}"/>
    <hyperlink ref="C590" r:id="rId581" tooltip="Click to follow the hyperlink" display="\\cclserver\DATA\P 2020\03 CR Projects\06-22-CR-013 CP03-09 and CP03-13 (Azizi)" xr:uid="{93BB457F-554B-4340-9097-0B0AC264F010}"/>
    <hyperlink ref="C591" r:id="rId582" tooltip="Click to follow the hyperlink" display="\\cclserver\DATA\P 2020\03 CR Projects\06-21-CR-005 Marsa Al Arab\Construction phase" xr:uid="{75479FAF-1F31-40EF-BA15-582981FEF6EF}"/>
    <hyperlink ref="C592" r:id="rId583" tooltip="Click to follow the hyperlink" display="\\cclserver\DATA\Q 2020\06 RAK\S6.5521.23 Wynn Tower" xr:uid="{259FA8E2-B706-42C1-8BE4-5E030222FCE5}"/>
    <hyperlink ref="C593" r:id="rId584" tooltip="Click to follow the hyperlink" display="\\cclserver\DATA\P 2020\03 CR Projects\06-22-CR-017 Addax Tower" xr:uid="{FDB002DA-BD64-43D6-B4D7-E696D3FF5585}"/>
    <hyperlink ref="C594" r:id="rId585" tooltip="Click to follow the hyperlink" display="\\cclserver\DATA\P 2020\03 CR Projects\06-20-CR-002 MEDORE Tower\Construction Phase\" xr:uid="{D98FB901-B66A-4004-AB14-D57FD549E1AE}"/>
    <hyperlink ref="C595" r:id="rId586" tooltip="Click to follow the hyperlink" display="\\cclserver\DATA\Q 2020\CCL STRENGTHENING\Dubai\2022\R1.5399.22 Nakheel Mall Redevelopment" xr:uid="{66E08AD0-B2C9-4C00-901D-F2386310497A}"/>
    <hyperlink ref="C596" r:id="rId587" tooltip="Click to follow the hyperlink" display="\\cclserver\DATA\P 2020\03 CR Projects\06-22-CR-014 Saudi German Hospital Mirdif" xr:uid="{7C628312-07EB-4A5C-A92D-DD7D96172DC7}"/>
    <hyperlink ref="C597" r:id="rId588" tooltip="Click to follow the hyperlink" display="\\cclserver\DATA\P 2020\03 CR Projects\06-22-CR-006 Prayer hall Al-Quoz (Towers United)" xr:uid="{F360D5B8-A75A-40A2-B797-EB33CCEB54EE}"/>
    <hyperlink ref="C598" r:id="rId589" tooltip="Click to follow the hyperlink" display="\\cclserver\DATA\P 2020\03 CR Projects\06-22-CR-017 Addax Tower" xr:uid="{062356C8-CF42-4DCC-9170-14CA5463B4F8}"/>
    <hyperlink ref="C599" r:id="rId590" tooltip="Click to follow the hyperlink" display="\\cclserver\DATA\P 2020\03 CR Projects\06-20-CR-002 MEDORE Tower\Construction Phase\" xr:uid="{8CD106D7-EC0B-4132-8057-0B01D8967B5D}"/>
    <hyperlink ref="C600" r:id="rId591" tooltip="Click to follow the hyperlink" display="\\cclserver\DATA\Q 2020\CCL STRENGTHENING\Dubai\2022\R1.5399.22 Nakheel Mall Redevelopment" xr:uid="{F125FA53-3C14-49BC-8FBF-4DAD0A738001}"/>
    <hyperlink ref="C601" r:id="rId592" tooltip="Click to follow the hyperlink" display="\\cclserver\DATA\P 2020\03 CR Projects\06-22-CR-006 Prayer hall Al-Quoz (Towers United)" xr:uid="{1C05E778-A8C9-4EE9-B986-34994E5021FD}"/>
    <hyperlink ref="C602" r:id="rId593" tooltip="Click to follow the hyperlink" display="\\cclserver\DATA\P 2020\03 CR Projects\06-22-CR-011 Park Avenue 3 (Azizi)" xr:uid="{92991326-8538-405D-809D-4896DAE4C5B4}"/>
    <hyperlink ref="C603" r:id="rId594" tooltip="Click to follow the hyperlink" display="\\cclserver\DATA\P 2020\03 CR Projects\06-22-CR-017 Addax Tower" xr:uid="{BA879827-96C8-4B25-983A-10E89526B9F7}"/>
    <hyperlink ref="C604" r:id="rId595" tooltip="Click to follow the hyperlink" display="\\cclserver\DATA\P 2020\03 CR Projects\06-20-CR-002 MEDORE Tower\Construction Phase\" xr:uid="{6D113798-7E0E-4250-9F82-520A7924FF1A}"/>
    <hyperlink ref="C605" r:id="rId596" tooltip="Click to follow the hyperlink" display="\\cclserver\DATA\Q 2020\CCL STRENGTHENING\Dubai\2022\R1.5399.22 Nakheel Mall Redevelopment" xr:uid="{9C6F911B-DF19-4ACB-ABD2-36F050FB83AA}"/>
    <hyperlink ref="C606" r:id="rId597" tooltip="Click to follow the hyperlink" display="\\cclserver\DATA\P 2020\03 CR Projects\06-22-CR-014 Saudi German Hospital Mirdif" xr:uid="{6C6B8404-955E-4C0D-9485-6867A489A69F}"/>
    <hyperlink ref="C607" r:id="rId598" tooltip="Click to follow the hyperlink" display="\\cclserver\DATA\P 2020\03 CR Projects\06-22-CR-004 G+1 Private Villa &amp; Majlis" xr:uid="{A527EBE0-1C8A-4E2B-8126-00B3A4023D91}"/>
    <hyperlink ref="C608" r:id="rId599" tooltip="Click to follow the hyperlink" display="\\cclserver\DATA\Q 2020\CCL STRENGTHENING\Dubai\2023\R1.5516.23 Burjuman Mall Refurbishment" xr:uid="{BFF6CB20-D5E6-41DA-A1D2-BD6BA89C9829}"/>
    <hyperlink ref="C609" r:id="rId600" tooltip="Click to follow the hyperlink" display="\\cclserver\DATA\P 2020\01 Dubai\06-14-BU-004 Profile Residence\Construction Phase\CR\" xr:uid="{167CFCC8-FFFD-4450-AF7D-557F801C65BD}"/>
    <hyperlink ref="C610" r:id="rId601" tooltip="Click to follow the hyperlink" display="\\cclserver\DATA\P 2020\03 CR Projects\06-22-CR-006 Prayer hall Al-Quoz (Towers United)" xr:uid="{3009444D-4583-4D5A-BE97-7D0ABAC47A1C}"/>
    <hyperlink ref="C611" r:id="rId602" tooltip="Click to follow the hyperlink" display="\\cclserver\DATA\P 2020\03 CR Projects\06-22-CR-017 Addax Tower" xr:uid="{37A55708-1934-4688-90A0-85304E3B8D7A}"/>
    <hyperlink ref="C612" r:id="rId603" tooltip="Click to follow the hyperlink" display="\\cclserver\DATA\P 2020\03 CR Projects\06-20-CR-002 MEDORE Tower\Construction Phase\" xr:uid="{DD2029AD-DA00-4D26-A90C-5FA5BB4D3917}"/>
    <hyperlink ref="C613" r:id="rId604" tooltip="Click to follow the hyperlink" display="\\cclserver\DATA\Q 2020\CCL STRENGTHENING\Dubai\2022\R1.5399.22 Nakheel Mall Redevelopment" xr:uid="{2C7F2AC0-EAE0-40B8-8F96-B5BB0F510361}"/>
    <hyperlink ref="C614" r:id="rId605" tooltip="Click to follow the hyperlink" display="\\cclserver\DATA\P 2020\01 Dubai\06-14-BU-004 Profile Residence\Construction Phase\CR\" xr:uid="{2203DF83-264A-43D6-9B54-FE8B3BB09236}"/>
    <hyperlink ref="C615" r:id="rId606" tooltip="Click to follow the hyperlink" display="\\cclserver\DATA\Q 2020\CCL STRENGTHENING\Dubai\2023\R1.5514.23 Priavate Palace Jumeirah" xr:uid="{1ACF161D-6BB8-41B1-AEE5-AE1CF05975B3}"/>
    <hyperlink ref="C616" r:id="rId607" tooltip="Click to follow the hyperlink" display="\\cclserver\DATA\P 2020\03 CR Projects\06-22-CR-014 Saudi German Hospital Mirdif" xr:uid="{68E77CEB-3ABC-4009-82E4-894474327FE9}"/>
    <hyperlink ref="C617" r:id="rId608" tooltip="Click to follow the hyperlink" display="\\cclserver\DATA\P 2020\03 CR Projects\06-21-CR-005 Marsa Al Arab\Construction phase" xr:uid="{A285EF73-B2F1-4F72-8205-A9A609B73666}"/>
    <hyperlink ref="C618" r:id="rId609" tooltip="Click to follow the hyperlink" display="\\cclserver\DATA\P 2020\03 CR Projects\06-22-CR-004 G+1 Private Villa &amp; Majlis" xr:uid="{EB0E0087-927D-43F3-829B-DCB5B70E957B}"/>
    <hyperlink ref="C619" r:id="rId610" tooltip="Click to follow the hyperlink" display="\\cclserver\DATA\P 2020\03 CR Projects\06-22-CR-017 Addax Tower" xr:uid="{D141DEA5-CDF0-4680-B539-E6A86A208C76}"/>
    <hyperlink ref="C620" r:id="rId611" tooltip="Click to follow the hyperlink" display="\\cclserver\DATA\P 2020\03 CR Projects\06-20-CR-002 MEDORE Tower\Construction Phase\" xr:uid="{5150887C-E07B-4EF8-8392-DA1F0D4A5732}"/>
    <hyperlink ref="C621" r:id="rId612" tooltip="Click to follow the hyperlink" display="\\cclserver\DATA\Q 2020\CCL STRENGTHENING\Dubai\2022\R1.5399.22 Nakheel Mall Redevelopment" xr:uid="{7C7545DB-471B-4BBF-AB5D-E00C8944181F}"/>
    <hyperlink ref="C622" r:id="rId613" tooltip="Click to follow the hyperlink" display="\\cclserver\DATA\P 2020\01 Dubai\06-14-BU-004 Profile Residence\Construction Phase\CR\" xr:uid="{78C80AB3-ACC8-424C-860A-4FF613398D30}"/>
    <hyperlink ref="C623" r:id="rId614" tooltip="Click to follow the hyperlink" display="\\cclserver\DATA\P 2020\03 CR Projects\06-22-CR-017 Addax Tower" xr:uid="{E4E79997-403B-4D83-816B-09CB4B06DF76}"/>
    <hyperlink ref="C624" r:id="rId615" tooltip="Click to follow the hyperlink" display="\\cclserver\DATA\Q 2020\CCL STRENGTHENING\Dubai\2023\R1.5514.23 Priavate Palace Jumeirah" xr:uid="{63F46E2A-1FEC-4799-AF9C-9919438510DD}"/>
    <hyperlink ref="C625" r:id="rId616" tooltip="Click to follow the hyperlink" display="\\cclserver\DATA\P 2020\03 CR Projects\06-22-CR-014 Saudi German Hospital Mirdif" xr:uid="{EC30FD59-6440-4144-8BFC-4FFA1907FD52}"/>
    <hyperlink ref="C626" r:id="rId617" tooltip="Click to follow the hyperlink" display="\\cclserver\DATA\Q 2020\CCL STRENGTHENING\Dubai\2022\R1.5471.22 Latifa tower" xr:uid="{3313F004-E55D-412B-9C83-DA1BFCA601B5}"/>
    <hyperlink ref="C627" r:id="rId618" tooltip="Click to follow the hyperlink" display="\\cclserver\DATA\P 2020\03 CR Projects\06-22-CR-017 Addax Tower" xr:uid="{7DC9E3A3-C44A-4871-A104-95CF7E68D4EE}"/>
    <hyperlink ref="C628" r:id="rId619" tooltip="Click to follow the hyperlink" display="\\cclserver\DATA\Q 2020\CCL STRENGTHENING\Dubai\2021\R1.5261.21 Al Wasl Tower" xr:uid="{1B5B10B2-FB5B-4FD0-8CD0-3ADE10F9AD74}"/>
    <hyperlink ref="C629" r:id="rId620" tooltip="Click to follow the hyperlink" display="\\cclserver\DATA\P 2020\03 CR Projects\06-20-CR-002 MEDORE Tower\Construction Phase\" xr:uid="{283BF0D6-BFEA-4B3A-9A3A-8604867A53B1}"/>
    <hyperlink ref="C630" r:id="rId621" tooltip="Click to follow the hyperlink" display="\\cclserver\DATA\Q 2020\CCL STRENGTHENING\Dubai\2022\R1.5399.22 Nakheel Mall Redevelopment" xr:uid="{A145C283-6E84-45E0-8F0E-52B277CA41FA}"/>
    <hyperlink ref="C631" r:id="rId622" tooltip="Click to follow the hyperlink" display="\\cclserver\DATA\P 2020\01 Dubai\06-14-BU-004 Profile Residence\Construction Phase\CR\" xr:uid="{3756BAED-9AF5-4FA7-B19A-91B2555DDCEA}"/>
    <hyperlink ref="C632" r:id="rId623" tooltip="Click to follow the hyperlink" display="\\cclserver\DATA\P 2020\03 CR Projects\06-22-CR-017 Addax Tower" xr:uid="{71A12035-F082-4BC2-B528-5D38774C7743}"/>
    <hyperlink ref="C633" r:id="rId624" tooltip="Click to follow the hyperlink" display="\\cclserver\DATA\Q 2020\CCL STRENGTHENING\Dubai\2021\R1.5261.21 Al Wasl Tower" xr:uid="{6C5C98BE-8D7A-48E6-9E97-09F1291FA8D8}"/>
    <hyperlink ref="C634" r:id="rId625" tooltip="Click to follow the hyperlink" display="\\cclserver\DATA\P 2020\03 CR Projects\06-20-CR-002 MEDORE Tower\Construction Phase\" xr:uid="{585E0366-69D2-44EB-BE15-C77D1F41B4C8}"/>
    <hyperlink ref="C635" r:id="rId626" tooltip="Click to follow the hyperlink" display="\\cclserver\DATA\Q 2020\CCL STRENGTHENING\Dubai\2022\R1.5399.22 Nakheel Mall Redevelopment" xr:uid="{D7A4E1BA-9334-43A4-BFC7-6EAAF640886C}"/>
    <hyperlink ref="C636" r:id="rId627" tooltip="Click to follow the hyperlink" display="\\cclserver\DATA\P 2020\01 Dubai\06-14-BU-004 Profile Residence\Construction Phase\CR\" xr:uid="{D7874FF6-D576-4A2C-83B6-1C0399441919}"/>
    <hyperlink ref="C637" r:id="rId628" tooltip="Click to follow the hyperlink" display="\\cclserver\DATA\P 2020\03 CR Projects\06-22-CR-014 Saudi German Hospital Mirdif" xr:uid="{4122B464-C135-4DA5-BBEB-3DA9A5A30419}"/>
    <hyperlink ref="C638" r:id="rId629" tooltip="Click to follow the hyperlink" display="\\cclserver\DATA\P 2020\03 CR Projects\06-22-CR-017 Addax Tower" xr:uid="{7F75EABF-981D-4515-BA27-42F7C5EF8198}"/>
    <hyperlink ref="C639" r:id="rId630" tooltip="Click to follow the hyperlink" display="\\cclserver\DATA\Q 2020\CCL STRENGTHENING\Dubai\2021\R1.5261.21 Al Wasl Tower" xr:uid="{4ACC645E-9EC0-4E3C-A8A4-26AFBEA07B52}"/>
    <hyperlink ref="C640" r:id="rId631" tooltip="Click to follow the hyperlink" display="\\cclserver\DATA\P 2020\03 CR Projects\06-20-CR-002 MEDORE Tower\Construction Phase\" xr:uid="{92B28915-AB99-4B6A-B365-A4AC191ED6E1}"/>
    <hyperlink ref="C641" r:id="rId632" tooltip="Click to follow the hyperlink" display="\\cclserver\DATA\Q 2020\CCL STRENGTHENING\Dubai\2022\R1.5399.22 Nakheel Mall Redevelopment" xr:uid="{52C5E964-A4CD-4762-96A2-288EEB31A040}"/>
    <hyperlink ref="C642" r:id="rId633" tooltip="Click to follow the hyperlink" display="\\cclserver\DATA\P 2020\03 CR Projects\06-22-CR-017 Addax Tower" xr:uid="{DD8699CF-70FD-4A12-9E93-4C9CB3592925}"/>
    <hyperlink ref="C643" r:id="rId634" tooltip="Click to follow the hyperlink" display="\\cclserver\DATA\Q 2020\CCL STRENGTHENING\Dubai\2021\R1.5261.21 Al Wasl Tower" xr:uid="{7D8CF391-873E-4D4C-BD8D-D6EB12576A65}"/>
    <hyperlink ref="C644" r:id="rId635" tooltip="Click to follow the hyperlink" display="\\cclserver\DATA\P 2020\03 CR Projects\06-20-CR-002 MEDORE Tower\Construction Phase\" xr:uid="{3C3111FC-0D96-4770-9B13-710C8EDC613D}"/>
    <hyperlink ref="C645" r:id="rId636" tooltip="Click to follow the hyperlink" display="\\cclserver\DATA\Q 2020\CCL STRENGTHENING\Dubai\2022\R1.5399.22 Nakheel Mall Redevelopment" xr:uid="{A1419ABA-FBC0-4119-A443-4D30310F6444}"/>
    <hyperlink ref="C646" r:id="rId637" tooltip="Click to follow the hyperlink" display="\\cclserver\DATA\P 2020\03 CR Projects\06-22-CR-017 Addax Tower" xr:uid="{46E24063-CE24-49AB-80C6-B4DED05CCCD0}"/>
    <hyperlink ref="C647" r:id="rId638" tooltip="Click to follow the hyperlink" display="\\cclserver\DATA\P 2020\03 CR Projects\06-22-CR-011 Park Avenue 3 (Azizi)" xr:uid="{D1293AD5-C50B-4039-A545-1EF27F96ECE9}"/>
    <hyperlink ref="C648" r:id="rId639" tooltip="Click to follow the hyperlink" display="\\cclserver\DATA\P 2020\03 CR Projects\06-22-CR-013 CP03-09 and CP03-13 (Azizi)" xr:uid="{0EE36DDD-47D7-4074-B33A-3F20C08860E9}"/>
    <hyperlink ref="C649" r:id="rId640" tooltip="Click to follow the hyperlink" display="\\cclserver\DATA\P 2020\03 CR Projects\06-20-CR-002 MEDORE Tower\Construction Phase\" xr:uid="{56F103C1-D09E-43AB-985D-2B8641F2BFE7}"/>
    <hyperlink ref="C650" r:id="rId641" tooltip="Click to follow the hyperlink" display="\\cclserver\DATA\Q 2020\CCL STRENGTHENING\BAHRAIN\1. Dilmunia Mall" xr:uid="{AA069BB9-8F55-41DA-A05A-19A7841E4237}"/>
    <hyperlink ref="C651" r:id="rId642" tooltip="Click to follow the hyperlink" display="\\cclserver\DATA\P 2020\03 CR Projects\06-22-CR-014 Saudi German Hospital Mirdif" xr:uid="{044D7822-D691-4C6D-806D-6FB8ADFDCBF8}"/>
    <hyperlink ref="C652" r:id="rId643" tooltip="Click to follow the hyperlink" display="\\cclserver\DATA\Q 2020\CCL STRENGTHENING\Dubai\2021\R1.5261.21 Al Wasl Tower" xr:uid="{F06B907E-5CB0-4E90-8848-C24A107282E8}"/>
    <hyperlink ref="C653" r:id="rId644" tooltip="Click to follow the hyperlink" display="\\cclserver\DATA\P 2020\03 CR Projects\06-22-CR-013 CP03-09 and CP03-13 (Azizi)" xr:uid="{A0544919-1288-4E98-ACCA-160E89014EC3}"/>
    <hyperlink ref="C654" r:id="rId645" tooltip="Click to follow the hyperlink" display="\\cclserver\DATA\P 2020\03 CR Projects\06-22-CR-017 Addax Tower" xr:uid="{0FE4CEE4-4ED8-4186-A9CB-030B051C04B4}"/>
    <hyperlink ref="C655" r:id="rId646" tooltip="Click to follow the hyperlink" display="\\cclserver\DATA\P 2020\03 CR Projects\06-22-CR-011 Park Avenue 3 (Azizi)" xr:uid="{F8DE6543-41E1-45C4-9DDA-28FE2595F8EE}"/>
    <hyperlink ref="C656" r:id="rId647" tooltip="Click to follow the hyperlink" display="\\cclserver\DATA\P 2020\03 CR Projects\06-22-CR-014 Saudi German Hospital Mirdif" xr:uid="{4FE29D57-2BF3-4441-8B7E-90E3D8BBBEB0}"/>
    <hyperlink ref="C657" r:id="rId648" tooltip="Click to follow the hyperlink" display="\\cclserver\DATA\P 2020\01 Dubai\06-14-BU-004 Profile Residence\Construction Phase\CR\" xr:uid="{6D4C7976-5C81-4FB8-B6FE-2C5C84FD9569}"/>
    <hyperlink ref="C658" r:id="rId649" tooltip="Click to follow the hyperlink" display="\\cclserver\DATA\P 2020\03 CR Projects\06-22-CR-004 G+1 Private Villa &amp; Majlis" xr:uid="{F56A32BC-3B6E-48F3-93BD-43D9D5F2FEA7}"/>
    <hyperlink ref="C659" r:id="rId650" tooltip="Click to follow the hyperlink" display="\\cclserver\DATA\P 2020\03 CR Projects\06-22-CR-017 Addax Tower" xr:uid="{E2E68DCA-F05B-41ED-8027-B6DC031BA7CE}"/>
    <hyperlink ref="C660" r:id="rId651" tooltip="Click to follow the hyperlink" display="\\cclserver\DATA\P 2020\03 CR Projects\06-22-CR-011 Park Avenue 3 (Azizi)" xr:uid="{D62C886B-0D50-463E-B6E4-EC3911799245}"/>
    <hyperlink ref="C661" r:id="rId652" tooltip="Click to follow the hyperlink" display="\\cclserver\DATA\P 2020\03 CR Projects\06-22-CR-014 Saudi German Hospital Mirdif" xr:uid="{426904E5-3CB8-4ADB-8437-770AFC68C7E0}"/>
    <hyperlink ref="C662" r:id="rId653" tooltip="Click to follow the hyperlink" display="\\cclserver\DATA\P 2020\01 Dubai\06-14-BU-004 Profile Residence\Construction Phase\CR\" xr:uid="{FACE23E7-FDA6-4170-89DD-2E80720BF665}"/>
    <hyperlink ref="C663" r:id="rId654" tooltip="Click to follow the hyperlink" display="\\cclserver\DATA\P 2020\03 CR Projects\06-20-CR-002 MEDORE Tower\Construction Phase\" xr:uid="{C3A14801-F169-4DD8-864D-772D1AEE38FC}"/>
    <hyperlink ref="C664" r:id="rId655" tooltip="Click to follow the hyperlink" display="\\cclserver\DATA\P 2020\03 CR Projects\06-20-CR-002 MEDORE Tower\Construction Phase\" xr:uid="{BD3E93C8-559C-48B3-AD98-6A9570040166}"/>
  </hyperlinks>
  <pageMargins left="0.7" right="0.7" top="0.75" bottom="0.75" header="0.3" footer="0.3"/>
  <pageSetup orientation="portrait" r:id="rId65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BEFD-C9C8-48B8-B28D-4070C6302D59}">
  <sheetPr codeName="Sheet540"/>
  <dimension ref="A1"/>
  <sheetViews>
    <sheetView topLeftCell="A533" zoomScaleNormal="100" workbookViewId="0">
      <selection activeCell="F558" sqref="F558"/>
    </sheetView>
  </sheetViews>
  <sheetFormatPr defaultRowHeight="12.75" x14ac:dyDescent="0.2"/>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6070C-BA53-4D54-9925-5140F4872597}">
  <sheetPr codeName="Sheet722">
    <tabColor rgb="FF92D050"/>
  </sheetPr>
  <dimension ref="B2:F14"/>
  <sheetViews>
    <sheetView workbookViewId="0">
      <selection activeCell="F11" sqref="F11"/>
    </sheetView>
  </sheetViews>
  <sheetFormatPr defaultRowHeight="12.75" x14ac:dyDescent="0.2"/>
  <cols>
    <col min="1" max="1" width="3.5703125" customWidth="1"/>
    <col min="3" max="3" width="31.42578125" customWidth="1"/>
    <col min="4" max="4" width="26.140625" customWidth="1"/>
    <col min="5" max="5" width="22.85546875" customWidth="1"/>
    <col min="6" max="6" width="26.5703125" customWidth="1"/>
  </cols>
  <sheetData>
    <row r="2" spans="2:6" s="41" customFormat="1" ht="18" x14ac:dyDescent="0.25">
      <c r="C2" s="44" t="s">
        <v>2829</v>
      </c>
      <c r="D2" s="46" t="s">
        <v>2848</v>
      </c>
      <c r="E2" s="45"/>
    </row>
    <row r="4" spans="2:6" s="33" customFormat="1" ht="37.5" customHeight="1" x14ac:dyDescent="0.2">
      <c r="B4" s="35" t="s">
        <v>2789</v>
      </c>
      <c r="C4" s="35" t="s">
        <v>2790</v>
      </c>
      <c r="D4" s="35" t="s">
        <v>2791</v>
      </c>
      <c r="E4" s="35" t="s">
        <v>2792</v>
      </c>
      <c r="F4" s="35" t="s">
        <v>2793</v>
      </c>
    </row>
    <row r="5" spans="2:6" s="34" customFormat="1" ht="37.5" hidden="1" customHeight="1" x14ac:dyDescent="0.2">
      <c r="B5" s="36">
        <v>1</v>
      </c>
      <c r="C5" s="37" t="s">
        <v>2794</v>
      </c>
      <c r="D5" s="37" t="s">
        <v>2795</v>
      </c>
      <c r="E5" s="37" t="s">
        <v>2796</v>
      </c>
      <c r="F5" s="37" t="s">
        <v>2797</v>
      </c>
    </row>
    <row r="6" spans="2:6" s="34" customFormat="1" ht="37.5" hidden="1" customHeight="1" x14ac:dyDescent="0.2">
      <c r="B6" s="36">
        <v>2</v>
      </c>
      <c r="C6" s="37" t="s">
        <v>1536</v>
      </c>
      <c r="D6" s="37" t="s">
        <v>2798</v>
      </c>
      <c r="E6" s="37" t="s">
        <v>2799</v>
      </c>
      <c r="F6" s="37" t="s">
        <v>2800</v>
      </c>
    </row>
    <row r="7" spans="2:6" s="34" customFormat="1" ht="37.5" hidden="1" customHeight="1" x14ac:dyDescent="0.2">
      <c r="B7" s="40">
        <v>3</v>
      </c>
      <c r="C7" s="38" t="s">
        <v>2801</v>
      </c>
      <c r="D7" s="38" t="s">
        <v>2802</v>
      </c>
      <c r="E7" s="38" t="s">
        <v>2803</v>
      </c>
      <c r="F7" s="38" t="s">
        <v>2831</v>
      </c>
    </row>
    <row r="8" spans="2:6" s="34" customFormat="1" ht="37.5" hidden="1" customHeight="1" x14ac:dyDescent="0.2">
      <c r="B8" s="40">
        <v>4</v>
      </c>
      <c r="C8" s="38" t="s">
        <v>2804</v>
      </c>
      <c r="D8" s="38" t="s">
        <v>2805</v>
      </c>
      <c r="E8" s="38" t="s">
        <v>2812</v>
      </c>
      <c r="F8" s="39" t="s">
        <v>2813</v>
      </c>
    </row>
    <row r="9" spans="2:6" s="34" customFormat="1" ht="37.5" hidden="1" customHeight="1" x14ac:dyDescent="0.2">
      <c r="B9" s="40">
        <v>5</v>
      </c>
      <c r="C9" s="38" t="s">
        <v>2806</v>
      </c>
      <c r="D9" s="38" t="s">
        <v>2807</v>
      </c>
      <c r="E9" s="38" t="s">
        <v>2808</v>
      </c>
      <c r="F9" s="38" t="s">
        <v>2832</v>
      </c>
    </row>
    <row r="10" spans="2:6" s="34" customFormat="1" ht="37.5" hidden="1" customHeight="1" x14ac:dyDescent="0.2">
      <c r="B10" s="36">
        <v>6</v>
      </c>
      <c r="C10" s="37" t="s">
        <v>2809</v>
      </c>
      <c r="D10" s="37" t="s">
        <v>2810</v>
      </c>
      <c r="E10" s="37" t="s">
        <v>2811</v>
      </c>
      <c r="F10" s="38" t="s">
        <v>2832</v>
      </c>
    </row>
    <row r="11" spans="2:6" s="34" customFormat="1" ht="37.5" customHeight="1" x14ac:dyDescent="0.2">
      <c r="B11" s="62">
        <v>7</v>
      </c>
      <c r="C11" s="63" t="s">
        <v>2835</v>
      </c>
      <c r="D11" s="63" t="s">
        <v>2836</v>
      </c>
      <c r="E11" s="63"/>
      <c r="F11" s="63" t="s">
        <v>2841</v>
      </c>
    </row>
    <row r="12" spans="2:6" s="34" customFormat="1" ht="37.5" customHeight="1" x14ac:dyDescent="0.2">
      <c r="B12" s="62">
        <v>8</v>
      </c>
      <c r="C12" s="63" t="s">
        <v>2837</v>
      </c>
      <c r="D12" s="63" t="s">
        <v>2838</v>
      </c>
      <c r="E12" s="63"/>
      <c r="F12" s="63" t="s">
        <v>2839</v>
      </c>
    </row>
    <row r="13" spans="2:6" s="34" customFormat="1" ht="37.5" hidden="1" customHeight="1" x14ac:dyDescent="0.2">
      <c r="B13" s="62">
        <v>9</v>
      </c>
      <c r="C13" s="63" t="s">
        <v>2783</v>
      </c>
      <c r="D13" s="63" t="s">
        <v>2783</v>
      </c>
      <c r="E13" s="63"/>
      <c r="F13" s="38" t="s">
        <v>2832</v>
      </c>
    </row>
    <row r="14" spans="2:6" s="34" customFormat="1" ht="37.5" hidden="1" customHeight="1" x14ac:dyDescent="0.2">
      <c r="B14" s="62">
        <v>10</v>
      </c>
      <c r="C14" s="63" t="s">
        <v>2842</v>
      </c>
      <c r="D14" s="63" t="s">
        <v>2840</v>
      </c>
      <c r="E14" s="63"/>
      <c r="F14" s="38" t="s">
        <v>2832</v>
      </c>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D48D-AF66-425E-A90E-A0B0D0C1B489}">
  <sheetPr codeName="Sheet539"/>
  <dimension ref="B2:K2120"/>
  <sheetViews>
    <sheetView topLeftCell="A157" workbookViewId="0">
      <selection activeCell="I175" sqref="I175"/>
    </sheetView>
  </sheetViews>
  <sheetFormatPr defaultRowHeight="12.75" x14ac:dyDescent="0.2"/>
  <cols>
    <col min="1" max="1" width="3.28515625" customWidth="1"/>
    <col min="2" max="2" width="7.7109375" style="21" customWidth="1"/>
    <col min="3" max="3" width="20.5703125" customWidth="1"/>
    <col min="4" max="4" width="12.5703125" customWidth="1"/>
    <col min="5" max="5" width="16" customWidth="1"/>
    <col min="7" max="7" width="15.7109375" customWidth="1"/>
    <col min="8" max="8" width="11.7109375" customWidth="1"/>
    <col min="10" max="11" width="10.140625" bestFit="1" customWidth="1"/>
    <col min="13" max="13" width="14.140625" customWidth="1"/>
  </cols>
  <sheetData>
    <row r="2" spans="2:11" x14ac:dyDescent="0.2">
      <c r="B2" s="21" t="s">
        <v>1936</v>
      </c>
      <c r="C2" t="s">
        <v>1937</v>
      </c>
      <c r="D2" t="s">
        <v>1938</v>
      </c>
      <c r="E2" t="s">
        <v>1939</v>
      </c>
      <c r="F2" t="s">
        <v>1940</v>
      </c>
      <c r="G2" t="s">
        <v>1941</v>
      </c>
      <c r="H2" t="s">
        <v>1942</v>
      </c>
      <c r="I2" t="s">
        <v>1943</v>
      </c>
      <c r="J2" t="s">
        <v>1944</v>
      </c>
      <c r="K2" t="s">
        <v>1945</v>
      </c>
    </row>
    <row r="3" spans="2:11" x14ac:dyDescent="0.2">
      <c r="B3" s="21">
        <v>2118</v>
      </c>
      <c r="C3" t="s">
        <v>38</v>
      </c>
      <c r="D3" t="s">
        <v>13</v>
      </c>
      <c r="E3" t="s">
        <v>1946</v>
      </c>
      <c r="F3" t="s">
        <v>43</v>
      </c>
      <c r="G3" s="21">
        <v>0</v>
      </c>
      <c r="H3" s="21">
        <v>1</v>
      </c>
      <c r="J3" s="20" t="s">
        <v>2110</v>
      </c>
      <c r="K3" t="s">
        <v>2644</v>
      </c>
    </row>
    <row r="4" spans="2:11" x14ac:dyDescent="0.2">
      <c r="B4" s="21">
        <f>B3-1</f>
        <v>2117</v>
      </c>
      <c r="C4" t="s">
        <v>145</v>
      </c>
      <c r="D4" t="s">
        <v>13</v>
      </c>
      <c r="E4" t="s">
        <v>1947</v>
      </c>
      <c r="F4" t="s">
        <v>27</v>
      </c>
      <c r="G4" s="21">
        <v>0</v>
      </c>
      <c r="H4" s="21">
        <v>1</v>
      </c>
      <c r="I4" t="s">
        <v>1601</v>
      </c>
      <c r="J4" s="20" t="s">
        <v>2110</v>
      </c>
      <c r="K4" t="s">
        <v>2644</v>
      </c>
    </row>
    <row r="5" spans="2:11" x14ac:dyDescent="0.2">
      <c r="B5" s="21">
        <f t="shared" ref="B5:B68" si="0">B4-1</f>
        <v>2116</v>
      </c>
      <c r="C5" t="s">
        <v>1064</v>
      </c>
      <c r="D5" t="s">
        <v>13</v>
      </c>
      <c r="E5" t="s">
        <v>1948</v>
      </c>
      <c r="F5" t="s">
        <v>8</v>
      </c>
      <c r="G5" s="21">
        <v>0</v>
      </c>
      <c r="H5" s="21">
        <v>1</v>
      </c>
      <c r="I5" t="s">
        <v>1603</v>
      </c>
      <c r="J5" s="20" t="s">
        <v>2110</v>
      </c>
      <c r="K5" t="s">
        <v>2644</v>
      </c>
    </row>
    <row r="6" spans="2:11" x14ac:dyDescent="0.2">
      <c r="B6" s="21">
        <f t="shared" si="0"/>
        <v>2115</v>
      </c>
      <c r="C6" t="s">
        <v>1423</v>
      </c>
      <c r="D6" t="s">
        <v>13</v>
      </c>
      <c r="E6" t="s">
        <v>1949</v>
      </c>
      <c r="F6" t="s">
        <v>27</v>
      </c>
      <c r="G6" s="21">
        <v>0</v>
      </c>
      <c r="H6" s="21">
        <v>1</v>
      </c>
      <c r="J6" s="20" t="s">
        <v>2110</v>
      </c>
      <c r="K6" t="s">
        <v>2644</v>
      </c>
    </row>
    <row r="7" spans="2:11" x14ac:dyDescent="0.2">
      <c r="B7" s="21">
        <f t="shared" si="0"/>
        <v>2114</v>
      </c>
      <c r="C7" t="s">
        <v>1529</v>
      </c>
      <c r="D7" t="s">
        <v>13</v>
      </c>
      <c r="E7" t="s">
        <v>1950</v>
      </c>
      <c r="F7" t="s">
        <v>27</v>
      </c>
      <c r="G7" s="21">
        <v>0</v>
      </c>
      <c r="H7" s="21">
        <v>1</v>
      </c>
      <c r="J7" s="20" t="s">
        <v>2110</v>
      </c>
      <c r="K7" t="s">
        <v>2644</v>
      </c>
    </row>
    <row r="8" spans="2:11" x14ac:dyDescent="0.2">
      <c r="B8" s="21">
        <f t="shared" si="0"/>
        <v>2113</v>
      </c>
      <c r="C8" t="s">
        <v>1591</v>
      </c>
      <c r="D8" t="s">
        <v>13</v>
      </c>
      <c r="E8" t="s">
        <v>1951</v>
      </c>
      <c r="F8" t="s">
        <v>27</v>
      </c>
      <c r="G8" s="21">
        <v>0</v>
      </c>
      <c r="H8" s="21">
        <v>1</v>
      </c>
      <c r="J8" s="20" t="s">
        <v>2110</v>
      </c>
      <c r="K8" t="s">
        <v>2644</v>
      </c>
    </row>
    <row r="9" spans="2:11" x14ac:dyDescent="0.2">
      <c r="B9" s="21">
        <f t="shared" si="0"/>
        <v>2112</v>
      </c>
      <c r="C9" t="s">
        <v>38</v>
      </c>
      <c r="D9" t="s">
        <v>13</v>
      </c>
      <c r="E9" t="s">
        <v>2751</v>
      </c>
      <c r="F9" t="s">
        <v>43</v>
      </c>
      <c r="G9" s="21">
        <v>1</v>
      </c>
      <c r="H9" s="21">
        <v>0</v>
      </c>
      <c r="I9" t="s">
        <v>1604</v>
      </c>
      <c r="J9" s="20" t="s">
        <v>2111</v>
      </c>
      <c r="K9" t="s">
        <v>2110</v>
      </c>
    </row>
    <row r="10" spans="2:11" x14ac:dyDescent="0.2">
      <c r="B10" s="21">
        <f t="shared" si="0"/>
        <v>2111</v>
      </c>
      <c r="C10" t="s">
        <v>235</v>
      </c>
      <c r="D10" t="s">
        <v>13</v>
      </c>
      <c r="E10" t="s">
        <v>2751</v>
      </c>
      <c r="F10" t="s">
        <v>34</v>
      </c>
      <c r="G10" s="21">
        <v>1</v>
      </c>
      <c r="H10" s="21">
        <v>0</v>
      </c>
      <c r="I10" t="s">
        <v>1602</v>
      </c>
      <c r="J10" s="20" t="s">
        <v>2111</v>
      </c>
      <c r="K10" t="s">
        <v>2111</v>
      </c>
    </row>
    <row r="11" spans="2:11" x14ac:dyDescent="0.2">
      <c r="B11" s="21">
        <f t="shared" si="0"/>
        <v>2110</v>
      </c>
      <c r="C11" t="s">
        <v>145</v>
      </c>
      <c r="D11" t="s">
        <v>13</v>
      </c>
      <c r="E11" t="s">
        <v>2751</v>
      </c>
      <c r="F11" t="s">
        <v>27</v>
      </c>
      <c r="G11" s="21">
        <v>1</v>
      </c>
      <c r="H11" s="21">
        <v>0</v>
      </c>
      <c r="I11" t="s">
        <v>1601</v>
      </c>
      <c r="J11" s="20" t="s">
        <v>2111</v>
      </c>
      <c r="K11" t="s">
        <v>2110</v>
      </c>
    </row>
    <row r="12" spans="2:11" x14ac:dyDescent="0.2">
      <c r="B12" s="21">
        <f t="shared" si="0"/>
        <v>2109</v>
      </c>
      <c r="C12" t="s">
        <v>701</v>
      </c>
      <c r="D12" t="s">
        <v>13</v>
      </c>
      <c r="E12" t="s">
        <v>2751</v>
      </c>
      <c r="F12" t="s">
        <v>34</v>
      </c>
      <c r="G12" s="21">
        <v>1</v>
      </c>
      <c r="H12" s="21">
        <v>0</v>
      </c>
      <c r="I12" t="s">
        <v>1605</v>
      </c>
      <c r="J12" s="20" t="s">
        <v>2111</v>
      </c>
      <c r="K12" t="s">
        <v>2111</v>
      </c>
    </row>
    <row r="13" spans="2:11" x14ac:dyDescent="0.2">
      <c r="B13" s="21">
        <f t="shared" si="0"/>
        <v>2108</v>
      </c>
      <c r="C13" t="s">
        <v>1064</v>
      </c>
      <c r="D13" t="s">
        <v>13</v>
      </c>
      <c r="E13" t="s">
        <v>2751</v>
      </c>
      <c r="F13" t="s">
        <v>8</v>
      </c>
      <c r="G13" s="21">
        <v>1</v>
      </c>
      <c r="H13" s="21">
        <v>0</v>
      </c>
      <c r="I13" t="s">
        <v>1603</v>
      </c>
      <c r="J13" s="20" t="s">
        <v>2111</v>
      </c>
      <c r="K13" t="s">
        <v>2110</v>
      </c>
    </row>
    <row r="14" spans="2:11" x14ac:dyDescent="0.2">
      <c r="B14" s="21">
        <f t="shared" si="0"/>
        <v>2107</v>
      </c>
      <c r="C14" t="s">
        <v>38</v>
      </c>
      <c r="D14" t="s">
        <v>13</v>
      </c>
      <c r="E14" t="s">
        <v>2751</v>
      </c>
      <c r="F14" t="s">
        <v>43</v>
      </c>
      <c r="G14" s="21">
        <v>1</v>
      </c>
      <c r="H14" s="21">
        <v>0</v>
      </c>
      <c r="J14" s="20" t="s">
        <v>2112</v>
      </c>
      <c r="K14" t="s">
        <v>2111</v>
      </c>
    </row>
    <row r="15" spans="2:11" x14ac:dyDescent="0.2">
      <c r="B15" s="21">
        <f t="shared" si="0"/>
        <v>2106</v>
      </c>
      <c r="C15" t="s">
        <v>235</v>
      </c>
      <c r="D15" t="s">
        <v>13</v>
      </c>
      <c r="E15" t="s">
        <v>2751</v>
      </c>
      <c r="F15" t="s">
        <v>34</v>
      </c>
      <c r="G15" s="21">
        <v>1</v>
      </c>
      <c r="H15" s="21">
        <v>0</v>
      </c>
      <c r="I15" t="s">
        <v>1602</v>
      </c>
      <c r="J15" s="20" t="s">
        <v>2112</v>
      </c>
      <c r="K15" t="s">
        <v>2111</v>
      </c>
    </row>
    <row r="16" spans="2:11" x14ac:dyDescent="0.2">
      <c r="B16" s="21">
        <f t="shared" si="0"/>
        <v>2105</v>
      </c>
      <c r="C16" t="s">
        <v>145</v>
      </c>
      <c r="D16" t="s">
        <v>13</v>
      </c>
      <c r="E16" t="s">
        <v>2751</v>
      </c>
      <c r="F16" t="s">
        <v>27</v>
      </c>
      <c r="G16" s="21">
        <v>1</v>
      </c>
      <c r="H16" s="21">
        <v>0</v>
      </c>
      <c r="I16" t="s">
        <v>1601</v>
      </c>
      <c r="J16" s="20" t="s">
        <v>2112</v>
      </c>
      <c r="K16" t="s">
        <v>2111</v>
      </c>
    </row>
    <row r="17" spans="2:11" x14ac:dyDescent="0.2">
      <c r="B17" s="21">
        <f t="shared" si="0"/>
        <v>2104</v>
      </c>
      <c r="C17" t="s">
        <v>38</v>
      </c>
      <c r="D17" t="s">
        <v>13</v>
      </c>
      <c r="E17" t="s">
        <v>2751</v>
      </c>
      <c r="F17" t="s">
        <v>43</v>
      </c>
      <c r="G17" s="21">
        <v>1</v>
      </c>
      <c r="H17" s="21">
        <v>0</v>
      </c>
      <c r="I17" t="s">
        <v>1583</v>
      </c>
      <c r="J17" s="20" t="s">
        <v>2113</v>
      </c>
      <c r="K17" t="s">
        <v>2112</v>
      </c>
    </row>
    <row r="18" spans="2:11" x14ac:dyDescent="0.2">
      <c r="B18" s="21">
        <f t="shared" si="0"/>
        <v>2103</v>
      </c>
      <c r="C18" t="s">
        <v>1590</v>
      </c>
      <c r="D18" t="s">
        <v>13</v>
      </c>
      <c r="E18" t="s">
        <v>2751</v>
      </c>
      <c r="F18" t="s">
        <v>27</v>
      </c>
      <c r="G18" s="21">
        <v>1</v>
      </c>
      <c r="H18" s="21">
        <v>0</v>
      </c>
      <c r="I18" t="s">
        <v>1600</v>
      </c>
      <c r="J18" s="20" t="s">
        <v>2113</v>
      </c>
      <c r="K18" t="s">
        <v>2113</v>
      </c>
    </row>
    <row r="19" spans="2:11" x14ac:dyDescent="0.2">
      <c r="B19" s="21">
        <f t="shared" si="0"/>
        <v>2102</v>
      </c>
      <c r="C19" t="s">
        <v>1064</v>
      </c>
      <c r="D19" t="s">
        <v>13</v>
      </c>
      <c r="E19" t="s">
        <v>2751</v>
      </c>
      <c r="F19" t="s">
        <v>8</v>
      </c>
      <c r="G19" s="21">
        <v>1</v>
      </c>
      <c r="H19" s="21">
        <v>0</v>
      </c>
      <c r="I19" t="s">
        <v>1597</v>
      </c>
      <c r="J19" s="20" t="s">
        <v>2113</v>
      </c>
      <c r="K19" t="s">
        <v>2112</v>
      </c>
    </row>
    <row r="20" spans="2:11" x14ac:dyDescent="0.2">
      <c r="B20" s="21">
        <f t="shared" si="0"/>
        <v>2101</v>
      </c>
      <c r="C20" t="s">
        <v>1591</v>
      </c>
      <c r="D20" t="s">
        <v>13</v>
      </c>
      <c r="E20" t="s">
        <v>2751</v>
      </c>
      <c r="F20" t="s">
        <v>27</v>
      </c>
      <c r="G20" s="21">
        <v>1</v>
      </c>
      <c r="H20" s="21">
        <v>0</v>
      </c>
      <c r="I20" t="s">
        <v>1598</v>
      </c>
      <c r="J20" s="20" t="s">
        <v>2113</v>
      </c>
      <c r="K20" t="s">
        <v>2113</v>
      </c>
    </row>
    <row r="21" spans="2:11" x14ac:dyDescent="0.2">
      <c r="B21" s="21">
        <f t="shared" si="0"/>
        <v>2100</v>
      </c>
      <c r="C21" t="s">
        <v>235</v>
      </c>
      <c r="D21" t="s">
        <v>13</v>
      </c>
      <c r="E21" t="s">
        <v>2751</v>
      </c>
      <c r="F21" t="s">
        <v>34</v>
      </c>
      <c r="G21" s="21">
        <v>1</v>
      </c>
      <c r="H21" s="21">
        <v>0</v>
      </c>
      <c r="I21" t="s">
        <v>1599</v>
      </c>
      <c r="J21" s="20" t="s">
        <v>2113</v>
      </c>
      <c r="K21" t="s">
        <v>2112</v>
      </c>
    </row>
    <row r="22" spans="2:11" x14ac:dyDescent="0.2">
      <c r="B22" s="21">
        <f t="shared" si="0"/>
        <v>2099</v>
      </c>
      <c r="C22" t="s">
        <v>38</v>
      </c>
      <c r="D22" t="s">
        <v>13</v>
      </c>
      <c r="E22" t="s">
        <v>2751</v>
      </c>
      <c r="F22" t="s">
        <v>43</v>
      </c>
      <c r="G22" s="21">
        <v>1</v>
      </c>
      <c r="H22" s="21">
        <v>0</v>
      </c>
      <c r="I22" t="s">
        <v>1583</v>
      </c>
      <c r="J22" s="20" t="s">
        <v>2114</v>
      </c>
      <c r="K22" t="s">
        <v>2645</v>
      </c>
    </row>
    <row r="23" spans="2:11" x14ac:dyDescent="0.2">
      <c r="B23" s="21">
        <f t="shared" si="0"/>
        <v>2098</v>
      </c>
      <c r="C23" t="s">
        <v>1590</v>
      </c>
      <c r="D23" t="s">
        <v>13</v>
      </c>
      <c r="E23" t="s">
        <v>2751</v>
      </c>
      <c r="F23" t="s">
        <v>27</v>
      </c>
      <c r="G23" s="21">
        <v>1</v>
      </c>
      <c r="H23" s="21">
        <v>0</v>
      </c>
      <c r="J23" s="20" t="s">
        <v>2114</v>
      </c>
      <c r="K23" t="s">
        <v>2645</v>
      </c>
    </row>
    <row r="24" spans="2:11" x14ac:dyDescent="0.2">
      <c r="B24" s="21">
        <f t="shared" si="0"/>
        <v>2097</v>
      </c>
      <c r="C24" t="s">
        <v>38</v>
      </c>
      <c r="D24" t="s">
        <v>13</v>
      </c>
      <c r="E24" t="s">
        <v>2751</v>
      </c>
      <c r="F24" t="s">
        <v>43</v>
      </c>
      <c r="G24" s="21">
        <v>1</v>
      </c>
      <c r="H24" s="21">
        <v>0</v>
      </c>
      <c r="I24" t="s">
        <v>1583</v>
      </c>
      <c r="J24" s="20" t="s">
        <v>2115</v>
      </c>
      <c r="K24" t="s">
        <v>2114</v>
      </c>
    </row>
    <row r="25" spans="2:11" x14ac:dyDescent="0.2">
      <c r="B25" s="21">
        <f t="shared" si="0"/>
        <v>2096</v>
      </c>
      <c r="C25" t="s">
        <v>1590</v>
      </c>
      <c r="D25" t="s">
        <v>13</v>
      </c>
      <c r="E25" t="s">
        <v>2751</v>
      </c>
      <c r="F25" t="s">
        <v>27</v>
      </c>
      <c r="G25" s="21">
        <v>1</v>
      </c>
      <c r="H25" s="21">
        <v>0</v>
      </c>
      <c r="J25" s="20" t="s">
        <v>2115</v>
      </c>
      <c r="K25" t="s">
        <v>2114</v>
      </c>
    </row>
    <row r="26" spans="2:11" x14ac:dyDescent="0.2">
      <c r="B26" s="21">
        <f t="shared" si="0"/>
        <v>2095</v>
      </c>
      <c r="C26" t="s">
        <v>1064</v>
      </c>
      <c r="D26" t="s">
        <v>13</v>
      </c>
      <c r="E26" t="s">
        <v>2751</v>
      </c>
      <c r="F26" t="s">
        <v>8</v>
      </c>
      <c r="G26" s="21">
        <v>1</v>
      </c>
      <c r="H26" s="21">
        <v>0</v>
      </c>
      <c r="I26" t="s">
        <v>1597</v>
      </c>
      <c r="J26" s="20" t="s">
        <v>2115</v>
      </c>
      <c r="K26" t="s">
        <v>2115</v>
      </c>
    </row>
    <row r="27" spans="2:11" x14ac:dyDescent="0.2">
      <c r="B27" s="21">
        <f t="shared" si="0"/>
        <v>2094</v>
      </c>
      <c r="C27" t="s">
        <v>1591</v>
      </c>
      <c r="D27" t="s">
        <v>13</v>
      </c>
      <c r="E27" t="s">
        <v>2751</v>
      </c>
      <c r="F27" t="s">
        <v>27</v>
      </c>
      <c r="G27" s="21">
        <v>1</v>
      </c>
      <c r="H27" s="21">
        <v>0</v>
      </c>
      <c r="I27" t="s">
        <v>1596</v>
      </c>
      <c r="J27" s="20" t="s">
        <v>2115</v>
      </c>
      <c r="K27" t="s">
        <v>2115</v>
      </c>
    </row>
    <row r="28" spans="2:11" x14ac:dyDescent="0.2">
      <c r="B28" s="21">
        <f t="shared" si="0"/>
        <v>2093</v>
      </c>
      <c r="C28" t="s">
        <v>235</v>
      </c>
      <c r="D28" t="s">
        <v>13</v>
      </c>
      <c r="E28" t="s">
        <v>2751</v>
      </c>
      <c r="F28" t="s">
        <v>34</v>
      </c>
      <c r="G28" s="21">
        <v>1</v>
      </c>
      <c r="H28" s="21">
        <v>0</v>
      </c>
      <c r="I28" t="s">
        <v>1594</v>
      </c>
      <c r="J28" s="20" t="s">
        <v>2116</v>
      </c>
      <c r="K28" t="s">
        <v>2116</v>
      </c>
    </row>
    <row r="29" spans="2:11" x14ac:dyDescent="0.2">
      <c r="B29" s="21">
        <f t="shared" si="0"/>
        <v>2092</v>
      </c>
      <c r="C29" t="s">
        <v>235</v>
      </c>
      <c r="D29" t="s">
        <v>13</v>
      </c>
      <c r="E29" t="s">
        <v>2751</v>
      </c>
      <c r="F29" t="s">
        <v>34</v>
      </c>
      <c r="G29" s="21">
        <v>1</v>
      </c>
      <c r="H29" s="21">
        <v>0</v>
      </c>
      <c r="I29" t="s">
        <v>1585</v>
      </c>
      <c r="J29" s="20" t="s">
        <v>2116</v>
      </c>
      <c r="K29" t="s">
        <v>2116</v>
      </c>
    </row>
    <row r="30" spans="2:11" x14ac:dyDescent="0.2">
      <c r="B30" s="21">
        <f t="shared" si="0"/>
        <v>2091</v>
      </c>
      <c r="C30" t="s">
        <v>38</v>
      </c>
      <c r="D30" t="s">
        <v>13</v>
      </c>
      <c r="E30" t="s">
        <v>2751</v>
      </c>
      <c r="F30" t="s">
        <v>43</v>
      </c>
      <c r="G30" s="21">
        <v>1</v>
      </c>
      <c r="H30" s="21">
        <v>0</v>
      </c>
      <c r="I30" t="s">
        <v>1583</v>
      </c>
      <c r="J30" s="20" t="s">
        <v>2116</v>
      </c>
      <c r="K30" t="s">
        <v>2115</v>
      </c>
    </row>
    <row r="31" spans="2:11" x14ac:dyDescent="0.2">
      <c r="B31" s="21">
        <f t="shared" si="0"/>
        <v>2090</v>
      </c>
      <c r="C31" t="s">
        <v>1590</v>
      </c>
      <c r="D31" t="s">
        <v>13</v>
      </c>
      <c r="E31" t="s">
        <v>2751</v>
      </c>
      <c r="F31" t="s">
        <v>27</v>
      </c>
      <c r="G31" s="21">
        <v>1</v>
      </c>
      <c r="H31" s="21">
        <v>0</v>
      </c>
      <c r="J31" s="20" t="s">
        <v>2116</v>
      </c>
      <c r="K31" t="s">
        <v>2115</v>
      </c>
    </row>
    <row r="32" spans="2:11" x14ac:dyDescent="0.2">
      <c r="B32" s="21">
        <f t="shared" si="0"/>
        <v>2089</v>
      </c>
      <c r="C32" t="s">
        <v>1064</v>
      </c>
      <c r="D32" t="s">
        <v>13</v>
      </c>
      <c r="E32" t="s">
        <v>2751</v>
      </c>
      <c r="F32" t="s">
        <v>43</v>
      </c>
      <c r="G32" s="21">
        <v>1</v>
      </c>
      <c r="H32" s="21">
        <v>0</v>
      </c>
      <c r="I32" t="s">
        <v>1593</v>
      </c>
      <c r="J32" s="20" t="s">
        <v>2116</v>
      </c>
      <c r="K32" t="s">
        <v>2115</v>
      </c>
    </row>
    <row r="33" spans="2:11" x14ac:dyDescent="0.2">
      <c r="B33" s="21">
        <f t="shared" si="0"/>
        <v>2088</v>
      </c>
      <c r="C33" t="s">
        <v>1591</v>
      </c>
      <c r="D33" t="s">
        <v>13</v>
      </c>
      <c r="E33" t="s">
        <v>2751</v>
      </c>
      <c r="F33" t="s">
        <v>8</v>
      </c>
      <c r="G33" s="21">
        <v>1</v>
      </c>
      <c r="H33" s="21">
        <v>0</v>
      </c>
      <c r="I33" t="s">
        <v>1595</v>
      </c>
      <c r="J33" s="20" t="s">
        <v>2116</v>
      </c>
      <c r="K33" t="s">
        <v>2115</v>
      </c>
    </row>
    <row r="34" spans="2:11" x14ac:dyDescent="0.2">
      <c r="B34" s="21">
        <f t="shared" si="0"/>
        <v>2087</v>
      </c>
      <c r="C34" t="s">
        <v>235</v>
      </c>
      <c r="D34" t="s">
        <v>13</v>
      </c>
      <c r="E34" t="s">
        <v>2751</v>
      </c>
      <c r="F34" t="s">
        <v>34</v>
      </c>
      <c r="G34" s="21">
        <v>1</v>
      </c>
      <c r="H34" s="21">
        <v>0</v>
      </c>
      <c r="I34" t="s">
        <v>1584</v>
      </c>
      <c r="J34" s="20" t="s">
        <v>2117</v>
      </c>
      <c r="K34" t="s">
        <v>2116</v>
      </c>
    </row>
    <row r="35" spans="2:11" x14ac:dyDescent="0.2">
      <c r="B35" s="21">
        <f t="shared" si="0"/>
        <v>2086</v>
      </c>
      <c r="C35" t="s">
        <v>235</v>
      </c>
      <c r="D35" t="s">
        <v>13</v>
      </c>
      <c r="E35" t="s">
        <v>2751</v>
      </c>
      <c r="F35" t="s">
        <v>115</v>
      </c>
      <c r="G35" s="21">
        <v>1</v>
      </c>
      <c r="H35" s="21">
        <v>0</v>
      </c>
      <c r="I35" t="s">
        <v>1586</v>
      </c>
      <c r="J35" s="20" t="s">
        <v>2117</v>
      </c>
      <c r="K35" t="s">
        <v>2117</v>
      </c>
    </row>
    <row r="36" spans="2:11" x14ac:dyDescent="0.2">
      <c r="B36" s="21">
        <f t="shared" si="0"/>
        <v>2085</v>
      </c>
      <c r="C36" t="s">
        <v>235</v>
      </c>
      <c r="D36" t="s">
        <v>13</v>
      </c>
      <c r="E36" t="s">
        <v>2751</v>
      </c>
      <c r="F36" t="s">
        <v>34</v>
      </c>
      <c r="G36" s="21">
        <v>1</v>
      </c>
      <c r="H36" s="21">
        <v>0</v>
      </c>
      <c r="I36" t="s">
        <v>1585</v>
      </c>
      <c r="J36" s="20" t="s">
        <v>2117</v>
      </c>
      <c r="K36" t="s">
        <v>2116</v>
      </c>
    </row>
    <row r="37" spans="2:11" x14ac:dyDescent="0.2">
      <c r="B37" s="21">
        <f t="shared" si="0"/>
        <v>2084</v>
      </c>
      <c r="C37" t="s">
        <v>38</v>
      </c>
      <c r="D37" t="s">
        <v>13</v>
      </c>
      <c r="E37" t="s">
        <v>2751</v>
      </c>
      <c r="F37" t="s">
        <v>43</v>
      </c>
      <c r="G37" s="21">
        <v>1</v>
      </c>
      <c r="H37" s="21">
        <v>0</v>
      </c>
      <c r="I37" t="s">
        <v>1583</v>
      </c>
      <c r="J37" s="20" t="s">
        <v>2117</v>
      </c>
      <c r="K37" t="s">
        <v>2116</v>
      </c>
    </row>
    <row r="38" spans="2:11" x14ac:dyDescent="0.2">
      <c r="B38" s="21">
        <f t="shared" si="0"/>
        <v>2083</v>
      </c>
      <c r="C38" t="s">
        <v>1423</v>
      </c>
      <c r="D38" t="s">
        <v>13</v>
      </c>
      <c r="E38" t="s">
        <v>2751</v>
      </c>
      <c r="F38" t="s">
        <v>34</v>
      </c>
      <c r="G38" s="21">
        <v>1</v>
      </c>
      <c r="H38" s="21">
        <v>0</v>
      </c>
      <c r="I38" t="s">
        <v>1589</v>
      </c>
      <c r="J38" s="20" t="s">
        <v>2117</v>
      </c>
      <c r="K38" t="s">
        <v>2117</v>
      </c>
    </row>
    <row r="39" spans="2:11" x14ac:dyDescent="0.2">
      <c r="B39" s="21">
        <f t="shared" si="0"/>
        <v>2082</v>
      </c>
      <c r="C39" t="s">
        <v>145</v>
      </c>
      <c r="D39" t="s">
        <v>13</v>
      </c>
      <c r="E39" t="s">
        <v>2751</v>
      </c>
      <c r="F39" t="s">
        <v>27</v>
      </c>
      <c r="G39" s="21">
        <v>1</v>
      </c>
      <c r="H39" s="21">
        <v>0</v>
      </c>
      <c r="I39" t="s">
        <v>1587</v>
      </c>
      <c r="J39" s="20" t="s">
        <v>2117</v>
      </c>
      <c r="K39" t="s">
        <v>2117</v>
      </c>
    </row>
    <row r="40" spans="2:11" x14ac:dyDescent="0.2">
      <c r="B40" s="21">
        <f t="shared" si="0"/>
        <v>2081</v>
      </c>
      <c r="C40" t="s">
        <v>1529</v>
      </c>
      <c r="D40" t="s">
        <v>13</v>
      </c>
      <c r="E40" t="s">
        <v>2751</v>
      </c>
      <c r="F40" t="s">
        <v>27</v>
      </c>
      <c r="G40" s="21">
        <v>1</v>
      </c>
      <c r="H40" s="21">
        <v>0</v>
      </c>
      <c r="I40" t="s">
        <v>1588</v>
      </c>
      <c r="J40" s="20" t="s">
        <v>2117</v>
      </c>
      <c r="K40" t="s">
        <v>2117</v>
      </c>
    </row>
    <row r="41" spans="2:11" x14ac:dyDescent="0.2">
      <c r="B41" s="21">
        <f t="shared" si="0"/>
        <v>2080</v>
      </c>
      <c r="C41" t="s">
        <v>1590</v>
      </c>
      <c r="D41" t="s">
        <v>13</v>
      </c>
      <c r="E41" t="s">
        <v>2751</v>
      </c>
      <c r="F41" t="s">
        <v>27</v>
      </c>
      <c r="G41" s="21">
        <v>1</v>
      </c>
      <c r="H41" s="21">
        <v>0</v>
      </c>
      <c r="J41" s="20" t="s">
        <v>2117</v>
      </c>
      <c r="K41" t="s">
        <v>2116</v>
      </c>
    </row>
    <row r="42" spans="2:11" x14ac:dyDescent="0.2">
      <c r="B42" s="21">
        <f t="shared" si="0"/>
        <v>2079</v>
      </c>
      <c r="C42" t="s">
        <v>1591</v>
      </c>
      <c r="D42" t="s">
        <v>13</v>
      </c>
      <c r="E42" t="s">
        <v>2751</v>
      </c>
      <c r="F42" t="s">
        <v>8</v>
      </c>
      <c r="G42" s="21">
        <v>1</v>
      </c>
      <c r="H42" s="21">
        <v>0</v>
      </c>
      <c r="I42" t="s">
        <v>1592</v>
      </c>
      <c r="J42" s="20" t="s">
        <v>2117</v>
      </c>
      <c r="K42" t="s">
        <v>2116</v>
      </c>
    </row>
    <row r="43" spans="2:11" x14ac:dyDescent="0.2">
      <c r="B43" s="21">
        <f t="shared" si="0"/>
        <v>2078</v>
      </c>
      <c r="C43" t="s">
        <v>235</v>
      </c>
      <c r="D43" t="s">
        <v>13</v>
      </c>
      <c r="E43" t="s">
        <v>2751</v>
      </c>
      <c r="F43" t="s">
        <v>115</v>
      </c>
      <c r="G43" s="21">
        <v>1</v>
      </c>
      <c r="H43" s="21">
        <v>0</v>
      </c>
      <c r="I43" t="s">
        <v>1582</v>
      </c>
      <c r="J43" s="20" t="s">
        <v>2118</v>
      </c>
      <c r="K43" t="s">
        <v>2118</v>
      </c>
    </row>
    <row r="44" spans="2:11" x14ac:dyDescent="0.2">
      <c r="B44" s="21">
        <f t="shared" si="0"/>
        <v>2077</v>
      </c>
      <c r="C44" t="s">
        <v>38</v>
      </c>
      <c r="D44" t="s">
        <v>13</v>
      </c>
      <c r="E44" t="s">
        <v>2751</v>
      </c>
      <c r="F44" t="s">
        <v>43</v>
      </c>
      <c r="G44" s="21">
        <v>1</v>
      </c>
      <c r="H44" s="21">
        <v>0</v>
      </c>
      <c r="I44" t="s">
        <v>1583</v>
      </c>
      <c r="J44" s="20" t="s">
        <v>2118</v>
      </c>
      <c r="K44" t="s">
        <v>2117</v>
      </c>
    </row>
    <row r="45" spans="2:11" x14ac:dyDescent="0.2">
      <c r="B45" s="21">
        <f t="shared" si="0"/>
        <v>2076</v>
      </c>
      <c r="C45" t="s">
        <v>964</v>
      </c>
      <c r="D45" t="s">
        <v>13</v>
      </c>
      <c r="E45" t="s">
        <v>2751</v>
      </c>
      <c r="F45" t="s">
        <v>27</v>
      </c>
      <c r="G45" s="21">
        <v>1</v>
      </c>
      <c r="H45" s="21">
        <v>0</v>
      </c>
      <c r="J45" s="20" t="s">
        <v>2119</v>
      </c>
      <c r="K45" t="s">
        <v>2646</v>
      </c>
    </row>
    <row r="46" spans="2:11" x14ac:dyDescent="0.2">
      <c r="B46" s="21">
        <f t="shared" si="0"/>
        <v>2075</v>
      </c>
      <c r="C46" t="s">
        <v>1064</v>
      </c>
      <c r="D46" t="s">
        <v>13</v>
      </c>
      <c r="E46" t="s">
        <v>2751</v>
      </c>
      <c r="F46" t="s">
        <v>69</v>
      </c>
      <c r="G46" s="21">
        <v>1</v>
      </c>
      <c r="H46" s="21">
        <v>0</v>
      </c>
      <c r="I46" t="s">
        <v>1581</v>
      </c>
      <c r="J46" s="20" t="s">
        <v>2119</v>
      </c>
      <c r="K46" t="s">
        <v>2119</v>
      </c>
    </row>
    <row r="47" spans="2:11" x14ac:dyDescent="0.2">
      <c r="B47" s="21">
        <f t="shared" si="0"/>
        <v>2074</v>
      </c>
      <c r="C47" t="s">
        <v>1064</v>
      </c>
      <c r="D47" t="s">
        <v>13</v>
      </c>
      <c r="E47" t="s">
        <v>2751</v>
      </c>
      <c r="F47" t="s">
        <v>8</v>
      </c>
      <c r="G47" s="21">
        <v>1</v>
      </c>
      <c r="H47" s="21">
        <v>0</v>
      </c>
      <c r="I47" t="s">
        <v>1580</v>
      </c>
      <c r="J47" s="20" t="s">
        <v>2119</v>
      </c>
      <c r="K47" t="s">
        <v>2119</v>
      </c>
    </row>
    <row r="48" spans="2:11" x14ac:dyDescent="0.2">
      <c r="B48" s="21">
        <f t="shared" si="0"/>
        <v>2073</v>
      </c>
      <c r="C48" t="s">
        <v>235</v>
      </c>
      <c r="D48" t="s">
        <v>13</v>
      </c>
      <c r="E48" t="s">
        <v>2751</v>
      </c>
      <c r="F48" t="s">
        <v>34</v>
      </c>
      <c r="G48" s="21">
        <v>1</v>
      </c>
      <c r="H48" s="21">
        <v>0</v>
      </c>
      <c r="J48" s="20" t="s">
        <v>2119</v>
      </c>
      <c r="K48" t="s">
        <v>2646</v>
      </c>
    </row>
    <row r="49" spans="2:11" x14ac:dyDescent="0.2">
      <c r="B49" s="21">
        <f t="shared" si="0"/>
        <v>2072</v>
      </c>
      <c r="C49" t="s">
        <v>38</v>
      </c>
      <c r="D49" t="s">
        <v>13</v>
      </c>
      <c r="E49" t="s">
        <v>2751</v>
      </c>
      <c r="F49" t="s">
        <v>43</v>
      </c>
      <c r="G49" s="21">
        <v>1</v>
      </c>
      <c r="H49" s="21">
        <v>0</v>
      </c>
      <c r="J49" s="20" t="s">
        <v>2119</v>
      </c>
      <c r="K49" t="s">
        <v>2646</v>
      </c>
    </row>
    <row r="50" spans="2:11" x14ac:dyDescent="0.2">
      <c r="B50" s="21">
        <f t="shared" si="0"/>
        <v>2071</v>
      </c>
      <c r="C50" t="s">
        <v>964</v>
      </c>
      <c r="D50" t="s">
        <v>13</v>
      </c>
      <c r="E50" t="s">
        <v>2751</v>
      </c>
      <c r="F50" t="s">
        <v>27</v>
      </c>
      <c r="G50" s="21">
        <v>1</v>
      </c>
      <c r="H50" s="21">
        <v>0</v>
      </c>
      <c r="J50" s="20" t="s">
        <v>2120</v>
      </c>
      <c r="K50" t="s">
        <v>2119</v>
      </c>
    </row>
    <row r="51" spans="2:11" x14ac:dyDescent="0.2">
      <c r="B51" s="21">
        <f t="shared" si="0"/>
        <v>2070</v>
      </c>
      <c r="C51" t="s">
        <v>1064</v>
      </c>
      <c r="D51" t="s">
        <v>13</v>
      </c>
      <c r="E51" t="s">
        <v>2751</v>
      </c>
      <c r="F51" t="s">
        <v>8</v>
      </c>
      <c r="G51" s="21">
        <v>1</v>
      </c>
      <c r="H51" s="21">
        <v>0</v>
      </c>
      <c r="J51" s="20" t="s">
        <v>2120</v>
      </c>
      <c r="K51" t="s">
        <v>2119</v>
      </c>
    </row>
    <row r="52" spans="2:11" x14ac:dyDescent="0.2">
      <c r="B52" s="21">
        <f t="shared" si="0"/>
        <v>2069</v>
      </c>
      <c r="C52" t="s">
        <v>235</v>
      </c>
      <c r="D52" t="s">
        <v>13</v>
      </c>
      <c r="E52" t="s">
        <v>2751</v>
      </c>
      <c r="F52" t="s">
        <v>34</v>
      </c>
      <c r="G52" s="21">
        <v>1</v>
      </c>
      <c r="H52" s="21">
        <v>0</v>
      </c>
      <c r="J52" s="20" t="s">
        <v>2120</v>
      </c>
      <c r="K52" t="s">
        <v>2119</v>
      </c>
    </row>
    <row r="53" spans="2:11" x14ac:dyDescent="0.2">
      <c r="B53" s="21">
        <f t="shared" si="0"/>
        <v>2068</v>
      </c>
      <c r="C53" t="s">
        <v>38</v>
      </c>
      <c r="D53" t="s">
        <v>13</v>
      </c>
      <c r="E53" t="s">
        <v>2751</v>
      </c>
      <c r="F53" t="s">
        <v>43</v>
      </c>
      <c r="G53" s="21">
        <v>1</v>
      </c>
      <c r="H53" s="21">
        <v>0</v>
      </c>
      <c r="J53" s="20" t="s">
        <v>2120</v>
      </c>
      <c r="K53" t="s">
        <v>2119</v>
      </c>
    </row>
    <row r="54" spans="2:11" x14ac:dyDescent="0.2">
      <c r="B54" s="21">
        <f t="shared" si="0"/>
        <v>2067</v>
      </c>
      <c r="C54" t="s">
        <v>964</v>
      </c>
      <c r="D54" t="s">
        <v>13</v>
      </c>
      <c r="E54" t="s">
        <v>2751</v>
      </c>
      <c r="F54" t="s">
        <v>27</v>
      </c>
      <c r="G54" s="21">
        <v>1</v>
      </c>
      <c r="H54" s="21">
        <v>0</v>
      </c>
      <c r="I54" t="s">
        <v>1577</v>
      </c>
      <c r="J54" s="20" t="s">
        <v>2121</v>
      </c>
      <c r="K54" t="s">
        <v>2120</v>
      </c>
    </row>
    <row r="55" spans="2:11" x14ac:dyDescent="0.2">
      <c r="B55" s="21">
        <f t="shared" si="0"/>
        <v>2066</v>
      </c>
      <c r="C55" t="s">
        <v>1064</v>
      </c>
      <c r="D55" t="s">
        <v>13</v>
      </c>
      <c r="E55" t="s">
        <v>2751</v>
      </c>
      <c r="F55" t="s">
        <v>69</v>
      </c>
      <c r="G55" s="21">
        <v>1</v>
      </c>
      <c r="H55" s="21">
        <v>0</v>
      </c>
      <c r="I55" t="s">
        <v>1578</v>
      </c>
      <c r="J55" s="20" t="s">
        <v>2121</v>
      </c>
      <c r="K55" t="s">
        <v>2121</v>
      </c>
    </row>
    <row r="56" spans="2:11" x14ac:dyDescent="0.2">
      <c r="B56" s="21">
        <f t="shared" si="0"/>
        <v>2065</v>
      </c>
      <c r="C56" t="s">
        <v>1064</v>
      </c>
      <c r="D56" t="s">
        <v>13</v>
      </c>
      <c r="E56" t="s">
        <v>2751</v>
      </c>
      <c r="F56" t="s">
        <v>8</v>
      </c>
      <c r="G56" s="21">
        <v>1</v>
      </c>
      <c r="H56" s="21">
        <v>0</v>
      </c>
      <c r="J56" s="20" t="s">
        <v>2121</v>
      </c>
      <c r="K56" t="s">
        <v>2120</v>
      </c>
    </row>
    <row r="57" spans="2:11" x14ac:dyDescent="0.2">
      <c r="B57" s="21">
        <f t="shared" si="0"/>
        <v>2064</v>
      </c>
      <c r="C57" t="s">
        <v>235</v>
      </c>
      <c r="D57" t="s">
        <v>13</v>
      </c>
      <c r="E57" t="s">
        <v>2751</v>
      </c>
      <c r="F57" t="s">
        <v>34</v>
      </c>
      <c r="G57" s="21">
        <v>1</v>
      </c>
      <c r="H57" s="21">
        <v>0</v>
      </c>
      <c r="J57" s="20" t="s">
        <v>2121</v>
      </c>
      <c r="K57" t="s">
        <v>2120</v>
      </c>
    </row>
    <row r="58" spans="2:11" x14ac:dyDescent="0.2">
      <c r="B58" s="21">
        <f t="shared" si="0"/>
        <v>2063</v>
      </c>
      <c r="C58" t="s">
        <v>38</v>
      </c>
      <c r="D58" t="s">
        <v>13</v>
      </c>
      <c r="E58" t="s">
        <v>2751</v>
      </c>
      <c r="F58" t="s">
        <v>43</v>
      </c>
      <c r="G58" s="21">
        <v>1</v>
      </c>
      <c r="H58" s="21">
        <v>0</v>
      </c>
      <c r="I58" t="s">
        <v>1574</v>
      </c>
      <c r="J58" s="20" t="s">
        <v>2121</v>
      </c>
      <c r="K58" t="s">
        <v>2120</v>
      </c>
    </row>
    <row r="59" spans="2:11" x14ac:dyDescent="0.2">
      <c r="B59" s="21">
        <f t="shared" si="0"/>
        <v>2062</v>
      </c>
      <c r="C59" t="s">
        <v>1575</v>
      </c>
      <c r="D59" t="s">
        <v>13</v>
      </c>
      <c r="E59" t="s">
        <v>2751</v>
      </c>
      <c r="F59" t="s">
        <v>27</v>
      </c>
      <c r="G59" s="21">
        <v>1</v>
      </c>
      <c r="H59" s="21">
        <v>0</v>
      </c>
      <c r="I59" t="s">
        <v>1579</v>
      </c>
      <c r="J59" s="20" t="s">
        <v>2121</v>
      </c>
      <c r="K59" t="s">
        <v>2121</v>
      </c>
    </row>
    <row r="60" spans="2:11" x14ac:dyDescent="0.2">
      <c r="B60" s="21">
        <f t="shared" si="0"/>
        <v>2061</v>
      </c>
      <c r="C60" t="s">
        <v>964</v>
      </c>
      <c r="D60" t="s">
        <v>13</v>
      </c>
      <c r="E60" t="s">
        <v>2751</v>
      </c>
      <c r="F60" t="s">
        <v>27</v>
      </c>
      <c r="G60" s="21">
        <v>1</v>
      </c>
      <c r="H60" s="21">
        <v>0</v>
      </c>
      <c r="J60" s="20" t="s">
        <v>2122</v>
      </c>
      <c r="K60" t="s">
        <v>2121</v>
      </c>
    </row>
    <row r="61" spans="2:11" x14ac:dyDescent="0.2">
      <c r="B61" s="21">
        <f t="shared" si="0"/>
        <v>2060</v>
      </c>
      <c r="C61" t="s">
        <v>1064</v>
      </c>
      <c r="D61" t="s">
        <v>13</v>
      </c>
      <c r="E61" t="s">
        <v>2751</v>
      </c>
      <c r="F61" t="s">
        <v>8</v>
      </c>
      <c r="G61" s="21">
        <v>1</v>
      </c>
      <c r="H61" s="21">
        <v>0</v>
      </c>
      <c r="I61" t="s">
        <v>1576</v>
      </c>
      <c r="J61" s="20" t="s">
        <v>2122</v>
      </c>
      <c r="K61" t="s">
        <v>2122</v>
      </c>
    </row>
    <row r="62" spans="2:11" x14ac:dyDescent="0.2">
      <c r="B62" s="21">
        <f t="shared" si="0"/>
        <v>2059</v>
      </c>
      <c r="C62" t="s">
        <v>235</v>
      </c>
      <c r="D62" t="s">
        <v>13</v>
      </c>
      <c r="E62" t="s">
        <v>2751</v>
      </c>
      <c r="F62" t="s">
        <v>34</v>
      </c>
      <c r="G62" s="21">
        <v>1</v>
      </c>
      <c r="H62" s="21">
        <v>0</v>
      </c>
      <c r="J62" s="20" t="s">
        <v>2122</v>
      </c>
      <c r="K62" t="s">
        <v>2121</v>
      </c>
    </row>
    <row r="63" spans="2:11" x14ac:dyDescent="0.2">
      <c r="B63" s="21">
        <f t="shared" si="0"/>
        <v>2058</v>
      </c>
      <c r="C63" t="s">
        <v>38</v>
      </c>
      <c r="D63" t="s">
        <v>13</v>
      </c>
      <c r="E63" t="s">
        <v>2751</v>
      </c>
      <c r="F63" t="s">
        <v>43</v>
      </c>
      <c r="G63" s="21">
        <v>1</v>
      </c>
      <c r="H63" s="21">
        <v>0</v>
      </c>
      <c r="I63" t="s">
        <v>1574</v>
      </c>
      <c r="J63" s="20" t="s">
        <v>2122</v>
      </c>
      <c r="K63" t="s">
        <v>2121</v>
      </c>
    </row>
    <row r="64" spans="2:11" x14ac:dyDescent="0.2">
      <c r="B64" s="21">
        <f t="shared" si="0"/>
        <v>2057</v>
      </c>
      <c r="C64" t="s">
        <v>1575</v>
      </c>
      <c r="D64" t="s">
        <v>13</v>
      </c>
      <c r="E64" t="s">
        <v>2751</v>
      </c>
      <c r="F64" t="s">
        <v>27</v>
      </c>
      <c r="G64" s="21">
        <v>1</v>
      </c>
      <c r="H64" s="21">
        <v>0</v>
      </c>
      <c r="J64" s="20" t="s">
        <v>2122</v>
      </c>
      <c r="K64" t="s">
        <v>2121</v>
      </c>
    </row>
    <row r="65" spans="2:11" x14ac:dyDescent="0.2">
      <c r="B65" s="21">
        <f t="shared" si="0"/>
        <v>2056</v>
      </c>
      <c r="C65" t="s">
        <v>964</v>
      </c>
      <c r="D65" t="s">
        <v>13</v>
      </c>
      <c r="E65" t="s">
        <v>2751</v>
      </c>
      <c r="F65" t="s">
        <v>27</v>
      </c>
      <c r="G65" s="21">
        <v>1</v>
      </c>
      <c r="H65" s="21">
        <v>0</v>
      </c>
      <c r="J65" s="20" t="s">
        <v>2123</v>
      </c>
      <c r="K65" t="s">
        <v>2122</v>
      </c>
    </row>
    <row r="66" spans="2:11" x14ac:dyDescent="0.2">
      <c r="B66" s="21">
        <f t="shared" si="0"/>
        <v>2055</v>
      </c>
      <c r="C66" t="s">
        <v>1064</v>
      </c>
      <c r="D66" t="s">
        <v>13</v>
      </c>
      <c r="E66" t="s">
        <v>2751</v>
      </c>
      <c r="F66" t="s">
        <v>8</v>
      </c>
      <c r="G66" s="21">
        <v>1</v>
      </c>
      <c r="H66" s="21">
        <v>0</v>
      </c>
      <c r="I66" t="s">
        <v>1573</v>
      </c>
      <c r="J66" s="20" t="s">
        <v>2123</v>
      </c>
      <c r="K66" t="s">
        <v>2123</v>
      </c>
    </row>
    <row r="67" spans="2:11" x14ac:dyDescent="0.2">
      <c r="B67" s="21">
        <f t="shared" si="0"/>
        <v>2054</v>
      </c>
      <c r="C67" t="s">
        <v>235</v>
      </c>
      <c r="D67" t="s">
        <v>13</v>
      </c>
      <c r="E67" t="s">
        <v>2751</v>
      </c>
      <c r="F67" t="s">
        <v>34</v>
      </c>
      <c r="G67" s="21">
        <v>1</v>
      </c>
      <c r="H67" s="21">
        <v>0</v>
      </c>
      <c r="I67" t="s">
        <v>1571</v>
      </c>
      <c r="J67" s="20" t="s">
        <v>2123</v>
      </c>
      <c r="K67" t="s">
        <v>2123</v>
      </c>
    </row>
    <row r="68" spans="2:11" x14ac:dyDescent="0.2">
      <c r="B68" s="21">
        <f t="shared" si="0"/>
        <v>2053</v>
      </c>
      <c r="C68" t="s">
        <v>235</v>
      </c>
      <c r="D68" t="s">
        <v>13</v>
      </c>
      <c r="E68" t="s">
        <v>2751</v>
      </c>
      <c r="F68" t="s">
        <v>34</v>
      </c>
      <c r="G68" s="21">
        <v>1</v>
      </c>
      <c r="H68" s="21">
        <v>0</v>
      </c>
      <c r="I68" t="s">
        <v>1572</v>
      </c>
      <c r="J68" s="20" t="s">
        <v>2123</v>
      </c>
      <c r="K68" t="s">
        <v>2123</v>
      </c>
    </row>
    <row r="69" spans="2:11" x14ac:dyDescent="0.2">
      <c r="B69" s="21">
        <f t="shared" ref="B69:B132" si="1">B68-1</f>
        <v>2052</v>
      </c>
      <c r="C69" t="s">
        <v>964</v>
      </c>
      <c r="D69" t="s">
        <v>13</v>
      </c>
      <c r="E69" t="s">
        <v>2751</v>
      </c>
      <c r="F69" t="s">
        <v>27</v>
      </c>
      <c r="G69" s="21">
        <v>1</v>
      </c>
      <c r="H69" s="21">
        <v>0</v>
      </c>
      <c r="J69" s="20" t="s">
        <v>2124</v>
      </c>
      <c r="K69" t="s">
        <v>2647</v>
      </c>
    </row>
    <row r="70" spans="2:11" x14ac:dyDescent="0.2">
      <c r="B70" s="21">
        <f t="shared" si="1"/>
        <v>2051</v>
      </c>
      <c r="C70" t="s">
        <v>235</v>
      </c>
      <c r="D70" t="s">
        <v>13</v>
      </c>
      <c r="E70" t="s">
        <v>2751</v>
      </c>
      <c r="F70" t="s">
        <v>34</v>
      </c>
      <c r="G70" s="21">
        <v>1</v>
      </c>
      <c r="H70" s="21">
        <v>0</v>
      </c>
      <c r="I70" t="s">
        <v>1569</v>
      </c>
      <c r="J70" s="20" t="s">
        <v>2124</v>
      </c>
      <c r="K70" t="s">
        <v>2124</v>
      </c>
    </row>
    <row r="71" spans="2:11" x14ac:dyDescent="0.2">
      <c r="B71" s="21">
        <f t="shared" si="1"/>
        <v>2050</v>
      </c>
      <c r="C71" t="s">
        <v>1064</v>
      </c>
      <c r="D71" t="s">
        <v>13</v>
      </c>
      <c r="E71" t="s">
        <v>2751</v>
      </c>
      <c r="F71" t="s">
        <v>8</v>
      </c>
      <c r="G71" s="21">
        <v>1</v>
      </c>
      <c r="H71" s="21">
        <v>0</v>
      </c>
      <c r="I71" t="s">
        <v>1570</v>
      </c>
      <c r="J71" s="20" t="s">
        <v>2124</v>
      </c>
      <c r="K71" t="s">
        <v>2647</v>
      </c>
    </row>
    <row r="72" spans="2:11" x14ac:dyDescent="0.2">
      <c r="B72" s="21">
        <f t="shared" si="1"/>
        <v>2049</v>
      </c>
      <c r="C72" t="s">
        <v>964</v>
      </c>
      <c r="D72" t="s">
        <v>13</v>
      </c>
      <c r="E72" t="s">
        <v>2751</v>
      </c>
      <c r="F72" t="s">
        <v>27</v>
      </c>
      <c r="G72" s="21">
        <v>1</v>
      </c>
      <c r="H72" s="21">
        <v>0</v>
      </c>
      <c r="J72" s="20" t="s">
        <v>2125</v>
      </c>
      <c r="K72" t="s">
        <v>2124</v>
      </c>
    </row>
    <row r="73" spans="2:11" x14ac:dyDescent="0.2">
      <c r="B73" s="21">
        <f t="shared" si="1"/>
        <v>2048</v>
      </c>
      <c r="C73" t="s">
        <v>235</v>
      </c>
      <c r="D73" t="s">
        <v>13</v>
      </c>
      <c r="E73" t="s">
        <v>2751</v>
      </c>
      <c r="F73" t="s">
        <v>34</v>
      </c>
      <c r="G73" s="21">
        <v>1</v>
      </c>
      <c r="H73" s="21">
        <v>0</v>
      </c>
      <c r="I73" t="s">
        <v>1568</v>
      </c>
      <c r="J73" s="20" t="s">
        <v>2125</v>
      </c>
      <c r="K73" t="s">
        <v>2124</v>
      </c>
    </row>
    <row r="74" spans="2:11" x14ac:dyDescent="0.2">
      <c r="B74" s="21">
        <f t="shared" si="1"/>
        <v>2047</v>
      </c>
      <c r="C74" t="s">
        <v>235</v>
      </c>
      <c r="D74" t="s">
        <v>13</v>
      </c>
      <c r="E74" t="s">
        <v>2751</v>
      </c>
      <c r="F74" t="s">
        <v>34</v>
      </c>
      <c r="G74" s="21">
        <v>1</v>
      </c>
      <c r="H74" s="21">
        <v>0</v>
      </c>
      <c r="I74" t="s">
        <v>1567</v>
      </c>
      <c r="J74" s="20" t="s">
        <v>2125</v>
      </c>
      <c r="K74" t="s">
        <v>2125</v>
      </c>
    </row>
    <row r="75" spans="2:11" x14ac:dyDescent="0.2">
      <c r="B75" s="21">
        <f t="shared" si="1"/>
        <v>2046</v>
      </c>
      <c r="C75" t="s">
        <v>964</v>
      </c>
      <c r="D75" t="s">
        <v>13</v>
      </c>
      <c r="E75" t="s">
        <v>2751</v>
      </c>
      <c r="F75" t="s">
        <v>27</v>
      </c>
      <c r="G75" s="21">
        <v>1</v>
      </c>
      <c r="H75" s="21">
        <v>0</v>
      </c>
      <c r="J75" s="20" t="s">
        <v>2126</v>
      </c>
      <c r="K75" t="s">
        <v>2125</v>
      </c>
    </row>
    <row r="76" spans="2:11" x14ac:dyDescent="0.2">
      <c r="B76" s="21">
        <f t="shared" si="1"/>
        <v>2045</v>
      </c>
      <c r="C76" t="s">
        <v>1064</v>
      </c>
      <c r="D76" t="s">
        <v>13</v>
      </c>
      <c r="E76" t="s">
        <v>2751</v>
      </c>
      <c r="F76" t="s">
        <v>34</v>
      </c>
      <c r="G76" s="21">
        <v>1</v>
      </c>
      <c r="H76" s="21">
        <v>0</v>
      </c>
      <c r="I76" t="s">
        <v>1563</v>
      </c>
      <c r="J76" s="20" t="s">
        <v>2126</v>
      </c>
      <c r="K76" t="s">
        <v>2126</v>
      </c>
    </row>
    <row r="77" spans="2:11" x14ac:dyDescent="0.2">
      <c r="B77" s="21">
        <f t="shared" si="1"/>
        <v>2044</v>
      </c>
      <c r="C77" t="s">
        <v>1064</v>
      </c>
      <c r="D77" t="s">
        <v>13</v>
      </c>
      <c r="E77" t="s">
        <v>2751</v>
      </c>
      <c r="F77" t="s">
        <v>21</v>
      </c>
      <c r="G77" s="21">
        <v>1</v>
      </c>
      <c r="H77" s="21">
        <v>0</v>
      </c>
      <c r="I77" t="s">
        <v>1564</v>
      </c>
      <c r="J77" s="20" t="s">
        <v>2126</v>
      </c>
      <c r="K77" t="s">
        <v>2126</v>
      </c>
    </row>
    <row r="78" spans="2:11" x14ac:dyDescent="0.2">
      <c r="B78" s="21">
        <f t="shared" si="1"/>
        <v>2043</v>
      </c>
      <c r="C78" t="s">
        <v>235</v>
      </c>
      <c r="D78" t="s">
        <v>13</v>
      </c>
      <c r="E78" t="s">
        <v>2751</v>
      </c>
      <c r="F78" t="s">
        <v>34</v>
      </c>
      <c r="G78" s="21">
        <v>1</v>
      </c>
      <c r="H78" s="21">
        <v>0</v>
      </c>
      <c r="I78" t="s">
        <v>1565</v>
      </c>
      <c r="J78" s="20" t="s">
        <v>2126</v>
      </c>
      <c r="K78" t="s">
        <v>2125</v>
      </c>
    </row>
    <row r="79" spans="2:11" x14ac:dyDescent="0.2">
      <c r="B79" s="21">
        <f t="shared" si="1"/>
        <v>2042</v>
      </c>
      <c r="C79" t="s">
        <v>964</v>
      </c>
      <c r="D79" t="s">
        <v>13</v>
      </c>
      <c r="E79" t="s">
        <v>2751</v>
      </c>
      <c r="F79" t="s">
        <v>27</v>
      </c>
      <c r="G79" s="21">
        <v>1</v>
      </c>
      <c r="H79" s="21">
        <v>0</v>
      </c>
      <c r="J79" s="20" t="s">
        <v>2127</v>
      </c>
      <c r="K79" t="s">
        <v>2126</v>
      </c>
    </row>
    <row r="80" spans="2:11" x14ac:dyDescent="0.2">
      <c r="B80" s="21">
        <f t="shared" si="1"/>
        <v>2041</v>
      </c>
      <c r="C80" t="s">
        <v>1423</v>
      </c>
      <c r="D80" t="s">
        <v>13</v>
      </c>
      <c r="E80" t="s">
        <v>2751</v>
      </c>
      <c r="F80" t="s">
        <v>27</v>
      </c>
      <c r="G80" s="21">
        <v>1</v>
      </c>
      <c r="H80" s="21">
        <v>0</v>
      </c>
      <c r="I80" t="s">
        <v>1566</v>
      </c>
      <c r="J80" s="20" t="s">
        <v>2127</v>
      </c>
      <c r="K80" t="s">
        <v>2127</v>
      </c>
    </row>
    <row r="81" spans="2:11" x14ac:dyDescent="0.2">
      <c r="B81" s="21">
        <f t="shared" si="1"/>
        <v>2040</v>
      </c>
      <c r="C81" t="s">
        <v>1064</v>
      </c>
      <c r="D81" t="s">
        <v>13</v>
      </c>
      <c r="E81" t="s">
        <v>2751</v>
      </c>
      <c r="F81" t="s">
        <v>34</v>
      </c>
      <c r="G81" s="21">
        <v>1</v>
      </c>
      <c r="H81" s="21">
        <v>0</v>
      </c>
      <c r="I81" t="s">
        <v>1562</v>
      </c>
      <c r="J81" s="20" t="s">
        <v>2127</v>
      </c>
      <c r="K81" t="s">
        <v>2126</v>
      </c>
    </row>
    <row r="82" spans="2:11" x14ac:dyDescent="0.2">
      <c r="B82" s="21">
        <f t="shared" si="1"/>
        <v>2039</v>
      </c>
      <c r="C82" t="s">
        <v>235</v>
      </c>
      <c r="D82" t="s">
        <v>13</v>
      </c>
      <c r="E82" t="s">
        <v>2751</v>
      </c>
      <c r="F82" t="s">
        <v>31</v>
      </c>
      <c r="G82" s="21">
        <v>1</v>
      </c>
      <c r="H82" s="21">
        <v>0</v>
      </c>
      <c r="J82" s="20" t="s">
        <v>2127</v>
      </c>
      <c r="K82" t="s">
        <v>2126</v>
      </c>
    </row>
    <row r="83" spans="2:11" x14ac:dyDescent="0.2">
      <c r="B83" s="21">
        <f t="shared" si="1"/>
        <v>2038</v>
      </c>
      <c r="C83" t="s">
        <v>964</v>
      </c>
      <c r="D83" t="s">
        <v>13</v>
      </c>
      <c r="E83" t="s">
        <v>2751</v>
      </c>
      <c r="F83" t="s">
        <v>27</v>
      </c>
      <c r="G83" s="21">
        <v>1</v>
      </c>
      <c r="H83" s="21">
        <v>0</v>
      </c>
      <c r="J83" s="20" t="s">
        <v>2128</v>
      </c>
      <c r="K83" t="s">
        <v>2127</v>
      </c>
    </row>
    <row r="84" spans="2:11" x14ac:dyDescent="0.2">
      <c r="B84" s="21">
        <f t="shared" si="1"/>
        <v>2037</v>
      </c>
      <c r="C84" t="s">
        <v>235</v>
      </c>
      <c r="D84" t="s">
        <v>13</v>
      </c>
      <c r="E84" t="s">
        <v>2751</v>
      </c>
      <c r="F84" t="s">
        <v>31</v>
      </c>
      <c r="G84" s="21">
        <v>1</v>
      </c>
      <c r="H84" s="21">
        <v>0</v>
      </c>
      <c r="I84" t="s">
        <v>1557</v>
      </c>
      <c r="J84" s="20" t="s">
        <v>2128</v>
      </c>
      <c r="K84" t="s">
        <v>2128</v>
      </c>
    </row>
    <row r="85" spans="2:11" x14ac:dyDescent="0.2">
      <c r="B85" s="21">
        <f t="shared" si="1"/>
        <v>2036</v>
      </c>
      <c r="C85" t="s">
        <v>235</v>
      </c>
      <c r="D85" t="s">
        <v>13</v>
      </c>
      <c r="E85" t="s">
        <v>2751</v>
      </c>
      <c r="F85" t="s">
        <v>31</v>
      </c>
      <c r="G85" s="21">
        <v>1</v>
      </c>
      <c r="H85" s="21">
        <v>0</v>
      </c>
      <c r="I85" t="s">
        <v>1558</v>
      </c>
      <c r="J85" s="20" t="s">
        <v>2128</v>
      </c>
      <c r="K85" t="s">
        <v>2128</v>
      </c>
    </row>
    <row r="86" spans="2:11" x14ac:dyDescent="0.2">
      <c r="B86" s="21">
        <f t="shared" si="1"/>
        <v>2035</v>
      </c>
      <c r="C86" t="s">
        <v>235</v>
      </c>
      <c r="D86" t="s">
        <v>13</v>
      </c>
      <c r="E86" t="s">
        <v>2751</v>
      </c>
      <c r="F86" t="s">
        <v>31</v>
      </c>
      <c r="G86" s="21">
        <v>1</v>
      </c>
      <c r="H86" s="21">
        <v>0</v>
      </c>
      <c r="I86" t="s">
        <v>1559</v>
      </c>
      <c r="J86" s="20" t="s">
        <v>2128</v>
      </c>
      <c r="K86" t="s">
        <v>2128</v>
      </c>
    </row>
    <row r="87" spans="2:11" x14ac:dyDescent="0.2">
      <c r="B87" s="21">
        <f t="shared" si="1"/>
        <v>2034</v>
      </c>
      <c r="C87" t="s">
        <v>1423</v>
      </c>
      <c r="D87" t="s">
        <v>13</v>
      </c>
      <c r="E87" t="s">
        <v>2751</v>
      </c>
      <c r="F87" t="s">
        <v>27</v>
      </c>
      <c r="G87" s="21">
        <v>1</v>
      </c>
      <c r="H87" s="21">
        <v>0</v>
      </c>
      <c r="I87" t="s">
        <v>1555</v>
      </c>
      <c r="J87" s="20" t="s">
        <v>2128</v>
      </c>
      <c r="K87" t="s">
        <v>2127</v>
      </c>
    </row>
    <row r="88" spans="2:11" x14ac:dyDescent="0.2">
      <c r="B88" s="21">
        <f t="shared" si="1"/>
        <v>2033</v>
      </c>
      <c r="C88" t="s">
        <v>345</v>
      </c>
      <c r="D88" t="s">
        <v>13</v>
      </c>
      <c r="E88" t="s">
        <v>2751</v>
      </c>
      <c r="F88" t="s">
        <v>8</v>
      </c>
      <c r="G88" s="21">
        <v>1</v>
      </c>
      <c r="H88" s="21">
        <v>0</v>
      </c>
      <c r="I88" t="s">
        <v>1556</v>
      </c>
      <c r="J88" s="20" t="s">
        <v>2128</v>
      </c>
      <c r="K88" t="s">
        <v>2128</v>
      </c>
    </row>
    <row r="89" spans="2:11" x14ac:dyDescent="0.2">
      <c r="B89" s="21">
        <f t="shared" si="1"/>
        <v>2032</v>
      </c>
      <c r="C89" t="s">
        <v>1064</v>
      </c>
      <c r="D89" t="s">
        <v>13</v>
      </c>
      <c r="E89" t="s">
        <v>2751</v>
      </c>
      <c r="F89" t="s">
        <v>27</v>
      </c>
      <c r="G89" s="21">
        <v>1</v>
      </c>
      <c r="H89" s="21">
        <v>0</v>
      </c>
      <c r="I89" t="s">
        <v>1560</v>
      </c>
      <c r="J89" s="20" t="s">
        <v>2128</v>
      </c>
      <c r="K89" t="s">
        <v>2127</v>
      </c>
    </row>
    <row r="90" spans="2:11" x14ac:dyDescent="0.2">
      <c r="B90" s="21">
        <f t="shared" si="1"/>
        <v>2031</v>
      </c>
      <c r="C90" t="s">
        <v>1064</v>
      </c>
      <c r="D90" t="s">
        <v>13</v>
      </c>
      <c r="E90" t="s">
        <v>2751</v>
      </c>
      <c r="F90" t="s">
        <v>27</v>
      </c>
      <c r="G90" s="21">
        <v>1</v>
      </c>
      <c r="H90" s="21">
        <v>0</v>
      </c>
      <c r="I90" t="s">
        <v>1561</v>
      </c>
      <c r="J90" s="20" t="s">
        <v>2128</v>
      </c>
      <c r="K90" t="s">
        <v>2128</v>
      </c>
    </row>
    <row r="91" spans="2:11" x14ac:dyDescent="0.2">
      <c r="B91" s="21">
        <f t="shared" si="1"/>
        <v>2030</v>
      </c>
      <c r="C91" t="s">
        <v>964</v>
      </c>
      <c r="D91" t="s">
        <v>13</v>
      </c>
      <c r="E91" t="s">
        <v>2751</v>
      </c>
      <c r="F91" t="s">
        <v>27</v>
      </c>
      <c r="G91" s="21">
        <v>1</v>
      </c>
      <c r="H91" s="21">
        <v>0</v>
      </c>
      <c r="I91" t="s">
        <v>1554</v>
      </c>
      <c r="J91" s="20" t="s">
        <v>2129</v>
      </c>
      <c r="K91" t="s">
        <v>2648</v>
      </c>
    </row>
    <row r="92" spans="2:11" x14ac:dyDescent="0.2">
      <c r="B92" s="21">
        <f t="shared" si="1"/>
        <v>2029</v>
      </c>
      <c r="C92" t="s">
        <v>235</v>
      </c>
      <c r="D92" t="s">
        <v>13</v>
      </c>
      <c r="E92" t="s">
        <v>2751</v>
      </c>
      <c r="F92" t="s">
        <v>34</v>
      </c>
      <c r="G92" s="21">
        <v>1</v>
      </c>
      <c r="H92" s="21">
        <v>0</v>
      </c>
      <c r="I92" t="s">
        <v>1553</v>
      </c>
      <c r="J92" s="20" t="s">
        <v>2129</v>
      </c>
      <c r="K92" t="s">
        <v>2129</v>
      </c>
    </row>
    <row r="93" spans="2:11" x14ac:dyDescent="0.2">
      <c r="B93" s="21">
        <f t="shared" si="1"/>
        <v>2028</v>
      </c>
      <c r="C93" t="s">
        <v>235</v>
      </c>
      <c r="D93" t="s">
        <v>13</v>
      </c>
      <c r="E93" t="s">
        <v>2751</v>
      </c>
      <c r="F93" t="s">
        <v>34</v>
      </c>
      <c r="G93" s="21">
        <v>1</v>
      </c>
      <c r="H93" s="21">
        <v>0</v>
      </c>
      <c r="I93" t="s">
        <v>1552</v>
      </c>
      <c r="J93" s="20" t="s">
        <v>2129</v>
      </c>
      <c r="K93" t="s">
        <v>2129</v>
      </c>
    </row>
    <row r="94" spans="2:11" x14ac:dyDescent="0.2">
      <c r="B94" s="21">
        <f t="shared" si="1"/>
        <v>2027</v>
      </c>
      <c r="C94" t="s">
        <v>1536</v>
      </c>
      <c r="D94" t="s">
        <v>13</v>
      </c>
      <c r="E94" t="s">
        <v>2751</v>
      </c>
      <c r="F94" t="s">
        <v>21</v>
      </c>
      <c r="G94" s="21">
        <v>1</v>
      </c>
      <c r="H94" s="21">
        <v>0</v>
      </c>
      <c r="I94" t="s">
        <v>1551</v>
      </c>
      <c r="J94" s="20" t="s">
        <v>2129</v>
      </c>
      <c r="K94" t="s">
        <v>2129</v>
      </c>
    </row>
    <row r="95" spans="2:11" x14ac:dyDescent="0.2">
      <c r="B95" s="21">
        <f t="shared" si="1"/>
        <v>2026</v>
      </c>
      <c r="C95" t="s">
        <v>964</v>
      </c>
      <c r="D95" t="s">
        <v>13</v>
      </c>
      <c r="E95" t="s">
        <v>2751</v>
      </c>
      <c r="F95" t="s">
        <v>27</v>
      </c>
      <c r="G95" s="21">
        <v>1</v>
      </c>
      <c r="H95" s="21">
        <v>0</v>
      </c>
      <c r="J95" s="20" t="s">
        <v>2130</v>
      </c>
      <c r="K95" t="s">
        <v>2129</v>
      </c>
    </row>
    <row r="96" spans="2:11" x14ac:dyDescent="0.2">
      <c r="B96" s="21">
        <f t="shared" si="1"/>
        <v>2025</v>
      </c>
      <c r="C96" t="s">
        <v>1064</v>
      </c>
      <c r="D96" t="s">
        <v>13</v>
      </c>
      <c r="E96" t="s">
        <v>2751</v>
      </c>
      <c r="F96" t="s">
        <v>27</v>
      </c>
      <c r="G96" s="21">
        <v>1</v>
      </c>
      <c r="H96" s="21">
        <v>0</v>
      </c>
      <c r="I96" t="s">
        <v>1550</v>
      </c>
      <c r="J96" s="20" t="s">
        <v>2130</v>
      </c>
      <c r="K96" t="s">
        <v>2130</v>
      </c>
    </row>
    <row r="97" spans="2:11" x14ac:dyDescent="0.2">
      <c r="B97" s="21">
        <f t="shared" si="1"/>
        <v>2024</v>
      </c>
      <c r="C97" t="s">
        <v>235</v>
      </c>
      <c r="D97" t="s">
        <v>13</v>
      </c>
      <c r="E97" t="s">
        <v>2751</v>
      </c>
      <c r="F97" t="s">
        <v>34</v>
      </c>
      <c r="G97" s="21">
        <v>1</v>
      </c>
      <c r="H97" s="21">
        <v>0</v>
      </c>
      <c r="I97" t="s">
        <v>1549</v>
      </c>
      <c r="J97" s="20" t="s">
        <v>2130</v>
      </c>
      <c r="K97" t="s">
        <v>2130</v>
      </c>
    </row>
    <row r="98" spans="2:11" x14ac:dyDescent="0.2">
      <c r="B98" s="21">
        <f t="shared" si="1"/>
        <v>2023</v>
      </c>
      <c r="C98" t="s">
        <v>964</v>
      </c>
      <c r="D98" t="s">
        <v>13</v>
      </c>
      <c r="E98" t="s">
        <v>2751</v>
      </c>
      <c r="F98" t="s">
        <v>27</v>
      </c>
      <c r="G98" s="21">
        <v>1</v>
      </c>
      <c r="H98" s="21">
        <v>0</v>
      </c>
      <c r="J98" s="20" t="s">
        <v>2131</v>
      </c>
      <c r="K98" t="s">
        <v>2130</v>
      </c>
    </row>
    <row r="99" spans="2:11" x14ac:dyDescent="0.2">
      <c r="B99" s="21">
        <f t="shared" si="1"/>
        <v>2022</v>
      </c>
      <c r="C99" t="s">
        <v>1536</v>
      </c>
      <c r="D99" t="s">
        <v>13</v>
      </c>
      <c r="E99" t="s">
        <v>2751</v>
      </c>
      <c r="F99" t="s">
        <v>27</v>
      </c>
      <c r="G99" s="21">
        <v>1</v>
      </c>
      <c r="H99" s="21">
        <v>0</v>
      </c>
      <c r="I99" t="s">
        <v>1548</v>
      </c>
      <c r="J99" s="20" t="s">
        <v>2131</v>
      </c>
      <c r="K99" t="s">
        <v>2131</v>
      </c>
    </row>
    <row r="100" spans="2:11" x14ac:dyDescent="0.2">
      <c r="B100" s="21">
        <f t="shared" si="1"/>
        <v>2021</v>
      </c>
      <c r="C100" t="s">
        <v>1064</v>
      </c>
      <c r="D100" t="s">
        <v>13</v>
      </c>
      <c r="E100" t="s">
        <v>2751</v>
      </c>
      <c r="F100" t="s">
        <v>8</v>
      </c>
      <c r="G100" s="21">
        <v>1</v>
      </c>
      <c r="H100" s="21">
        <v>0</v>
      </c>
      <c r="J100" s="20" t="s">
        <v>2131</v>
      </c>
      <c r="K100" t="s">
        <v>2130</v>
      </c>
    </row>
    <row r="101" spans="2:11" x14ac:dyDescent="0.2">
      <c r="B101" s="21">
        <f t="shared" si="1"/>
        <v>2020</v>
      </c>
      <c r="C101" t="s">
        <v>235</v>
      </c>
      <c r="D101" t="s">
        <v>13</v>
      </c>
      <c r="E101" t="s">
        <v>2751</v>
      </c>
      <c r="F101" t="s">
        <v>34</v>
      </c>
      <c r="G101" s="21">
        <v>1</v>
      </c>
      <c r="H101" s="21">
        <v>0</v>
      </c>
      <c r="J101" s="20" t="s">
        <v>2131</v>
      </c>
      <c r="K101" t="s">
        <v>2130</v>
      </c>
    </row>
    <row r="102" spans="2:11" x14ac:dyDescent="0.2">
      <c r="B102" s="21">
        <f t="shared" si="1"/>
        <v>2019</v>
      </c>
      <c r="C102" t="s">
        <v>235</v>
      </c>
      <c r="D102" t="s">
        <v>13</v>
      </c>
      <c r="E102" t="s">
        <v>2751</v>
      </c>
      <c r="F102" t="s">
        <v>22</v>
      </c>
      <c r="G102" s="21">
        <v>1</v>
      </c>
      <c r="H102" s="21">
        <v>0</v>
      </c>
      <c r="I102" t="s">
        <v>1547</v>
      </c>
      <c r="J102" s="20" t="s">
        <v>2131</v>
      </c>
      <c r="K102" t="s">
        <v>2131</v>
      </c>
    </row>
    <row r="103" spans="2:11" x14ac:dyDescent="0.2">
      <c r="B103" s="21">
        <f t="shared" si="1"/>
        <v>2018</v>
      </c>
      <c r="C103" t="s">
        <v>964</v>
      </c>
      <c r="D103" t="s">
        <v>13</v>
      </c>
      <c r="E103" t="s">
        <v>2751</v>
      </c>
      <c r="F103" t="s">
        <v>27</v>
      </c>
      <c r="G103" s="21">
        <v>1</v>
      </c>
      <c r="H103" s="21">
        <v>0</v>
      </c>
      <c r="I103" t="s">
        <v>1546</v>
      </c>
      <c r="J103" s="20" t="s">
        <v>2132</v>
      </c>
      <c r="K103" t="s">
        <v>2131</v>
      </c>
    </row>
    <row r="104" spans="2:11" x14ac:dyDescent="0.2">
      <c r="B104" s="21">
        <f t="shared" si="1"/>
        <v>2017</v>
      </c>
      <c r="C104" t="s">
        <v>1536</v>
      </c>
      <c r="D104" t="s">
        <v>13</v>
      </c>
      <c r="E104" t="s">
        <v>2751</v>
      </c>
      <c r="F104" t="s">
        <v>27</v>
      </c>
      <c r="G104" s="21">
        <v>1</v>
      </c>
      <c r="H104" s="21">
        <v>0</v>
      </c>
      <c r="I104" t="s">
        <v>1544</v>
      </c>
      <c r="J104" s="20" t="s">
        <v>2132</v>
      </c>
      <c r="K104" t="s">
        <v>2131</v>
      </c>
    </row>
    <row r="105" spans="2:11" x14ac:dyDescent="0.2">
      <c r="B105" s="21">
        <f t="shared" si="1"/>
        <v>2016</v>
      </c>
      <c r="C105" t="s">
        <v>1064</v>
      </c>
      <c r="D105" t="s">
        <v>13</v>
      </c>
      <c r="E105" t="s">
        <v>2751</v>
      </c>
      <c r="F105" t="s">
        <v>8</v>
      </c>
      <c r="G105" s="21">
        <v>1</v>
      </c>
      <c r="H105" s="21">
        <v>0</v>
      </c>
      <c r="I105" t="s">
        <v>1543</v>
      </c>
      <c r="J105" s="20" t="s">
        <v>2132</v>
      </c>
      <c r="K105" t="s">
        <v>2131</v>
      </c>
    </row>
    <row r="106" spans="2:11" x14ac:dyDescent="0.2">
      <c r="B106" s="21">
        <f t="shared" si="1"/>
        <v>2015</v>
      </c>
      <c r="C106" t="s">
        <v>235</v>
      </c>
      <c r="D106" t="s">
        <v>13</v>
      </c>
      <c r="E106" t="s">
        <v>2751</v>
      </c>
      <c r="F106" t="s">
        <v>34</v>
      </c>
      <c r="G106" s="21">
        <v>1</v>
      </c>
      <c r="H106" s="21">
        <v>0</v>
      </c>
      <c r="I106" t="s">
        <v>1545</v>
      </c>
      <c r="J106" s="20" t="s">
        <v>2132</v>
      </c>
      <c r="K106" t="s">
        <v>2131</v>
      </c>
    </row>
    <row r="107" spans="2:11" x14ac:dyDescent="0.2">
      <c r="B107" s="21">
        <f t="shared" si="1"/>
        <v>2014</v>
      </c>
      <c r="C107" t="s">
        <v>235</v>
      </c>
      <c r="D107" t="s">
        <v>13</v>
      </c>
      <c r="E107" t="s">
        <v>2751</v>
      </c>
      <c r="F107" t="s">
        <v>34</v>
      </c>
      <c r="G107" s="21">
        <v>1</v>
      </c>
      <c r="H107" s="21">
        <v>0</v>
      </c>
      <c r="I107" t="s">
        <v>1542</v>
      </c>
      <c r="J107" s="20" t="s">
        <v>2133</v>
      </c>
      <c r="K107" t="s">
        <v>2133</v>
      </c>
    </row>
    <row r="108" spans="2:11" x14ac:dyDescent="0.2">
      <c r="B108" s="21">
        <f t="shared" si="1"/>
        <v>2013</v>
      </c>
      <c r="C108" t="s">
        <v>964</v>
      </c>
      <c r="D108" t="s">
        <v>13</v>
      </c>
      <c r="E108" t="s">
        <v>2751</v>
      </c>
      <c r="F108" t="s">
        <v>27</v>
      </c>
      <c r="G108" s="21">
        <v>1</v>
      </c>
      <c r="H108" s="21">
        <v>0</v>
      </c>
      <c r="J108" s="20" t="s">
        <v>2133</v>
      </c>
      <c r="K108" t="s">
        <v>2132</v>
      </c>
    </row>
    <row r="109" spans="2:11" x14ac:dyDescent="0.2">
      <c r="B109" s="21">
        <f t="shared" si="1"/>
        <v>2012</v>
      </c>
      <c r="C109" t="s">
        <v>1536</v>
      </c>
      <c r="D109" t="s">
        <v>13</v>
      </c>
      <c r="E109" t="s">
        <v>2751</v>
      </c>
      <c r="F109" t="s">
        <v>27</v>
      </c>
      <c r="G109" s="21">
        <v>1</v>
      </c>
      <c r="H109" s="21">
        <v>0</v>
      </c>
      <c r="J109" s="20" t="s">
        <v>2133</v>
      </c>
      <c r="K109" t="s">
        <v>2132</v>
      </c>
    </row>
    <row r="110" spans="2:11" x14ac:dyDescent="0.2">
      <c r="B110" s="21">
        <f t="shared" si="1"/>
        <v>2011</v>
      </c>
      <c r="C110" t="s">
        <v>1064</v>
      </c>
      <c r="D110" t="s">
        <v>13</v>
      </c>
      <c r="E110" t="s">
        <v>2751</v>
      </c>
      <c r="F110" t="s">
        <v>8</v>
      </c>
      <c r="G110" s="21">
        <v>1</v>
      </c>
      <c r="H110" s="21">
        <v>0</v>
      </c>
      <c r="J110" s="20" t="s">
        <v>2133</v>
      </c>
      <c r="K110" t="s">
        <v>2132</v>
      </c>
    </row>
    <row r="111" spans="2:11" x14ac:dyDescent="0.2">
      <c r="B111" s="21">
        <f t="shared" si="1"/>
        <v>2010</v>
      </c>
      <c r="C111" t="s">
        <v>235</v>
      </c>
      <c r="D111" t="s">
        <v>13</v>
      </c>
      <c r="E111" t="s">
        <v>2751</v>
      </c>
      <c r="F111" t="s">
        <v>34</v>
      </c>
      <c r="G111" s="21">
        <v>1</v>
      </c>
      <c r="H111" s="21">
        <v>0</v>
      </c>
      <c r="I111" t="s">
        <v>1533</v>
      </c>
      <c r="J111" s="20" t="s">
        <v>2134</v>
      </c>
      <c r="K111" t="s">
        <v>2134</v>
      </c>
    </row>
    <row r="112" spans="2:11" x14ac:dyDescent="0.2">
      <c r="B112" s="21">
        <f t="shared" si="1"/>
        <v>2009</v>
      </c>
      <c r="C112" t="s">
        <v>235</v>
      </c>
      <c r="D112" t="s">
        <v>13</v>
      </c>
      <c r="E112" t="s">
        <v>2751</v>
      </c>
      <c r="F112" t="s">
        <v>34</v>
      </c>
      <c r="G112" s="21">
        <v>1</v>
      </c>
      <c r="H112" s="21">
        <v>0</v>
      </c>
      <c r="I112" t="s">
        <v>1534</v>
      </c>
      <c r="J112" s="20" t="s">
        <v>2134</v>
      </c>
      <c r="K112" t="s">
        <v>2649</v>
      </c>
    </row>
    <row r="113" spans="2:11" x14ac:dyDescent="0.2">
      <c r="B113" s="21">
        <f t="shared" si="1"/>
        <v>2008</v>
      </c>
      <c r="C113" t="s">
        <v>235</v>
      </c>
      <c r="D113" t="s">
        <v>13</v>
      </c>
      <c r="E113" t="s">
        <v>2751</v>
      </c>
      <c r="F113" t="s">
        <v>34</v>
      </c>
      <c r="G113" s="21">
        <v>1</v>
      </c>
      <c r="H113" s="21">
        <v>0</v>
      </c>
      <c r="I113" t="s">
        <v>1539</v>
      </c>
      <c r="J113" s="20" t="s">
        <v>2134</v>
      </c>
      <c r="K113" t="s">
        <v>2134</v>
      </c>
    </row>
    <row r="114" spans="2:11" x14ac:dyDescent="0.2">
      <c r="B114" s="21">
        <f t="shared" si="1"/>
        <v>2007</v>
      </c>
      <c r="C114" t="s">
        <v>964</v>
      </c>
      <c r="D114" t="s">
        <v>13</v>
      </c>
      <c r="E114" t="s">
        <v>2751</v>
      </c>
      <c r="F114" t="s">
        <v>27</v>
      </c>
      <c r="G114" s="21">
        <v>1</v>
      </c>
      <c r="H114" s="21">
        <v>0</v>
      </c>
      <c r="I114" t="s">
        <v>1538</v>
      </c>
      <c r="J114" s="20" t="s">
        <v>2134</v>
      </c>
      <c r="K114" t="s">
        <v>2649</v>
      </c>
    </row>
    <row r="115" spans="2:11" x14ac:dyDescent="0.2">
      <c r="B115" s="21">
        <f t="shared" si="1"/>
        <v>2006</v>
      </c>
      <c r="C115" t="s">
        <v>1536</v>
      </c>
      <c r="D115" t="s">
        <v>13</v>
      </c>
      <c r="E115" t="s">
        <v>2751</v>
      </c>
      <c r="F115" t="s">
        <v>27</v>
      </c>
      <c r="G115" s="21">
        <v>1</v>
      </c>
      <c r="H115" s="21">
        <v>0</v>
      </c>
      <c r="I115" t="s">
        <v>1537</v>
      </c>
      <c r="J115" s="20" t="s">
        <v>2134</v>
      </c>
      <c r="K115" t="s">
        <v>2649</v>
      </c>
    </row>
    <row r="116" spans="2:11" x14ac:dyDescent="0.2">
      <c r="B116" s="21">
        <f t="shared" si="1"/>
        <v>2005</v>
      </c>
      <c r="C116" t="s">
        <v>1064</v>
      </c>
      <c r="D116" t="s">
        <v>13</v>
      </c>
      <c r="E116" t="s">
        <v>2751</v>
      </c>
      <c r="F116" t="s">
        <v>8</v>
      </c>
      <c r="G116" s="21">
        <v>1</v>
      </c>
      <c r="H116" s="21">
        <v>0</v>
      </c>
      <c r="I116" t="s">
        <v>1541</v>
      </c>
      <c r="J116" s="20" t="s">
        <v>2134</v>
      </c>
      <c r="K116" t="s">
        <v>2649</v>
      </c>
    </row>
    <row r="117" spans="2:11" x14ac:dyDescent="0.2">
      <c r="B117" s="21">
        <f t="shared" si="1"/>
        <v>2004</v>
      </c>
      <c r="C117" t="s">
        <v>235</v>
      </c>
      <c r="D117" t="s">
        <v>13</v>
      </c>
      <c r="E117" t="s">
        <v>2751</v>
      </c>
      <c r="F117" t="s">
        <v>34</v>
      </c>
      <c r="G117" s="21">
        <v>1</v>
      </c>
      <c r="H117" s="21">
        <v>0</v>
      </c>
      <c r="I117" t="s">
        <v>1533</v>
      </c>
      <c r="J117" s="20" t="s">
        <v>2135</v>
      </c>
      <c r="K117" t="s">
        <v>2134</v>
      </c>
    </row>
    <row r="118" spans="2:11" x14ac:dyDescent="0.2">
      <c r="B118" s="21">
        <f t="shared" si="1"/>
        <v>2003</v>
      </c>
      <c r="C118" t="s">
        <v>235</v>
      </c>
      <c r="D118" t="s">
        <v>13</v>
      </c>
      <c r="E118" t="s">
        <v>2751</v>
      </c>
      <c r="F118" t="s">
        <v>34</v>
      </c>
      <c r="G118" s="21">
        <v>1</v>
      </c>
      <c r="H118" s="21">
        <v>0</v>
      </c>
      <c r="I118" t="s">
        <v>1534</v>
      </c>
      <c r="J118" s="20" t="s">
        <v>2135</v>
      </c>
      <c r="K118" t="s">
        <v>2134</v>
      </c>
    </row>
    <row r="119" spans="2:11" x14ac:dyDescent="0.2">
      <c r="B119" s="21">
        <f t="shared" si="1"/>
        <v>2002</v>
      </c>
      <c r="C119" t="s">
        <v>235</v>
      </c>
      <c r="D119" t="s">
        <v>13</v>
      </c>
      <c r="E119" t="s">
        <v>2751</v>
      </c>
      <c r="F119" t="s">
        <v>34</v>
      </c>
      <c r="G119" s="21">
        <v>1</v>
      </c>
      <c r="H119" s="21">
        <v>0</v>
      </c>
      <c r="I119" t="s">
        <v>1539</v>
      </c>
      <c r="J119" s="20" t="s">
        <v>2135</v>
      </c>
      <c r="K119" t="s">
        <v>2134</v>
      </c>
    </row>
    <row r="120" spans="2:11" x14ac:dyDescent="0.2">
      <c r="B120" s="21">
        <f t="shared" si="1"/>
        <v>2001</v>
      </c>
      <c r="C120" t="s">
        <v>964</v>
      </c>
      <c r="D120" t="s">
        <v>13</v>
      </c>
      <c r="E120" t="s">
        <v>2751</v>
      </c>
      <c r="F120" t="s">
        <v>27</v>
      </c>
      <c r="G120" s="21">
        <v>1</v>
      </c>
      <c r="H120" s="21">
        <v>0</v>
      </c>
      <c r="I120" t="s">
        <v>1538</v>
      </c>
      <c r="J120" s="20" t="s">
        <v>2135</v>
      </c>
      <c r="K120" t="s">
        <v>2134</v>
      </c>
    </row>
    <row r="121" spans="2:11" x14ac:dyDescent="0.2">
      <c r="B121" s="21">
        <f t="shared" si="1"/>
        <v>2000</v>
      </c>
      <c r="C121" t="s">
        <v>1529</v>
      </c>
      <c r="D121" t="s">
        <v>13</v>
      </c>
      <c r="E121" t="s">
        <v>2751</v>
      </c>
      <c r="F121" t="s">
        <v>27</v>
      </c>
      <c r="G121" s="21">
        <v>1</v>
      </c>
      <c r="H121" s="21">
        <v>0</v>
      </c>
      <c r="I121" t="s">
        <v>1540</v>
      </c>
      <c r="J121" s="20" t="s">
        <v>2135</v>
      </c>
      <c r="K121" t="s">
        <v>2135</v>
      </c>
    </row>
    <row r="122" spans="2:11" x14ac:dyDescent="0.2">
      <c r="B122" s="21">
        <f t="shared" si="1"/>
        <v>1999</v>
      </c>
      <c r="C122" t="s">
        <v>1536</v>
      </c>
      <c r="D122" t="s">
        <v>13</v>
      </c>
      <c r="E122" t="s">
        <v>2751</v>
      </c>
      <c r="F122" t="s">
        <v>27</v>
      </c>
      <c r="G122" s="21">
        <v>1</v>
      </c>
      <c r="H122" s="21">
        <v>0</v>
      </c>
      <c r="I122" t="s">
        <v>1537</v>
      </c>
      <c r="J122" s="20" t="s">
        <v>2135</v>
      </c>
      <c r="K122" t="s">
        <v>2134</v>
      </c>
    </row>
    <row r="123" spans="2:11" x14ac:dyDescent="0.2">
      <c r="B123" s="21">
        <f t="shared" si="1"/>
        <v>1998</v>
      </c>
      <c r="C123" t="s">
        <v>1423</v>
      </c>
      <c r="D123" t="s">
        <v>13</v>
      </c>
      <c r="E123" t="s">
        <v>2751</v>
      </c>
      <c r="F123" t="s">
        <v>27</v>
      </c>
      <c r="G123" s="21">
        <v>1</v>
      </c>
      <c r="H123" s="21">
        <v>0</v>
      </c>
      <c r="J123" s="20" t="s">
        <v>2136</v>
      </c>
      <c r="K123" t="s">
        <v>2135</v>
      </c>
    </row>
    <row r="124" spans="2:11" x14ac:dyDescent="0.2">
      <c r="B124" s="21">
        <f t="shared" si="1"/>
        <v>1997</v>
      </c>
      <c r="C124" t="s">
        <v>235</v>
      </c>
      <c r="D124" t="s">
        <v>13</v>
      </c>
      <c r="E124" t="s">
        <v>2751</v>
      </c>
      <c r="F124" t="s">
        <v>34</v>
      </c>
      <c r="G124" s="21">
        <v>1</v>
      </c>
      <c r="H124" s="21">
        <v>0</v>
      </c>
      <c r="I124" t="s">
        <v>1533</v>
      </c>
      <c r="J124" s="20" t="s">
        <v>2136</v>
      </c>
      <c r="K124" t="s">
        <v>2135</v>
      </c>
    </row>
    <row r="125" spans="2:11" x14ac:dyDescent="0.2">
      <c r="B125" s="21">
        <f t="shared" si="1"/>
        <v>1996</v>
      </c>
      <c r="C125" t="s">
        <v>235</v>
      </c>
      <c r="D125" t="s">
        <v>13</v>
      </c>
      <c r="E125" t="s">
        <v>2751</v>
      </c>
      <c r="F125" t="s">
        <v>34</v>
      </c>
      <c r="G125" s="21">
        <v>1</v>
      </c>
      <c r="H125" s="21">
        <v>0</v>
      </c>
      <c r="I125" t="s">
        <v>1534</v>
      </c>
      <c r="J125" s="20" t="s">
        <v>2136</v>
      </c>
      <c r="K125" t="s">
        <v>2135</v>
      </c>
    </row>
    <row r="126" spans="2:11" x14ac:dyDescent="0.2">
      <c r="B126" s="21">
        <f t="shared" si="1"/>
        <v>1995</v>
      </c>
      <c r="C126" t="s">
        <v>235</v>
      </c>
      <c r="D126" t="s">
        <v>13</v>
      </c>
      <c r="E126" t="s">
        <v>2751</v>
      </c>
      <c r="F126" t="s">
        <v>34</v>
      </c>
      <c r="G126" s="21">
        <v>1</v>
      </c>
      <c r="H126" s="21">
        <v>0</v>
      </c>
      <c r="J126" s="20" t="s">
        <v>2136</v>
      </c>
      <c r="K126" t="s">
        <v>2135</v>
      </c>
    </row>
    <row r="127" spans="2:11" x14ac:dyDescent="0.2">
      <c r="B127" s="21">
        <f t="shared" si="1"/>
        <v>1994</v>
      </c>
      <c r="C127" t="s">
        <v>964</v>
      </c>
      <c r="D127" t="s">
        <v>13</v>
      </c>
      <c r="E127" t="s">
        <v>2751</v>
      </c>
      <c r="F127" t="s">
        <v>27</v>
      </c>
      <c r="G127" s="21">
        <v>1</v>
      </c>
      <c r="H127" s="21">
        <v>0</v>
      </c>
      <c r="J127" s="20" t="s">
        <v>2136</v>
      </c>
      <c r="K127" t="s">
        <v>2135</v>
      </c>
    </row>
    <row r="128" spans="2:11" x14ac:dyDescent="0.2">
      <c r="B128" s="21">
        <f t="shared" si="1"/>
        <v>1993</v>
      </c>
      <c r="C128" t="s">
        <v>1529</v>
      </c>
      <c r="D128" t="s">
        <v>13</v>
      </c>
      <c r="E128" t="s">
        <v>2751</v>
      </c>
      <c r="F128" t="s">
        <v>27</v>
      </c>
      <c r="G128" s="21">
        <v>1</v>
      </c>
      <c r="H128" s="21">
        <v>0</v>
      </c>
      <c r="I128" t="s">
        <v>1535</v>
      </c>
      <c r="J128" s="20" t="s">
        <v>2136</v>
      </c>
      <c r="K128" t="s">
        <v>2135</v>
      </c>
    </row>
    <row r="129" spans="2:11" x14ac:dyDescent="0.2">
      <c r="B129" s="21">
        <f t="shared" si="1"/>
        <v>1992</v>
      </c>
      <c r="C129" t="s">
        <v>1423</v>
      </c>
      <c r="D129" t="s">
        <v>13</v>
      </c>
      <c r="E129" t="s">
        <v>2751</v>
      </c>
      <c r="F129" t="s">
        <v>27</v>
      </c>
      <c r="G129" s="21">
        <v>1</v>
      </c>
      <c r="H129" s="21">
        <v>0</v>
      </c>
      <c r="J129" s="20" t="s">
        <v>2137</v>
      </c>
      <c r="K129" t="s">
        <v>2136</v>
      </c>
    </row>
    <row r="130" spans="2:11" x14ac:dyDescent="0.2">
      <c r="B130" s="21">
        <f t="shared" si="1"/>
        <v>1991</v>
      </c>
      <c r="C130" t="s">
        <v>235</v>
      </c>
      <c r="D130" t="s">
        <v>13</v>
      </c>
      <c r="E130" t="s">
        <v>2751</v>
      </c>
      <c r="F130" t="s">
        <v>34</v>
      </c>
      <c r="G130" s="21">
        <v>1</v>
      </c>
      <c r="H130" s="21">
        <v>0</v>
      </c>
      <c r="J130" s="20" t="s">
        <v>2137</v>
      </c>
      <c r="K130" t="s">
        <v>2136</v>
      </c>
    </row>
    <row r="131" spans="2:11" x14ac:dyDescent="0.2">
      <c r="B131" s="21">
        <f t="shared" si="1"/>
        <v>1990</v>
      </c>
      <c r="C131" t="s">
        <v>235</v>
      </c>
      <c r="D131" t="s">
        <v>13</v>
      </c>
      <c r="E131" t="s">
        <v>2751</v>
      </c>
      <c r="F131" t="s">
        <v>34</v>
      </c>
      <c r="G131" s="21">
        <v>1</v>
      </c>
      <c r="H131" s="21">
        <v>0</v>
      </c>
      <c r="J131" s="20" t="s">
        <v>2137</v>
      </c>
      <c r="K131" t="s">
        <v>2136</v>
      </c>
    </row>
    <row r="132" spans="2:11" x14ac:dyDescent="0.2">
      <c r="B132" s="21">
        <f t="shared" si="1"/>
        <v>1989</v>
      </c>
      <c r="C132" t="s">
        <v>235</v>
      </c>
      <c r="D132" t="s">
        <v>13</v>
      </c>
      <c r="E132" t="s">
        <v>2751</v>
      </c>
      <c r="F132" t="s">
        <v>34</v>
      </c>
      <c r="G132" s="21">
        <v>1</v>
      </c>
      <c r="H132" s="21">
        <v>0</v>
      </c>
      <c r="J132" s="20" t="s">
        <v>2137</v>
      </c>
      <c r="K132" t="s">
        <v>2136</v>
      </c>
    </row>
    <row r="133" spans="2:11" x14ac:dyDescent="0.2">
      <c r="B133" s="21">
        <f t="shared" ref="B133:B196" si="2">B132-1</f>
        <v>1988</v>
      </c>
      <c r="C133" t="s">
        <v>235</v>
      </c>
      <c r="D133" t="s">
        <v>13</v>
      </c>
      <c r="E133" t="s">
        <v>2751</v>
      </c>
      <c r="F133" t="s">
        <v>4</v>
      </c>
      <c r="G133" s="21">
        <v>1</v>
      </c>
      <c r="H133" s="21">
        <v>0</v>
      </c>
      <c r="I133" t="s">
        <v>1530</v>
      </c>
      <c r="J133" s="20" t="s">
        <v>2137</v>
      </c>
      <c r="K133" t="s">
        <v>2137</v>
      </c>
    </row>
    <row r="134" spans="2:11" x14ac:dyDescent="0.2">
      <c r="B134" s="21">
        <f t="shared" si="2"/>
        <v>1987</v>
      </c>
      <c r="C134" t="s">
        <v>964</v>
      </c>
      <c r="D134" t="s">
        <v>13</v>
      </c>
      <c r="E134" t="s">
        <v>2751</v>
      </c>
      <c r="F134" t="s">
        <v>27</v>
      </c>
      <c r="G134" s="21">
        <v>1</v>
      </c>
      <c r="H134" s="21">
        <v>0</v>
      </c>
      <c r="I134" t="s">
        <v>1532</v>
      </c>
      <c r="J134" s="20" t="s">
        <v>2137</v>
      </c>
      <c r="K134" t="s">
        <v>2136</v>
      </c>
    </row>
    <row r="135" spans="2:11" x14ac:dyDescent="0.2">
      <c r="B135" s="21">
        <f t="shared" si="2"/>
        <v>1986</v>
      </c>
      <c r="C135" t="s">
        <v>1529</v>
      </c>
      <c r="D135" t="s">
        <v>13</v>
      </c>
      <c r="E135" t="s">
        <v>2751</v>
      </c>
      <c r="F135" t="s">
        <v>4</v>
      </c>
      <c r="G135" s="21">
        <v>1</v>
      </c>
      <c r="H135" s="21">
        <v>0</v>
      </c>
      <c r="I135" t="s">
        <v>1531</v>
      </c>
      <c r="J135" s="20" t="s">
        <v>2137</v>
      </c>
      <c r="K135" t="s">
        <v>2137</v>
      </c>
    </row>
    <row r="136" spans="2:11" x14ac:dyDescent="0.2">
      <c r="B136" s="21">
        <f t="shared" si="2"/>
        <v>1985</v>
      </c>
      <c r="C136" t="s">
        <v>1423</v>
      </c>
      <c r="D136" t="s">
        <v>13</v>
      </c>
      <c r="E136" t="s">
        <v>2751</v>
      </c>
      <c r="F136" t="s">
        <v>27</v>
      </c>
      <c r="G136" s="21">
        <v>1</v>
      </c>
      <c r="H136" s="21">
        <v>0</v>
      </c>
      <c r="I136" t="s">
        <v>1527</v>
      </c>
      <c r="J136" s="20" t="s">
        <v>2138</v>
      </c>
      <c r="K136" t="s">
        <v>2137</v>
      </c>
    </row>
    <row r="137" spans="2:11" x14ac:dyDescent="0.2">
      <c r="B137" s="21">
        <f t="shared" si="2"/>
        <v>1984</v>
      </c>
      <c r="C137" t="s">
        <v>235</v>
      </c>
      <c r="D137" t="s">
        <v>13</v>
      </c>
      <c r="E137" t="s">
        <v>2751</v>
      </c>
      <c r="F137" t="s">
        <v>34</v>
      </c>
      <c r="G137" s="21">
        <v>1</v>
      </c>
      <c r="H137" s="21">
        <v>0</v>
      </c>
      <c r="I137" t="s">
        <v>1525</v>
      </c>
      <c r="J137" s="20" t="s">
        <v>2138</v>
      </c>
      <c r="K137" t="s">
        <v>2137</v>
      </c>
    </row>
    <row r="138" spans="2:11" x14ac:dyDescent="0.2">
      <c r="B138" s="21">
        <f t="shared" si="2"/>
        <v>1983</v>
      </c>
      <c r="C138" t="s">
        <v>235</v>
      </c>
      <c r="D138" t="s">
        <v>13</v>
      </c>
      <c r="E138" t="s">
        <v>2751</v>
      </c>
      <c r="F138" t="s">
        <v>34</v>
      </c>
      <c r="G138" s="21">
        <v>1</v>
      </c>
      <c r="H138" s="21">
        <v>0</v>
      </c>
      <c r="I138" t="s">
        <v>1524</v>
      </c>
      <c r="J138" s="20" t="s">
        <v>2138</v>
      </c>
      <c r="K138" t="s">
        <v>2137</v>
      </c>
    </row>
    <row r="139" spans="2:11" x14ac:dyDescent="0.2">
      <c r="B139" s="21">
        <f t="shared" si="2"/>
        <v>1982</v>
      </c>
      <c r="C139" t="s">
        <v>235</v>
      </c>
      <c r="D139" t="s">
        <v>13</v>
      </c>
      <c r="E139" t="s">
        <v>2751</v>
      </c>
      <c r="F139" t="s">
        <v>34</v>
      </c>
      <c r="G139" s="21">
        <v>1</v>
      </c>
      <c r="H139" s="21">
        <v>0</v>
      </c>
      <c r="I139" t="s">
        <v>1526</v>
      </c>
      <c r="J139" s="20" t="s">
        <v>2138</v>
      </c>
      <c r="K139" t="s">
        <v>2137</v>
      </c>
    </row>
    <row r="140" spans="2:11" x14ac:dyDescent="0.2">
      <c r="B140" s="21">
        <f t="shared" si="2"/>
        <v>1981</v>
      </c>
      <c r="C140" t="s">
        <v>964</v>
      </c>
      <c r="D140" t="s">
        <v>13</v>
      </c>
      <c r="E140" t="s">
        <v>2751</v>
      </c>
      <c r="F140" t="s">
        <v>27</v>
      </c>
      <c r="G140" s="21">
        <v>1</v>
      </c>
      <c r="H140" s="21">
        <v>0</v>
      </c>
      <c r="I140" t="s">
        <v>1528</v>
      </c>
      <c r="J140" s="20" t="s">
        <v>2138</v>
      </c>
      <c r="K140" t="s">
        <v>2137</v>
      </c>
    </row>
    <row r="141" spans="2:11" x14ac:dyDescent="0.2">
      <c r="B141" s="21">
        <f t="shared" si="2"/>
        <v>1980</v>
      </c>
      <c r="C141" t="s">
        <v>701</v>
      </c>
      <c r="D141" t="s">
        <v>13</v>
      </c>
      <c r="E141" t="s">
        <v>2751</v>
      </c>
      <c r="F141" t="s">
        <v>34</v>
      </c>
      <c r="G141" s="21">
        <v>1</v>
      </c>
      <c r="H141" s="21">
        <v>0</v>
      </c>
      <c r="J141" s="20" t="s">
        <v>2139</v>
      </c>
      <c r="K141" t="s">
        <v>2650</v>
      </c>
    </row>
    <row r="142" spans="2:11" x14ac:dyDescent="0.2">
      <c r="B142" s="21">
        <f t="shared" si="2"/>
        <v>1979</v>
      </c>
      <c r="C142" t="s">
        <v>1423</v>
      </c>
      <c r="D142" t="s">
        <v>13</v>
      </c>
      <c r="E142" t="s">
        <v>2751</v>
      </c>
      <c r="F142" t="s">
        <v>27</v>
      </c>
      <c r="G142" s="21">
        <v>1</v>
      </c>
      <c r="H142" s="21">
        <v>0</v>
      </c>
      <c r="J142" s="20" t="s">
        <v>2139</v>
      </c>
      <c r="K142" t="s">
        <v>2650</v>
      </c>
    </row>
    <row r="143" spans="2:11" x14ac:dyDescent="0.2">
      <c r="B143" s="21">
        <f t="shared" si="2"/>
        <v>1978</v>
      </c>
      <c r="C143" t="s">
        <v>235</v>
      </c>
      <c r="D143" t="s">
        <v>13</v>
      </c>
      <c r="E143" t="s">
        <v>2751</v>
      </c>
      <c r="F143" t="s">
        <v>34</v>
      </c>
      <c r="G143" s="21">
        <v>1</v>
      </c>
      <c r="H143" s="21">
        <v>0</v>
      </c>
      <c r="I143" t="s">
        <v>1524</v>
      </c>
      <c r="J143" s="20" t="s">
        <v>2139</v>
      </c>
      <c r="K143" t="s">
        <v>2650</v>
      </c>
    </row>
    <row r="144" spans="2:11" x14ac:dyDescent="0.2">
      <c r="B144" s="21">
        <f t="shared" si="2"/>
        <v>1977</v>
      </c>
      <c r="C144" t="s">
        <v>964</v>
      </c>
      <c r="D144" t="s">
        <v>13</v>
      </c>
      <c r="E144" t="s">
        <v>2751</v>
      </c>
      <c r="F144" t="s">
        <v>27</v>
      </c>
      <c r="G144" s="21">
        <v>1</v>
      </c>
      <c r="H144" s="21">
        <v>0</v>
      </c>
      <c r="J144" s="20" t="s">
        <v>2139</v>
      </c>
      <c r="K144" t="s">
        <v>2650</v>
      </c>
    </row>
    <row r="145" spans="2:11" x14ac:dyDescent="0.2">
      <c r="B145" s="21">
        <f t="shared" si="2"/>
        <v>1976</v>
      </c>
      <c r="C145" t="s">
        <v>701</v>
      </c>
      <c r="D145" t="s">
        <v>13</v>
      </c>
      <c r="E145" t="s">
        <v>2751</v>
      </c>
      <c r="F145" t="s">
        <v>34</v>
      </c>
      <c r="G145" s="21">
        <v>1</v>
      </c>
      <c r="H145" s="21">
        <v>0</v>
      </c>
      <c r="J145" s="20" t="s">
        <v>2140</v>
      </c>
      <c r="K145" t="s">
        <v>2139</v>
      </c>
    </row>
    <row r="146" spans="2:11" x14ac:dyDescent="0.2">
      <c r="B146" s="21">
        <f t="shared" si="2"/>
        <v>1975</v>
      </c>
      <c r="C146" t="s">
        <v>1423</v>
      </c>
      <c r="D146" t="s">
        <v>13</v>
      </c>
      <c r="E146" t="s">
        <v>2751</v>
      </c>
      <c r="F146" t="s">
        <v>27</v>
      </c>
      <c r="G146" s="21">
        <v>1</v>
      </c>
      <c r="H146" s="21">
        <v>0</v>
      </c>
      <c r="I146" t="s">
        <v>1523</v>
      </c>
      <c r="J146" s="20" t="s">
        <v>2140</v>
      </c>
      <c r="K146" t="s">
        <v>2139</v>
      </c>
    </row>
    <row r="147" spans="2:11" x14ac:dyDescent="0.2">
      <c r="B147" s="21">
        <f t="shared" si="2"/>
        <v>1974</v>
      </c>
      <c r="C147" t="s">
        <v>235</v>
      </c>
      <c r="D147" t="s">
        <v>13</v>
      </c>
      <c r="E147" t="s">
        <v>2751</v>
      </c>
      <c r="F147" t="s">
        <v>34</v>
      </c>
      <c r="G147" s="21">
        <v>1</v>
      </c>
      <c r="H147" s="21">
        <v>0</v>
      </c>
      <c r="J147" s="20" t="s">
        <v>2140</v>
      </c>
      <c r="K147" t="s">
        <v>2139</v>
      </c>
    </row>
    <row r="148" spans="2:11" x14ac:dyDescent="0.2">
      <c r="B148" s="21">
        <f t="shared" si="2"/>
        <v>1973</v>
      </c>
      <c r="C148" t="s">
        <v>287</v>
      </c>
      <c r="D148" t="s">
        <v>13</v>
      </c>
      <c r="E148" t="s">
        <v>2751</v>
      </c>
      <c r="F148" t="s">
        <v>4</v>
      </c>
      <c r="G148" s="21">
        <v>1</v>
      </c>
      <c r="H148" s="21">
        <v>0</v>
      </c>
      <c r="I148" t="s">
        <v>1521</v>
      </c>
      <c r="J148" s="20" t="s">
        <v>2140</v>
      </c>
      <c r="K148" t="s">
        <v>2140</v>
      </c>
    </row>
    <row r="149" spans="2:11" x14ac:dyDescent="0.2">
      <c r="B149" s="21">
        <f t="shared" si="2"/>
        <v>1972</v>
      </c>
      <c r="C149" t="s">
        <v>964</v>
      </c>
      <c r="D149" t="s">
        <v>13</v>
      </c>
      <c r="E149" t="s">
        <v>2751</v>
      </c>
      <c r="F149" t="s">
        <v>27</v>
      </c>
      <c r="G149" s="21">
        <v>1</v>
      </c>
      <c r="H149" s="21">
        <v>0</v>
      </c>
      <c r="I149" t="s">
        <v>1522</v>
      </c>
      <c r="J149" s="20" t="s">
        <v>2140</v>
      </c>
      <c r="K149" t="s">
        <v>2139</v>
      </c>
    </row>
    <row r="150" spans="2:11" x14ac:dyDescent="0.2">
      <c r="B150" s="21">
        <f t="shared" si="2"/>
        <v>1971</v>
      </c>
      <c r="C150" t="s">
        <v>701</v>
      </c>
      <c r="D150" t="s">
        <v>13</v>
      </c>
      <c r="E150" t="s">
        <v>2751</v>
      </c>
      <c r="F150" t="s">
        <v>34</v>
      </c>
      <c r="G150" s="21">
        <v>1</v>
      </c>
      <c r="H150" s="21">
        <v>0</v>
      </c>
      <c r="J150" s="20" t="s">
        <v>2141</v>
      </c>
      <c r="K150" t="s">
        <v>2651</v>
      </c>
    </row>
    <row r="151" spans="2:11" x14ac:dyDescent="0.2">
      <c r="B151" s="21">
        <f t="shared" si="2"/>
        <v>1970</v>
      </c>
      <c r="C151" t="s">
        <v>1423</v>
      </c>
      <c r="D151" t="s">
        <v>13</v>
      </c>
      <c r="E151" t="s">
        <v>2751</v>
      </c>
      <c r="F151" t="s">
        <v>27</v>
      </c>
      <c r="G151" s="21">
        <v>1</v>
      </c>
      <c r="H151" s="21">
        <v>0</v>
      </c>
      <c r="I151" t="s">
        <v>1519</v>
      </c>
      <c r="J151" s="20" t="s">
        <v>2141</v>
      </c>
      <c r="K151" t="s">
        <v>2651</v>
      </c>
    </row>
    <row r="152" spans="2:11" x14ac:dyDescent="0.2">
      <c r="B152" s="21">
        <f t="shared" si="2"/>
        <v>1969</v>
      </c>
      <c r="C152" t="s">
        <v>235</v>
      </c>
      <c r="D152" t="s">
        <v>13</v>
      </c>
      <c r="E152" t="s">
        <v>2751</v>
      </c>
      <c r="F152" t="s">
        <v>34</v>
      </c>
      <c r="G152" s="21">
        <v>1</v>
      </c>
      <c r="H152" s="21">
        <v>0</v>
      </c>
      <c r="I152" t="s">
        <v>1520</v>
      </c>
      <c r="J152" s="20" t="s">
        <v>2141</v>
      </c>
      <c r="K152" t="s">
        <v>2651</v>
      </c>
    </row>
    <row r="153" spans="2:11" x14ac:dyDescent="0.2">
      <c r="B153" s="21">
        <f t="shared" si="2"/>
        <v>1968</v>
      </c>
      <c r="C153" t="s">
        <v>701</v>
      </c>
      <c r="D153" t="s">
        <v>13</v>
      </c>
      <c r="E153" t="s">
        <v>2751</v>
      </c>
      <c r="F153" t="s">
        <v>34</v>
      </c>
      <c r="G153" s="21">
        <v>1</v>
      </c>
      <c r="H153" s="21">
        <v>0</v>
      </c>
      <c r="J153" s="20" t="s">
        <v>2142</v>
      </c>
      <c r="K153" t="s">
        <v>2141</v>
      </c>
    </row>
    <row r="154" spans="2:11" x14ac:dyDescent="0.2">
      <c r="B154" s="21">
        <f t="shared" si="2"/>
        <v>1967</v>
      </c>
      <c r="C154" t="s">
        <v>1423</v>
      </c>
      <c r="D154" t="s">
        <v>13</v>
      </c>
      <c r="E154" t="s">
        <v>2751</v>
      </c>
      <c r="F154" t="s">
        <v>27</v>
      </c>
      <c r="G154" s="21">
        <v>1</v>
      </c>
      <c r="H154" s="21">
        <v>0</v>
      </c>
      <c r="I154" t="s">
        <v>1519</v>
      </c>
      <c r="J154" s="20" t="s">
        <v>2142</v>
      </c>
      <c r="K154" t="s">
        <v>2141</v>
      </c>
    </row>
    <row r="155" spans="2:11" x14ac:dyDescent="0.2">
      <c r="B155" s="21">
        <f t="shared" si="2"/>
        <v>1966</v>
      </c>
      <c r="C155" t="s">
        <v>701</v>
      </c>
      <c r="D155" t="s">
        <v>13</v>
      </c>
      <c r="E155" t="s">
        <v>2751</v>
      </c>
      <c r="F155" t="s">
        <v>34</v>
      </c>
      <c r="G155" s="21">
        <v>1</v>
      </c>
      <c r="H155" s="21">
        <v>0</v>
      </c>
      <c r="J155" s="20" t="s">
        <v>2143</v>
      </c>
      <c r="K155" t="s">
        <v>2142</v>
      </c>
    </row>
    <row r="156" spans="2:11" x14ac:dyDescent="0.2">
      <c r="B156" s="21">
        <f t="shared" si="2"/>
        <v>1965</v>
      </c>
      <c r="C156" t="s">
        <v>1423</v>
      </c>
      <c r="D156" t="s">
        <v>13</v>
      </c>
      <c r="E156" t="s">
        <v>2751</v>
      </c>
      <c r="F156" t="s">
        <v>27</v>
      </c>
      <c r="G156" s="21">
        <v>1</v>
      </c>
      <c r="H156" s="21">
        <v>0</v>
      </c>
      <c r="I156" t="s">
        <v>1519</v>
      </c>
      <c r="J156" s="20" t="s">
        <v>2143</v>
      </c>
      <c r="K156" t="s">
        <v>2142</v>
      </c>
    </row>
    <row r="157" spans="2:11" x14ac:dyDescent="0.2">
      <c r="B157" s="21">
        <f t="shared" si="2"/>
        <v>1964</v>
      </c>
      <c r="C157" t="s">
        <v>701</v>
      </c>
      <c r="D157" t="s">
        <v>13</v>
      </c>
      <c r="E157" t="s">
        <v>2751</v>
      </c>
      <c r="F157" t="s">
        <v>34</v>
      </c>
      <c r="G157" s="21">
        <v>1</v>
      </c>
      <c r="H157" s="21">
        <v>0</v>
      </c>
      <c r="J157" s="20" t="s">
        <v>2144</v>
      </c>
      <c r="K157" t="s">
        <v>2143</v>
      </c>
    </row>
    <row r="158" spans="2:11" x14ac:dyDescent="0.2">
      <c r="B158" s="21">
        <f t="shared" si="2"/>
        <v>1963</v>
      </c>
      <c r="C158" t="s">
        <v>1423</v>
      </c>
      <c r="D158" t="s">
        <v>13</v>
      </c>
      <c r="E158" t="s">
        <v>2751</v>
      </c>
      <c r="F158" t="s">
        <v>27</v>
      </c>
      <c r="G158" s="21">
        <v>1</v>
      </c>
      <c r="H158" s="21">
        <v>0</v>
      </c>
      <c r="I158" t="s">
        <v>1518</v>
      </c>
      <c r="J158" s="20" t="s">
        <v>2144</v>
      </c>
      <c r="K158" t="s">
        <v>2143</v>
      </c>
    </row>
    <row r="159" spans="2:11" x14ac:dyDescent="0.2">
      <c r="B159" s="21">
        <f t="shared" si="2"/>
        <v>1962</v>
      </c>
      <c r="C159" t="s">
        <v>235</v>
      </c>
      <c r="D159" t="s">
        <v>13</v>
      </c>
      <c r="E159" t="s">
        <v>2751</v>
      </c>
      <c r="F159" t="s">
        <v>34</v>
      </c>
      <c r="G159" s="21">
        <v>1</v>
      </c>
      <c r="H159" s="21">
        <v>0</v>
      </c>
      <c r="I159" t="s">
        <v>1516</v>
      </c>
      <c r="J159" s="20" t="s">
        <v>2144</v>
      </c>
      <c r="K159" t="s">
        <v>2144</v>
      </c>
    </row>
    <row r="160" spans="2:11" x14ac:dyDescent="0.2">
      <c r="B160" s="21">
        <f t="shared" si="2"/>
        <v>1961</v>
      </c>
      <c r="C160" t="s">
        <v>1501</v>
      </c>
      <c r="D160" t="s">
        <v>13</v>
      </c>
      <c r="E160" t="s">
        <v>2751</v>
      </c>
      <c r="F160" t="s">
        <v>27</v>
      </c>
      <c r="G160" s="21">
        <v>1</v>
      </c>
      <c r="H160" s="21">
        <v>0</v>
      </c>
      <c r="I160" t="s">
        <v>1517</v>
      </c>
      <c r="J160" s="20" t="s">
        <v>2144</v>
      </c>
      <c r="K160" t="s">
        <v>2144</v>
      </c>
    </row>
    <row r="161" spans="2:11" x14ac:dyDescent="0.2">
      <c r="B161" s="21">
        <f t="shared" si="2"/>
        <v>1960</v>
      </c>
      <c r="C161" t="s">
        <v>701</v>
      </c>
      <c r="D161" t="s">
        <v>13</v>
      </c>
      <c r="E161" t="s">
        <v>2751</v>
      </c>
      <c r="F161" t="s">
        <v>34</v>
      </c>
      <c r="G161" s="21">
        <v>1</v>
      </c>
      <c r="H161" s="21">
        <v>0</v>
      </c>
      <c r="J161" s="20" t="s">
        <v>2145</v>
      </c>
      <c r="K161" t="s">
        <v>2144</v>
      </c>
    </row>
    <row r="162" spans="2:11" x14ac:dyDescent="0.2">
      <c r="B162" s="21">
        <f t="shared" si="2"/>
        <v>1959</v>
      </c>
      <c r="C162" t="s">
        <v>1501</v>
      </c>
      <c r="D162" t="s">
        <v>13</v>
      </c>
      <c r="E162" t="s">
        <v>2751</v>
      </c>
      <c r="F162" t="s">
        <v>27</v>
      </c>
      <c r="G162" s="21">
        <v>1</v>
      </c>
      <c r="H162" s="21">
        <v>0</v>
      </c>
      <c r="I162" t="s">
        <v>1515</v>
      </c>
      <c r="J162" s="20" t="s">
        <v>2145</v>
      </c>
      <c r="K162" t="s">
        <v>2145</v>
      </c>
    </row>
    <row r="163" spans="2:11" x14ac:dyDescent="0.2">
      <c r="B163" s="21">
        <f t="shared" si="2"/>
        <v>1958</v>
      </c>
      <c r="C163" t="s">
        <v>1423</v>
      </c>
      <c r="D163" t="s">
        <v>13</v>
      </c>
      <c r="E163" t="s">
        <v>2751</v>
      </c>
      <c r="F163" t="s">
        <v>27</v>
      </c>
      <c r="G163" s="21">
        <v>1</v>
      </c>
      <c r="H163" s="21">
        <v>0</v>
      </c>
      <c r="J163" s="20" t="s">
        <v>2145</v>
      </c>
      <c r="K163" t="s">
        <v>2144</v>
      </c>
    </row>
    <row r="164" spans="2:11" x14ac:dyDescent="0.2">
      <c r="B164" s="21">
        <f t="shared" si="2"/>
        <v>1957</v>
      </c>
      <c r="C164" t="s">
        <v>235</v>
      </c>
      <c r="D164" t="s">
        <v>13</v>
      </c>
      <c r="E164" t="s">
        <v>2751</v>
      </c>
      <c r="F164" t="s">
        <v>34</v>
      </c>
      <c r="G164" s="21">
        <v>1</v>
      </c>
      <c r="H164" s="21">
        <v>0</v>
      </c>
      <c r="J164" s="20" t="s">
        <v>2145</v>
      </c>
      <c r="K164" t="s">
        <v>2144</v>
      </c>
    </row>
    <row r="165" spans="2:11" x14ac:dyDescent="0.2">
      <c r="B165" s="21">
        <f t="shared" si="2"/>
        <v>1956</v>
      </c>
      <c r="C165" t="s">
        <v>701</v>
      </c>
      <c r="D165" t="s">
        <v>13</v>
      </c>
      <c r="E165" t="s">
        <v>2751</v>
      </c>
      <c r="F165" t="s">
        <v>34</v>
      </c>
      <c r="G165" s="21">
        <v>1</v>
      </c>
      <c r="H165" s="21">
        <v>0</v>
      </c>
      <c r="J165" s="20" t="s">
        <v>2146</v>
      </c>
      <c r="K165" t="s">
        <v>2145</v>
      </c>
    </row>
    <row r="166" spans="2:11" x14ac:dyDescent="0.2">
      <c r="B166" s="21">
        <f t="shared" si="2"/>
        <v>1955</v>
      </c>
      <c r="C166" t="s">
        <v>1501</v>
      </c>
      <c r="D166" t="s">
        <v>13</v>
      </c>
      <c r="E166" t="s">
        <v>2751</v>
      </c>
      <c r="F166" t="s">
        <v>4</v>
      </c>
      <c r="G166" s="21">
        <v>1</v>
      </c>
      <c r="H166" s="21">
        <v>0</v>
      </c>
      <c r="I166" t="s">
        <v>1512</v>
      </c>
      <c r="J166" s="20" t="s">
        <v>2146</v>
      </c>
      <c r="K166" t="s">
        <v>2146</v>
      </c>
    </row>
    <row r="167" spans="2:11" x14ac:dyDescent="0.2">
      <c r="B167" s="21">
        <f t="shared" si="2"/>
        <v>1954</v>
      </c>
      <c r="C167" t="s">
        <v>1423</v>
      </c>
      <c r="D167" t="s">
        <v>13</v>
      </c>
      <c r="E167" t="s">
        <v>2751</v>
      </c>
      <c r="F167" t="s">
        <v>27</v>
      </c>
      <c r="G167" s="21">
        <v>1</v>
      </c>
      <c r="H167" s="21">
        <v>0</v>
      </c>
      <c r="I167" t="s">
        <v>1514</v>
      </c>
      <c r="J167" s="20" t="s">
        <v>2146</v>
      </c>
      <c r="K167" t="s">
        <v>2145</v>
      </c>
    </row>
    <row r="168" spans="2:11" x14ac:dyDescent="0.2">
      <c r="B168" s="21">
        <f t="shared" si="2"/>
        <v>1953</v>
      </c>
      <c r="C168" t="s">
        <v>235</v>
      </c>
      <c r="D168" t="s">
        <v>13</v>
      </c>
      <c r="E168" t="s">
        <v>2751</v>
      </c>
      <c r="F168" t="s">
        <v>34</v>
      </c>
      <c r="G168" s="21">
        <v>1</v>
      </c>
      <c r="H168" s="21">
        <v>0</v>
      </c>
      <c r="I168" t="s">
        <v>1511</v>
      </c>
      <c r="J168" s="20" t="s">
        <v>2147</v>
      </c>
      <c r="K168" t="s">
        <v>2147</v>
      </c>
    </row>
    <row r="169" spans="2:11" x14ac:dyDescent="0.2">
      <c r="B169" s="21">
        <f t="shared" si="2"/>
        <v>1952</v>
      </c>
      <c r="C169" t="s">
        <v>235</v>
      </c>
      <c r="D169" t="s">
        <v>13</v>
      </c>
      <c r="E169" t="s">
        <v>2751</v>
      </c>
      <c r="F169" t="s">
        <v>34</v>
      </c>
      <c r="G169" s="21">
        <v>1</v>
      </c>
      <c r="H169" s="21">
        <v>0</v>
      </c>
      <c r="I169" t="s">
        <v>1510</v>
      </c>
      <c r="J169" s="20" t="s">
        <v>2147</v>
      </c>
      <c r="K169" t="s">
        <v>2147</v>
      </c>
    </row>
    <row r="170" spans="2:11" x14ac:dyDescent="0.2">
      <c r="B170" s="21">
        <f t="shared" si="2"/>
        <v>1951</v>
      </c>
      <c r="C170" t="s">
        <v>701</v>
      </c>
      <c r="D170" t="s">
        <v>13</v>
      </c>
      <c r="E170" t="s">
        <v>2751</v>
      </c>
      <c r="F170" t="s">
        <v>34</v>
      </c>
      <c r="G170" s="21">
        <v>1</v>
      </c>
      <c r="H170" s="21">
        <v>0</v>
      </c>
      <c r="I170" t="s">
        <v>1508</v>
      </c>
      <c r="J170" s="20" t="s">
        <v>2147</v>
      </c>
      <c r="K170" t="s">
        <v>2652</v>
      </c>
    </row>
    <row r="171" spans="2:11" x14ac:dyDescent="0.2">
      <c r="B171" s="21">
        <f t="shared" si="2"/>
        <v>1950</v>
      </c>
      <c r="C171" t="s">
        <v>1423</v>
      </c>
      <c r="D171" t="s">
        <v>13</v>
      </c>
      <c r="E171" t="s">
        <v>2751</v>
      </c>
      <c r="F171" t="s">
        <v>27</v>
      </c>
      <c r="G171" s="21">
        <v>1</v>
      </c>
      <c r="H171" s="21">
        <v>0</v>
      </c>
      <c r="I171" t="s">
        <v>1513</v>
      </c>
      <c r="J171" s="20" t="s">
        <v>2147</v>
      </c>
      <c r="K171" t="s">
        <v>2147</v>
      </c>
    </row>
    <row r="172" spans="2:11" x14ac:dyDescent="0.2">
      <c r="B172" s="21">
        <f t="shared" si="2"/>
        <v>1949</v>
      </c>
      <c r="C172" t="s">
        <v>235</v>
      </c>
      <c r="D172" t="s">
        <v>13</v>
      </c>
      <c r="E172" t="s">
        <v>2751</v>
      </c>
      <c r="F172" t="s">
        <v>34</v>
      </c>
      <c r="G172" s="21">
        <v>1</v>
      </c>
      <c r="H172" s="21">
        <v>0</v>
      </c>
      <c r="J172" s="20" t="s">
        <v>2148</v>
      </c>
      <c r="K172" t="s">
        <v>2147</v>
      </c>
    </row>
    <row r="173" spans="2:11" x14ac:dyDescent="0.2">
      <c r="B173" s="21">
        <f t="shared" si="2"/>
        <v>1948</v>
      </c>
      <c r="C173" t="s">
        <v>235</v>
      </c>
      <c r="D173" t="s">
        <v>13</v>
      </c>
      <c r="E173" t="s">
        <v>2751</v>
      </c>
      <c r="F173" t="s">
        <v>43</v>
      </c>
      <c r="G173" s="21">
        <v>1</v>
      </c>
      <c r="H173" s="21">
        <v>0</v>
      </c>
      <c r="I173" t="s">
        <v>1509</v>
      </c>
      <c r="J173" s="20" t="s">
        <v>2148</v>
      </c>
      <c r="K173" t="s">
        <v>2148</v>
      </c>
    </row>
    <row r="174" spans="2:11" x14ac:dyDescent="0.2">
      <c r="B174" s="21">
        <f t="shared" si="2"/>
        <v>1947</v>
      </c>
      <c r="C174" t="s">
        <v>701</v>
      </c>
      <c r="D174" t="s">
        <v>13</v>
      </c>
      <c r="E174" t="s">
        <v>2751</v>
      </c>
      <c r="F174" t="s">
        <v>34</v>
      </c>
      <c r="G174" s="21">
        <v>1</v>
      </c>
      <c r="H174" s="21">
        <v>0</v>
      </c>
      <c r="I174" t="s">
        <v>1508</v>
      </c>
      <c r="J174" s="20" t="s">
        <v>2148</v>
      </c>
      <c r="K174" t="s">
        <v>2147</v>
      </c>
    </row>
    <row r="175" spans="2:11" x14ac:dyDescent="0.2">
      <c r="B175" s="21">
        <f t="shared" si="2"/>
        <v>1946</v>
      </c>
      <c r="C175" t="s">
        <v>1501</v>
      </c>
      <c r="D175" t="s">
        <v>13</v>
      </c>
      <c r="E175" t="s">
        <v>2751</v>
      </c>
      <c r="F175" t="s">
        <v>49</v>
      </c>
      <c r="G175" s="21">
        <v>1</v>
      </c>
      <c r="H175" s="21">
        <v>0</v>
      </c>
      <c r="I175" t="s">
        <v>1507</v>
      </c>
      <c r="J175" s="20" t="s">
        <v>2148</v>
      </c>
      <c r="K175" t="s">
        <v>2148</v>
      </c>
    </row>
    <row r="176" spans="2:11" x14ac:dyDescent="0.2">
      <c r="B176" s="21">
        <f t="shared" si="2"/>
        <v>1945</v>
      </c>
      <c r="C176" t="s">
        <v>235</v>
      </c>
      <c r="D176" t="s">
        <v>13</v>
      </c>
      <c r="E176" t="s">
        <v>2751</v>
      </c>
      <c r="F176" t="s">
        <v>34</v>
      </c>
      <c r="G176" s="21">
        <v>1</v>
      </c>
      <c r="H176" s="21">
        <v>0</v>
      </c>
      <c r="I176" t="s">
        <v>1503</v>
      </c>
      <c r="J176" s="20" t="s">
        <v>2149</v>
      </c>
      <c r="K176" t="s">
        <v>2148</v>
      </c>
    </row>
    <row r="177" spans="2:11" x14ac:dyDescent="0.2">
      <c r="B177" s="21">
        <f t="shared" si="2"/>
        <v>1944</v>
      </c>
      <c r="C177" t="s">
        <v>235</v>
      </c>
      <c r="D177" t="s">
        <v>13</v>
      </c>
      <c r="E177" t="s">
        <v>2751</v>
      </c>
      <c r="F177" t="s">
        <v>43</v>
      </c>
      <c r="G177" s="21">
        <v>1</v>
      </c>
      <c r="H177" s="21">
        <v>0</v>
      </c>
      <c r="I177" t="s">
        <v>1506</v>
      </c>
      <c r="J177" s="20" t="s">
        <v>2149</v>
      </c>
      <c r="K177" t="s">
        <v>2148</v>
      </c>
    </row>
    <row r="178" spans="2:11" x14ac:dyDescent="0.2">
      <c r="B178" s="21">
        <f t="shared" si="2"/>
        <v>1943</v>
      </c>
      <c r="C178" t="s">
        <v>701</v>
      </c>
      <c r="D178" t="s">
        <v>13</v>
      </c>
      <c r="E178" t="s">
        <v>2751</v>
      </c>
      <c r="F178" t="s">
        <v>34</v>
      </c>
      <c r="G178" s="21">
        <v>1</v>
      </c>
      <c r="H178" s="21">
        <v>0</v>
      </c>
      <c r="I178" t="s">
        <v>1505</v>
      </c>
      <c r="J178" s="20" t="s">
        <v>2149</v>
      </c>
      <c r="K178" t="s">
        <v>2148</v>
      </c>
    </row>
    <row r="179" spans="2:11" x14ac:dyDescent="0.2">
      <c r="B179" s="21">
        <f t="shared" si="2"/>
        <v>1942</v>
      </c>
      <c r="C179" t="s">
        <v>1501</v>
      </c>
      <c r="D179" t="s">
        <v>13</v>
      </c>
      <c r="E179" t="s">
        <v>2751</v>
      </c>
      <c r="F179" t="s">
        <v>42</v>
      </c>
      <c r="G179" s="21">
        <v>1</v>
      </c>
      <c r="H179" s="21">
        <v>0</v>
      </c>
      <c r="I179" t="s">
        <v>1502</v>
      </c>
      <c r="J179" s="20" t="s">
        <v>2149</v>
      </c>
      <c r="K179" t="s">
        <v>2149</v>
      </c>
    </row>
    <row r="180" spans="2:11" x14ac:dyDescent="0.2">
      <c r="B180" s="21">
        <f t="shared" si="2"/>
        <v>1941</v>
      </c>
      <c r="C180" t="s">
        <v>964</v>
      </c>
      <c r="D180" t="s">
        <v>13</v>
      </c>
      <c r="E180" t="s">
        <v>2751</v>
      </c>
      <c r="F180" t="s">
        <v>27</v>
      </c>
      <c r="G180" s="21">
        <v>1</v>
      </c>
      <c r="H180" s="21">
        <v>0</v>
      </c>
      <c r="I180" t="s">
        <v>1504</v>
      </c>
      <c r="J180" s="20" t="s">
        <v>2149</v>
      </c>
      <c r="K180" t="s">
        <v>2149</v>
      </c>
    </row>
    <row r="181" spans="2:11" x14ac:dyDescent="0.2">
      <c r="B181" s="21">
        <f t="shared" si="2"/>
        <v>1940</v>
      </c>
      <c r="C181" t="s">
        <v>65</v>
      </c>
      <c r="D181" t="s">
        <v>13</v>
      </c>
      <c r="E181" t="s">
        <v>2751</v>
      </c>
      <c r="F181" t="s">
        <v>42</v>
      </c>
      <c r="G181" s="21">
        <v>1</v>
      </c>
      <c r="H181" s="21">
        <v>0</v>
      </c>
      <c r="J181" s="20" t="s">
        <v>2149</v>
      </c>
      <c r="K181" t="s">
        <v>2149</v>
      </c>
    </row>
    <row r="182" spans="2:11" x14ac:dyDescent="0.2">
      <c r="B182" s="21">
        <f t="shared" si="2"/>
        <v>1939</v>
      </c>
      <c r="C182" t="s">
        <v>235</v>
      </c>
      <c r="D182" t="s">
        <v>13</v>
      </c>
      <c r="E182" t="s">
        <v>2751</v>
      </c>
      <c r="F182" t="s">
        <v>34</v>
      </c>
      <c r="G182" s="21">
        <v>1</v>
      </c>
      <c r="H182" s="21">
        <v>0</v>
      </c>
      <c r="I182" t="s">
        <v>1503</v>
      </c>
      <c r="J182" s="20" t="s">
        <v>2150</v>
      </c>
      <c r="K182" t="s">
        <v>2149</v>
      </c>
    </row>
    <row r="183" spans="2:11" x14ac:dyDescent="0.2">
      <c r="B183" s="21">
        <f t="shared" si="2"/>
        <v>1938</v>
      </c>
      <c r="C183" t="s">
        <v>235</v>
      </c>
      <c r="D183" t="s">
        <v>13</v>
      </c>
      <c r="E183" t="s">
        <v>2751</v>
      </c>
      <c r="F183" t="s">
        <v>34</v>
      </c>
      <c r="G183" s="21">
        <v>1</v>
      </c>
      <c r="H183" s="21">
        <v>0</v>
      </c>
      <c r="J183" s="20" t="s">
        <v>2150</v>
      </c>
      <c r="K183" t="s">
        <v>2149</v>
      </c>
    </row>
    <row r="184" spans="2:11" x14ac:dyDescent="0.2">
      <c r="B184" s="21">
        <f t="shared" si="2"/>
        <v>1937</v>
      </c>
      <c r="C184" t="s">
        <v>701</v>
      </c>
      <c r="D184" t="s">
        <v>13</v>
      </c>
      <c r="E184" t="s">
        <v>2751</v>
      </c>
      <c r="F184" t="s">
        <v>34</v>
      </c>
      <c r="G184" s="21">
        <v>1</v>
      </c>
      <c r="H184" s="21">
        <v>0</v>
      </c>
      <c r="J184" s="20" t="s">
        <v>2150</v>
      </c>
      <c r="K184" t="s">
        <v>2149</v>
      </c>
    </row>
    <row r="185" spans="2:11" x14ac:dyDescent="0.2">
      <c r="B185" s="21">
        <f t="shared" si="2"/>
        <v>1936</v>
      </c>
      <c r="C185" t="s">
        <v>65</v>
      </c>
      <c r="D185" t="s">
        <v>13</v>
      </c>
      <c r="E185" t="s">
        <v>2751</v>
      </c>
      <c r="F185" t="s">
        <v>42</v>
      </c>
      <c r="G185" s="21">
        <v>1</v>
      </c>
      <c r="H185" s="21">
        <v>0</v>
      </c>
      <c r="J185" s="20" t="s">
        <v>2150</v>
      </c>
      <c r="K185" t="s">
        <v>2150</v>
      </c>
    </row>
    <row r="186" spans="2:11" x14ac:dyDescent="0.2">
      <c r="B186" s="21">
        <f t="shared" si="2"/>
        <v>1935</v>
      </c>
      <c r="C186" t="s">
        <v>235</v>
      </c>
      <c r="D186" t="s">
        <v>13</v>
      </c>
      <c r="E186" t="s">
        <v>2751</v>
      </c>
      <c r="F186" t="s">
        <v>34</v>
      </c>
      <c r="G186" s="21">
        <v>1</v>
      </c>
      <c r="H186" s="21">
        <v>0</v>
      </c>
      <c r="I186" t="s">
        <v>1500</v>
      </c>
      <c r="J186" s="20" t="s">
        <v>2151</v>
      </c>
      <c r="K186" t="s">
        <v>2150</v>
      </c>
    </row>
    <row r="187" spans="2:11" x14ac:dyDescent="0.2">
      <c r="B187" s="21">
        <f t="shared" si="2"/>
        <v>1934</v>
      </c>
      <c r="C187" t="s">
        <v>38</v>
      </c>
      <c r="D187" t="s">
        <v>13</v>
      </c>
      <c r="E187" t="s">
        <v>2751</v>
      </c>
      <c r="F187" t="s">
        <v>43</v>
      </c>
      <c r="G187" s="21">
        <v>1</v>
      </c>
      <c r="H187" s="21">
        <v>0</v>
      </c>
      <c r="J187" s="20" t="s">
        <v>2151</v>
      </c>
      <c r="K187" t="s">
        <v>2150</v>
      </c>
    </row>
    <row r="188" spans="2:11" x14ac:dyDescent="0.2">
      <c r="B188" s="21">
        <f t="shared" si="2"/>
        <v>1933</v>
      </c>
      <c r="C188" t="s">
        <v>65</v>
      </c>
      <c r="D188" t="s">
        <v>13</v>
      </c>
      <c r="E188" t="s">
        <v>2751</v>
      </c>
      <c r="F188" t="s">
        <v>42</v>
      </c>
      <c r="G188" s="21">
        <v>1</v>
      </c>
      <c r="H188" s="21">
        <v>0</v>
      </c>
      <c r="I188" t="s">
        <v>1499</v>
      </c>
      <c r="J188" s="20" t="s">
        <v>2151</v>
      </c>
      <c r="K188" t="s">
        <v>2151</v>
      </c>
    </row>
    <row r="189" spans="2:11" x14ac:dyDescent="0.2">
      <c r="B189" s="21">
        <f t="shared" si="2"/>
        <v>1932</v>
      </c>
      <c r="C189" t="s">
        <v>235</v>
      </c>
      <c r="D189" t="s">
        <v>13</v>
      </c>
      <c r="E189" t="s">
        <v>2751</v>
      </c>
      <c r="F189" t="s">
        <v>34</v>
      </c>
      <c r="G189" s="21">
        <v>1</v>
      </c>
      <c r="H189" s="21">
        <v>0</v>
      </c>
      <c r="J189" s="20" t="s">
        <v>2152</v>
      </c>
      <c r="K189" t="s">
        <v>2653</v>
      </c>
    </row>
    <row r="190" spans="2:11" x14ac:dyDescent="0.2">
      <c r="B190" s="21">
        <f t="shared" si="2"/>
        <v>1931</v>
      </c>
      <c r="C190" t="s">
        <v>38</v>
      </c>
      <c r="D190" t="s">
        <v>13</v>
      </c>
      <c r="E190" t="s">
        <v>2751</v>
      </c>
      <c r="F190" t="s">
        <v>43</v>
      </c>
      <c r="G190" s="21">
        <v>1</v>
      </c>
      <c r="H190" s="21">
        <v>0</v>
      </c>
      <c r="J190" s="20" t="s">
        <v>2152</v>
      </c>
      <c r="K190" t="s">
        <v>2653</v>
      </c>
    </row>
    <row r="191" spans="2:11" x14ac:dyDescent="0.2">
      <c r="B191" s="21">
        <f t="shared" si="2"/>
        <v>1930</v>
      </c>
      <c r="C191" t="s">
        <v>235</v>
      </c>
      <c r="D191" t="s">
        <v>13</v>
      </c>
      <c r="E191" t="s">
        <v>2751</v>
      </c>
      <c r="F191" t="s">
        <v>34</v>
      </c>
      <c r="G191" s="21">
        <v>1</v>
      </c>
      <c r="H191" s="21">
        <v>0</v>
      </c>
      <c r="I191" t="s">
        <v>1497</v>
      </c>
      <c r="J191" s="20" t="s">
        <v>2153</v>
      </c>
      <c r="K191" t="s">
        <v>2152</v>
      </c>
    </row>
    <row r="192" spans="2:11" x14ac:dyDescent="0.2">
      <c r="B192" s="21">
        <f t="shared" si="2"/>
        <v>1929</v>
      </c>
      <c r="C192" t="s">
        <v>38</v>
      </c>
      <c r="D192" t="s">
        <v>13</v>
      </c>
      <c r="E192" t="s">
        <v>2751</v>
      </c>
      <c r="F192" t="s">
        <v>43</v>
      </c>
      <c r="G192" s="21">
        <v>1</v>
      </c>
      <c r="H192" s="21">
        <v>0</v>
      </c>
      <c r="I192" t="s">
        <v>1498</v>
      </c>
      <c r="J192" s="20" t="s">
        <v>2153</v>
      </c>
      <c r="K192" t="s">
        <v>2152</v>
      </c>
    </row>
    <row r="193" spans="2:11" x14ac:dyDescent="0.2">
      <c r="B193" s="21">
        <f t="shared" si="2"/>
        <v>1928</v>
      </c>
      <c r="C193" t="s">
        <v>235</v>
      </c>
      <c r="D193" t="s">
        <v>13</v>
      </c>
      <c r="E193" t="s">
        <v>2751</v>
      </c>
      <c r="F193" t="s">
        <v>34</v>
      </c>
      <c r="G193" s="21">
        <v>1</v>
      </c>
      <c r="H193" s="21">
        <v>0</v>
      </c>
      <c r="I193" t="s">
        <v>1495</v>
      </c>
      <c r="J193" s="20" t="s">
        <v>2154</v>
      </c>
      <c r="K193" t="s">
        <v>2154</v>
      </c>
    </row>
    <row r="194" spans="2:11" x14ac:dyDescent="0.2">
      <c r="B194" s="21">
        <f t="shared" si="2"/>
        <v>1927</v>
      </c>
      <c r="C194" t="s">
        <v>235</v>
      </c>
      <c r="D194" t="s">
        <v>13</v>
      </c>
      <c r="E194" t="s">
        <v>2751</v>
      </c>
      <c r="F194" t="s">
        <v>34</v>
      </c>
      <c r="G194" s="21">
        <v>1</v>
      </c>
      <c r="H194" s="21">
        <v>0</v>
      </c>
      <c r="I194" t="s">
        <v>1496</v>
      </c>
      <c r="J194" s="20" t="s">
        <v>2154</v>
      </c>
      <c r="K194" t="s">
        <v>2154</v>
      </c>
    </row>
    <row r="195" spans="2:11" x14ac:dyDescent="0.2">
      <c r="B195" s="21">
        <f t="shared" si="2"/>
        <v>1926</v>
      </c>
      <c r="C195" t="s">
        <v>235</v>
      </c>
      <c r="D195" t="s">
        <v>13</v>
      </c>
      <c r="E195" t="s">
        <v>2751</v>
      </c>
      <c r="F195" t="s">
        <v>34</v>
      </c>
      <c r="G195" s="21">
        <v>1</v>
      </c>
      <c r="H195" s="21">
        <v>0</v>
      </c>
      <c r="J195" s="20" t="s">
        <v>2155</v>
      </c>
      <c r="K195" t="s">
        <v>2154</v>
      </c>
    </row>
    <row r="196" spans="2:11" x14ac:dyDescent="0.2">
      <c r="B196" s="21">
        <f t="shared" si="2"/>
        <v>1925</v>
      </c>
      <c r="C196" t="s">
        <v>235</v>
      </c>
      <c r="D196" t="s">
        <v>13</v>
      </c>
      <c r="E196" t="s">
        <v>2751</v>
      </c>
      <c r="F196" t="s">
        <v>34</v>
      </c>
      <c r="G196" s="21">
        <v>1</v>
      </c>
      <c r="H196" s="21">
        <v>0</v>
      </c>
      <c r="J196" s="20" t="s">
        <v>2155</v>
      </c>
      <c r="K196" t="s">
        <v>2154</v>
      </c>
    </row>
    <row r="197" spans="2:11" x14ac:dyDescent="0.2">
      <c r="B197" s="21">
        <f t="shared" ref="B197:B260" si="3">B196-1</f>
        <v>1924</v>
      </c>
      <c r="C197" t="s">
        <v>964</v>
      </c>
      <c r="D197" t="s">
        <v>13</v>
      </c>
      <c r="E197" t="s">
        <v>2751</v>
      </c>
      <c r="F197" t="s">
        <v>49</v>
      </c>
      <c r="G197" s="21">
        <v>1</v>
      </c>
      <c r="H197" s="21">
        <v>0</v>
      </c>
      <c r="I197" t="s">
        <v>1494</v>
      </c>
      <c r="J197" s="20" t="s">
        <v>2155</v>
      </c>
      <c r="K197" t="s">
        <v>2155</v>
      </c>
    </row>
    <row r="198" spans="2:11" x14ac:dyDescent="0.2">
      <c r="B198" s="21">
        <f t="shared" si="3"/>
        <v>1923</v>
      </c>
      <c r="C198" t="s">
        <v>235</v>
      </c>
      <c r="D198" t="s">
        <v>13</v>
      </c>
      <c r="E198" t="s">
        <v>2751</v>
      </c>
      <c r="F198" t="s">
        <v>34</v>
      </c>
      <c r="G198" s="21">
        <v>1</v>
      </c>
      <c r="H198" s="21">
        <v>0</v>
      </c>
      <c r="I198" t="s">
        <v>1491</v>
      </c>
      <c r="J198" s="20" t="s">
        <v>2156</v>
      </c>
      <c r="K198" t="s">
        <v>2155</v>
      </c>
    </row>
    <row r="199" spans="2:11" x14ac:dyDescent="0.2">
      <c r="B199" s="21">
        <f t="shared" si="3"/>
        <v>1922</v>
      </c>
      <c r="C199" t="s">
        <v>235</v>
      </c>
      <c r="D199" t="s">
        <v>13</v>
      </c>
      <c r="E199" t="s">
        <v>2751</v>
      </c>
      <c r="F199" t="s">
        <v>34</v>
      </c>
      <c r="G199" s="21">
        <v>1</v>
      </c>
      <c r="H199" s="21">
        <v>0</v>
      </c>
      <c r="I199" t="s">
        <v>1493</v>
      </c>
      <c r="J199" s="20" t="s">
        <v>2156</v>
      </c>
      <c r="K199" t="s">
        <v>2155</v>
      </c>
    </row>
    <row r="200" spans="2:11" x14ac:dyDescent="0.2">
      <c r="B200" s="21">
        <f t="shared" si="3"/>
        <v>1921</v>
      </c>
      <c r="C200" t="s">
        <v>964</v>
      </c>
      <c r="D200" t="s">
        <v>13</v>
      </c>
      <c r="E200" t="s">
        <v>2751</v>
      </c>
      <c r="F200" t="s">
        <v>27</v>
      </c>
      <c r="G200" s="21">
        <v>1</v>
      </c>
      <c r="H200" s="21">
        <v>0</v>
      </c>
      <c r="I200" t="s">
        <v>1492</v>
      </c>
      <c r="J200" s="20" t="s">
        <v>2156</v>
      </c>
      <c r="K200" t="s">
        <v>2156</v>
      </c>
    </row>
    <row r="201" spans="2:11" x14ac:dyDescent="0.2">
      <c r="B201" s="21">
        <f t="shared" si="3"/>
        <v>1920</v>
      </c>
      <c r="C201" t="s">
        <v>235</v>
      </c>
      <c r="D201" t="s">
        <v>13</v>
      </c>
      <c r="E201" t="s">
        <v>2751</v>
      </c>
      <c r="F201" t="s">
        <v>34</v>
      </c>
      <c r="G201" s="21">
        <v>1</v>
      </c>
      <c r="H201" s="21">
        <v>0</v>
      </c>
      <c r="I201" t="s">
        <v>1490</v>
      </c>
      <c r="J201" s="20" t="s">
        <v>2157</v>
      </c>
      <c r="K201" t="s">
        <v>2157</v>
      </c>
    </row>
    <row r="202" spans="2:11" x14ac:dyDescent="0.2">
      <c r="B202" s="21">
        <f t="shared" si="3"/>
        <v>1919</v>
      </c>
      <c r="C202" t="s">
        <v>964</v>
      </c>
      <c r="D202" t="s">
        <v>13</v>
      </c>
      <c r="E202" t="s">
        <v>2751</v>
      </c>
      <c r="F202" t="s">
        <v>27</v>
      </c>
      <c r="G202" s="21">
        <v>1</v>
      </c>
      <c r="H202" s="21">
        <v>0</v>
      </c>
      <c r="I202" t="s">
        <v>1489</v>
      </c>
      <c r="J202" s="20" t="s">
        <v>2157</v>
      </c>
      <c r="K202" t="s">
        <v>2654</v>
      </c>
    </row>
    <row r="203" spans="2:11" x14ac:dyDescent="0.2">
      <c r="B203" s="21">
        <f t="shared" si="3"/>
        <v>1918</v>
      </c>
      <c r="C203" t="s">
        <v>235</v>
      </c>
      <c r="D203" t="s">
        <v>13</v>
      </c>
      <c r="E203" t="s">
        <v>2751</v>
      </c>
      <c r="F203" t="s">
        <v>34</v>
      </c>
      <c r="G203" s="21">
        <v>1</v>
      </c>
      <c r="H203" s="21">
        <v>0</v>
      </c>
      <c r="J203" s="20" t="s">
        <v>2158</v>
      </c>
      <c r="K203" t="s">
        <v>2157</v>
      </c>
    </row>
    <row r="204" spans="2:11" x14ac:dyDescent="0.2">
      <c r="B204" s="21">
        <f t="shared" si="3"/>
        <v>1917</v>
      </c>
      <c r="C204" t="s">
        <v>964</v>
      </c>
      <c r="D204" t="s">
        <v>13</v>
      </c>
      <c r="E204" t="s">
        <v>2751</v>
      </c>
      <c r="F204" t="s">
        <v>27</v>
      </c>
      <c r="G204" s="21">
        <v>1</v>
      </c>
      <c r="H204" s="21">
        <v>0</v>
      </c>
      <c r="I204" t="s">
        <v>1488</v>
      </c>
      <c r="J204" s="20" t="s">
        <v>2158</v>
      </c>
      <c r="K204" t="s">
        <v>2157</v>
      </c>
    </row>
    <row r="205" spans="2:11" x14ac:dyDescent="0.2">
      <c r="B205" s="21">
        <f t="shared" si="3"/>
        <v>1916</v>
      </c>
      <c r="C205" t="s">
        <v>235</v>
      </c>
      <c r="D205" t="s">
        <v>13</v>
      </c>
      <c r="E205" t="s">
        <v>2751</v>
      </c>
      <c r="F205" t="s">
        <v>34</v>
      </c>
      <c r="G205" s="21">
        <v>1</v>
      </c>
      <c r="H205" s="21">
        <v>0</v>
      </c>
      <c r="J205" s="20" t="s">
        <v>2159</v>
      </c>
      <c r="K205" t="s">
        <v>2158</v>
      </c>
    </row>
    <row r="206" spans="2:11" x14ac:dyDescent="0.2">
      <c r="B206" s="21">
        <f t="shared" si="3"/>
        <v>1915</v>
      </c>
      <c r="C206" t="s">
        <v>235</v>
      </c>
      <c r="D206" t="s">
        <v>13</v>
      </c>
      <c r="E206" t="s">
        <v>2751</v>
      </c>
      <c r="F206" t="s">
        <v>34</v>
      </c>
      <c r="G206" s="21">
        <v>1</v>
      </c>
      <c r="H206" s="21">
        <v>0</v>
      </c>
      <c r="I206" t="s">
        <v>1487</v>
      </c>
      <c r="J206" s="20" t="s">
        <v>2159</v>
      </c>
      <c r="K206" t="s">
        <v>2159</v>
      </c>
    </row>
    <row r="207" spans="2:11" x14ac:dyDescent="0.2">
      <c r="B207" s="21">
        <f t="shared" si="3"/>
        <v>1914</v>
      </c>
      <c r="C207" t="s">
        <v>1192</v>
      </c>
      <c r="D207" t="s">
        <v>13</v>
      </c>
      <c r="E207" t="s">
        <v>2751</v>
      </c>
      <c r="F207" t="s">
        <v>27</v>
      </c>
      <c r="G207" s="21">
        <v>1</v>
      </c>
      <c r="H207" s="21">
        <v>0</v>
      </c>
      <c r="I207" t="s">
        <v>1485</v>
      </c>
      <c r="J207" s="20" t="s">
        <v>2159</v>
      </c>
      <c r="K207" t="s">
        <v>2159</v>
      </c>
    </row>
    <row r="208" spans="2:11" x14ac:dyDescent="0.2">
      <c r="B208" s="21">
        <f t="shared" si="3"/>
        <v>1913</v>
      </c>
      <c r="C208" t="s">
        <v>1423</v>
      </c>
      <c r="D208" t="s">
        <v>13</v>
      </c>
      <c r="E208" t="s">
        <v>2751</v>
      </c>
      <c r="F208" t="s">
        <v>27</v>
      </c>
      <c r="G208" s="21">
        <v>1</v>
      </c>
      <c r="H208" s="21">
        <v>0</v>
      </c>
      <c r="I208" t="s">
        <v>1486</v>
      </c>
      <c r="J208" s="20" t="s">
        <v>2159</v>
      </c>
      <c r="K208" t="s">
        <v>2159</v>
      </c>
    </row>
    <row r="209" spans="2:11" x14ac:dyDescent="0.2">
      <c r="B209" s="21">
        <f t="shared" si="3"/>
        <v>1912</v>
      </c>
      <c r="C209" t="s">
        <v>964</v>
      </c>
      <c r="D209" t="s">
        <v>13</v>
      </c>
      <c r="E209" t="s">
        <v>2751</v>
      </c>
      <c r="F209" t="s">
        <v>27</v>
      </c>
      <c r="G209" s="21">
        <v>1</v>
      </c>
      <c r="H209" s="21">
        <v>0</v>
      </c>
      <c r="I209" t="s">
        <v>1484</v>
      </c>
      <c r="J209" s="20" t="s">
        <v>2159</v>
      </c>
      <c r="K209" t="s">
        <v>2158</v>
      </c>
    </row>
    <row r="210" spans="2:11" x14ac:dyDescent="0.2">
      <c r="B210" s="21">
        <f t="shared" si="3"/>
        <v>1911</v>
      </c>
      <c r="C210" t="s">
        <v>235</v>
      </c>
      <c r="D210" t="s">
        <v>13</v>
      </c>
      <c r="E210" t="s">
        <v>2751</v>
      </c>
      <c r="F210" t="s">
        <v>34</v>
      </c>
      <c r="G210" s="21">
        <v>1</v>
      </c>
      <c r="H210" s="21">
        <v>0</v>
      </c>
      <c r="I210" t="s">
        <v>1481</v>
      </c>
      <c r="J210" s="20" t="s">
        <v>2160</v>
      </c>
      <c r="K210" t="s">
        <v>2159</v>
      </c>
    </row>
    <row r="211" spans="2:11" x14ac:dyDescent="0.2">
      <c r="B211" s="21">
        <f t="shared" si="3"/>
        <v>1910</v>
      </c>
      <c r="C211" t="s">
        <v>235</v>
      </c>
      <c r="D211" t="s">
        <v>13</v>
      </c>
      <c r="E211" t="s">
        <v>2751</v>
      </c>
      <c r="F211" t="s">
        <v>34</v>
      </c>
      <c r="G211" s="21">
        <v>1</v>
      </c>
      <c r="H211" s="21">
        <v>0</v>
      </c>
      <c r="I211" t="s">
        <v>1482</v>
      </c>
      <c r="J211" s="20" t="s">
        <v>2160</v>
      </c>
      <c r="K211" t="s">
        <v>2160</v>
      </c>
    </row>
    <row r="212" spans="2:11" x14ac:dyDescent="0.2">
      <c r="B212" s="21">
        <f t="shared" si="3"/>
        <v>1909</v>
      </c>
      <c r="C212" t="s">
        <v>1192</v>
      </c>
      <c r="D212" t="s">
        <v>13</v>
      </c>
      <c r="E212" t="s">
        <v>2751</v>
      </c>
      <c r="F212" t="s">
        <v>27</v>
      </c>
      <c r="G212" s="21">
        <v>1</v>
      </c>
      <c r="H212" s="21">
        <v>0</v>
      </c>
      <c r="I212" t="s">
        <v>1483</v>
      </c>
      <c r="J212" s="20" t="s">
        <v>2160</v>
      </c>
      <c r="K212" t="s">
        <v>2160</v>
      </c>
    </row>
    <row r="213" spans="2:11" x14ac:dyDescent="0.2">
      <c r="B213" s="21">
        <f t="shared" si="3"/>
        <v>1908</v>
      </c>
      <c r="C213" t="s">
        <v>235</v>
      </c>
      <c r="D213" t="s">
        <v>13</v>
      </c>
      <c r="E213" t="s">
        <v>2751</v>
      </c>
      <c r="F213" t="s">
        <v>34</v>
      </c>
      <c r="G213" s="21">
        <v>1</v>
      </c>
      <c r="H213" s="21">
        <v>0</v>
      </c>
      <c r="J213" s="20" t="s">
        <v>2161</v>
      </c>
      <c r="K213" t="s">
        <v>2160</v>
      </c>
    </row>
    <row r="214" spans="2:11" x14ac:dyDescent="0.2">
      <c r="B214" s="21">
        <f t="shared" si="3"/>
        <v>1907</v>
      </c>
      <c r="C214" t="s">
        <v>235</v>
      </c>
      <c r="D214" t="s">
        <v>13</v>
      </c>
      <c r="E214" t="s">
        <v>2751</v>
      </c>
      <c r="F214" t="s">
        <v>34</v>
      </c>
      <c r="G214" s="21">
        <v>1</v>
      </c>
      <c r="H214" s="21">
        <v>0</v>
      </c>
      <c r="I214" t="s">
        <v>1479</v>
      </c>
      <c r="J214" s="20" t="s">
        <v>2161</v>
      </c>
      <c r="K214" t="s">
        <v>2161</v>
      </c>
    </row>
    <row r="215" spans="2:11" x14ac:dyDescent="0.2">
      <c r="B215" s="21">
        <f t="shared" si="3"/>
        <v>1906</v>
      </c>
      <c r="C215" t="s">
        <v>235</v>
      </c>
      <c r="D215" t="s">
        <v>13</v>
      </c>
      <c r="E215" t="s">
        <v>2751</v>
      </c>
      <c r="F215" t="s">
        <v>22</v>
      </c>
      <c r="G215" s="21">
        <v>1</v>
      </c>
      <c r="H215" s="21">
        <v>0</v>
      </c>
      <c r="I215" t="s">
        <v>1480</v>
      </c>
      <c r="J215" s="20" t="s">
        <v>2161</v>
      </c>
      <c r="K215" t="s">
        <v>2161</v>
      </c>
    </row>
    <row r="216" spans="2:11" x14ac:dyDescent="0.2">
      <c r="B216" s="21">
        <f t="shared" si="3"/>
        <v>1905</v>
      </c>
      <c r="C216" t="s">
        <v>235</v>
      </c>
      <c r="D216" t="s">
        <v>13</v>
      </c>
      <c r="E216" t="s">
        <v>2751</v>
      </c>
      <c r="F216" t="s">
        <v>34</v>
      </c>
      <c r="G216" s="21">
        <v>1</v>
      </c>
      <c r="H216" s="21">
        <v>0</v>
      </c>
      <c r="J216" s="20" t="s">
        <v>2162</v>
      </c>
      <c r="K216" t="s">
        <v>2161</v>
      </c>
    </row>
    <row r="217" spans="2:11" x14ac:dyDescent="0.2">
      <c r="B217" s="21">
        <f t="shared" si="3"/>
        <v>1904</v>
      </c>
      <c r="C217" t="s">
        <v>235</v>
      </c>
      <c r="D217" t="s">
        <v>13</v>
      </c>
      <c r="E217" t="s">
        <v>2751</v>
      </c>
      <c r="F217" t="s">
        <v>34</v>
      </c>
      <c r="G217" s="21">
        <v>1</v>
      </c>
      <c r="H217" s="21">
        <v>0</v>
      </c>
      <c r="I217" t="s">
        <v>1478</v>
      </c>
      <c r="J217" s="20" t="s">
        <v>2162</v>
      </c>
      <c r="K217" t="s">
        <v>2161</v>
      </c>
    </row>
    <row r="218" spans="2:11" x14ac:dyDescent="0.2">
      <c r="B218" s="21">
        <f t="shared" si="3"/>
        <v>1903</v>
      </c>
      <c r="C218" t="s">
        <v>235</v>
      </c>
      <c r="D218" t="s">
        <v>13</v>
      </c>
      <c r="E218" t="s">
        <v>2751</v>
      </c>
      <c r="F218" t="s">
        <v>34</v>
      </c>
      <c r="G218" s="21">
        <v>1</v>
      </c>
      <c r="H218" s="21">
        <v>0</v>
      </c>
      <c r="J218" s="20" t="s">
        <v>2163</v>
      </c>
      <c r="K218" t="s">
        <v>2655</v>
      </c>
    </row>
    <row r="219" spans="2:11" x14ac:dyDescent="0.2">
      <c r="B219" s="21">
        <f t="shared" si="3"/>
        <v>1902</v>
      </c>
      <c r="C219" t="s">
        <v>235</v>
      </c>
      <c r="D219" t="s">
        <v>13</v>
      </c>
      <c r="E219" t="s">
        <v>2751</v>
      </c>
      <c r="F219" t="s">
        <v>22</v>
      </c>
      <c r="G219" s="21">
        <v>1</v>
      </c>
      <c r="H219" s="21">
        <v>0</v>
      </c>
      <c r="I219" t="s">
        <v>1477</v>
      </c>
      <c r="J219" s="20" t="s">
        <v>2163</v>
      </c>
      <c r="K219" t="s">
        <v>2163</v>
      </c>
    </row>
    <row r="220" spans="2:11" x14ac:dyDescent="0.2">
      <c r="B220" s="21">
        <f t="shared" si="3"/>
        <v>1901</v>
      </c>
      <c r="C220" t="s">
        <v>235</v>
      </c>
      <c r="D220" t="s">
        <v>13</v>
      </c>
      <c r="E220" t="s">
        <v>2751</v>
      </c>
      <c r="F220" t="s">
        <v>34</v>
      </c>
      <c r="G220" s="21">
        <v>1</v>
      </c>
      <c r="H220" s="21">
        <v>0</v>
      </c>
      <c r="I220" t="s">
        <v>1478</v>
      </c>
      <c r="J220" s="20" t="s">
        <v>2163</v>
      </c>
      <c r="K220" t="s">
        <v>2655</v>
      </c>
    </row>
    <row r="221" spans="2:11" x14ac:dyDescent="0.2">
      <c r="B221" s="21">
        <f t="shared" si="3"/>
        <v>1900</v>
      </c>
      <c r="C221" t="s">
        <v>1064</v>
      </c>
      <c r="D221" t="s">
        <v>13</v>
      </c>
      <c r="E221" t="s">
        <v>2751</v>
      </c>
      <c r="F221" t="s">
        <v>34</v>
      </c>
      <c r="G221" s="21">
        <v>1</v>
      </c>
      <c r="H221" s="21">
        <v>0</v>
      </c>
      <c r="I221" t="s">
        <v>1476</v>
      </c>
      <c r="J221" s="20" t="s">
        <v>2163</v>
      </c>
      <c r="K221" t="s">
        <v>2163</v>
      </c>
    </row>
    <row r="222" spans="2:11" x14ac:dyDescent="0.2">
      <c r="B222" s="21">
        <f t="shared" si="3"/>
        <v>1899</v>
      </c>
      <c r="C222" t="s">
        <v>235</v>
      </c>
      <c r="D222" t="s">
        <v>13</v>
      </c>
      <c r="E222" t="s">
        <v>2751</v>
      </c>
      <c r="F222" t="s">
        <v>34</v>
      </c>
      <c r="G222" s="21">
        <v>1</v>
      </c>
      <c r="H222" s="21">
        <v>0</v>
      </c>
      <c r="I222" t="s">
        <v>1471</v>
      </c>
      <c r="J222" s="20" t="s">
        <v>2164</v>
      </c>
      <c r="K222" t="s">
        <v>2164</v>
      </c>
    </row>
    <row r="223" spans="2:11" x14ac:dyDescent="0.2">
      <c r="B223" s="21">
        <f t="shared" si="3"/>
        <v>1898</v>
      </c>
      <c r="C223" t="s">
        <v>235</v>
      </c>
      <c r="D223" t="s">
        <v>13</v>
      </c>
      <c r="E223" t="s">
        <v>2751</v>
      </c>
      <c r="F223" t="s">
        <v>34</v>
      </c>
      <c r="G223" s="21">
        <v>1</v>
      </c>
      <c r="H223" s="21">
        <v>0</v>
      </c>
      <c r="I223" t="s">
        <v>1473</v>
      </c>
      <c r="J223" s="20" t="s">
        <v>2164</v>
      </c>
      <c r="K223" t="s">
        <v>2163</v>
      </c>
    </row>
    <row r="224" spans="2:11" x14ac:dyDescent="0.2">
      <c r="B224" s="21">
        <f t="shared" si="3"/>
        <v>1897</v>
      </c>
      <c r="C224" t="s">
        <v>235</v>
      </c>
      <c r="D224" t="s">
        <v>13</v>
      </c>
      <c r="E224" t="s">
        <v>2751</v>
      </c>
      <c r="F224" t="s">
        <v>4</v>
      </c>
      <c r="G224" s="21">
        <v>1</v>
      </c>
      <c r="H224" s="21">
        <v>0</v>
      </c>
      <c r="I224" t="s">
        <v>1472</v>
      </c>
      <c r="J224" s="20" t="s">
        <v>2164</v>
      </c>
      <c r="K224" t="s">
        <v>2164</v>
      </c>
    </row>
    <row r="225" spans="2:11" x14ac:dyDescent="0.2">
      <c r="B225" s="21">
        <f t="shared" si="3"/>
        <v>1896</v>
      </c>
      <c r="C225" t="s">
        <v>235</v>
      </c>
      <c r="D225" t="s">
        <v>13</v>
      </c>
      <c r="E225" t="s">
        <v>2751</v>
      </c>
      <c r="F225" t="s">
        <v>115</v>
      </c>
      <c r="G225" s="21">
        <v>1</v>
      </c>
      <c r="H225" s="21">
        <v>0</v>
      </c>
      <c r="I225" t="s">
        <v>1474</v>
      </c>
      <c r="J225" s="20" t="s">
        <v>2164</v>
      </c>
      <c r="K225" t="s">
        <v>2164</v>
      </c>
    </row>
    <row r="226" spans="2:11" x14ac:dyDescent="0.2">
      <c r="B226" s="21">
        <f t="shared" si="3"/>
        <v>1895</v>
      </c>
      <c r="C226" t="s">
        <v>1064</v>
      </c>
      <c r="D226" t="s">
        <v>13</v>
      </c>
      <c r="E226" t="s">
        <v>2751</v>
      </c>
      <c r="F226" t="s">
        <v>27</v>
      </c>
      <c r="G226" s="21">
        <v>1</v>
      </c>
      <c r="H226" s="21">
        <v>0</v>
      </c>
      <c r="I226" t="s">
        <v>1475</v>
      </c>
      <c r="J226" s="20" t="s">
        <v>2164</v>
      </c>
      <c r="K226" t="s">
        <v>2164</v>
      </c>
    </row>
    <row r="227" spans="2:11" x14ac:dyDescent="0.2">
      <c r="B227" s="21">
        <f t="shared" si="3"/>
        <v>1894</v>
      </c>
      <c r="C227" t="s">
        <v>235</v>
      </c>
      <c r="D227" t="s">
        <v>13</v>
      </c>
      <c r="E227" t="s">
        <v>2751</v>
      </c>
      <c r="F227" t="s">
        <v>34</v>
      </c>
      <c r="G227" s="21">
        <v>1</v>
      </c>
      <c r="H227" s="21">
        <v>0</v>
      </c>
      <c r="I227" t="s">
        <v>1471</v>
      </c>
      <c r="J227" s="20" t="s">
        <v>2165</v>
      </c>
      <c r="K227" t="s">
        <v>2164</v>
      </c>
    </row>
    <row r="228" spans="2:11" x14ac:dyDescent="0.2">
      <c r="B228" s="21">
        <f t="shared" si="3"/>
        <v>1893</v>
      </c>
      <c r="C228" t="s">
        <v>235</v>
      </c>
      <c r="D228" t="s">
        <v>13</v>
      </c>
      <c r="E228" t="s">
        <v>2751</v>
      </c>
      <c r="F228" t="s">
        <v>21</v>
      </c>
      <c r="G228" s="21">
        <v>1</v>
      </c>
      <c r="H228" s="21">
        <v>0</v>
      </c>
      <c r="I228" t="s">
        <v>1470</v>
      </c>
      <c r="J228" s="20" t="s">
        <v>2165</v>
      </c>
      <c r="K228" t="s">
        <v>2165</v>
      </c>
    </row>
    <row r="229" spans="2:11" x14ac:dyDescent="0.2">
      <c r="B229" s="21">
        <f t="shared" si="3"/>
        <v>1892</v>
      </c>
      <c r="C229" t="s">
        <v>1064</v>
      </c>
      <c r="D229" t="s">
        <v>13</v>
      </c>
      <c r="E229" t="s">
        <v>2751</v>
      </c>
      <c r="F229" t="s">
        <v>43</v>
      </c>
      <c r="G229" s="21">
        <v>1</v>
      </c>
      <c r="H229" s="21">
        <v>0</v>
      </c>
      <c r="J229" s="20" t="s">
        <v>2165</v>
      </c>
      <c r="K229" t="s">
        <v>2164</v>
      </c>
    </row>
    <row r="230" spans="2:11" x14ac:dyDescent="0.2">
      <c r="B230" s="21">
        <f t="shared" si="3"/>
        <v>1891</v>
      </c>
      <c r="C230" t="s">
        <v>1192</v>
      </c>
      <c r="D230" t="s">
        <v>13</v>
      </c>
      <c r="E230" t="s">
        <v>2751</v>
      </c>
      <c r="F230" t="s">
        <v>27</v>
      </c>
      <c r="G230" s="21">
        <v>1</v>
      </c>
      <c r="H230" s="21">
        <v>0</v>
      </c>
      <c r="I230" t="s">
        <v>1469</v>
      </c>
      <c r="J230" s="20" t="s">
        <v>2165</v>
      </c>
      <c r="K230" t="s">
        <v>2165</v>
      </c>
    </row>
    <row r="231" spans="2:11" x14ac:dyDescent="0.2">
      <c r="B231" s="21">
        <f t="shared" si="3"/>
        <v>1890</v>
      </c>
      <c r="C231" t="s">
        <v>235</v>
      </c>
      <c r="D231" t="s">
        <v>13</v>
      </c>
      <c r="E231" t="s">
        <v>2751</v>
      </c>
      <c r="F231" t="s">
        <v>34</v>
      </c>
      <c r="G231" s="21">
        <v>1</v>
      </c>
      <c r="H231" s="21">
        <v>0</v>
      </c>
      <c r="J231" s="20" t="s">
        <v>2166</v>
      </c>
      <c r="K231" t="s">
        <v>2166</v>
      </c>
    </row>
    <row r="232" spans="2:11" x14ac:dyDescent="0.2">
      <c r="B232" s="21">
        <f t="shared" si="3"/>
        <v>1889</v>
      </c>
      <c r="C232" t="s">
        <v>235</v>
      </c>
      <c r="D232" t="s">
        <v>13</v>
      </c>
      <c r="E232" t="s">
        <v>2751</v>
      </c>
      <c r="F232" t="s">
        <v>22</v>
      </c>
      <c r="G232" s="21">
        <v>1</v>
      </c>
      <c r="H232" s="21">
        <v>0</v>
      </c>
      <c r="I232" t="s">
        <v>1468</v>
      </c>
      <c r="J232" s="20" t="s">
        <v>2166</v>
      </c>
      <c r="K232" t="s">
        <v>2166</v>
      </c>
    </row>
    <row r="233" spans="2:11" x14ac:dyDescent="0.2">
      <c r="B233" s="21">
        <f t="shared" si="3"/>
        <v>1888</v>
      </c>
      <c r="C233" t="s">
        <v>1064</v>
      </c>
      <c r="D233" t="s">
        <v>13</v>
      </c>
      <c r="E233" t="s">
        <v>2751</v>
      </c>
      <c r="F233" t="s">
        <v>43</v>
      </c>
      <c r="G233" s="21">
        <v>1</v>
      </c>
      <c r="H233" s="21">
        <v>0</v>
      </c>
      <c r="J233" s="20" t="s">
        <v>2166</v>
      </c>
      <c r="K233" t="s">
        <v>2165</v>
      </c>
    </row>
    <row r="234" spans="2:11" x14ac:dyDescent="0.2">
      <c r="B234" s="21">
        <f t="shared" si="3"/>
        <v>1887</v>
      </c>
      <c r="C234" t="s">
        <v>235</v>
      </c>
      <c r="D234" t="s">
        <v>13</v>
      </c>
      <c r="E234" t="s">
        <v>2751</v>
      </c>
      <c r="F234" t="s">
        <v>34</v>
      </c>
      <c r="G234" s="21">
        <v>1</v>
      </c>
      <c r="H234" s="21">
        <v>0</v>
      </c>
      <c r="J234" s="20" t="s">
        <v>2167</v>
      </c>
      <c r="K234" t="s">
        <v>2166</v>
      </c>
    </row>
    <row r="235" spans="2:11" x14ac:dyDescent="0.2">
      <c r="B235" s="21">
        <f t="shared" si="3"/>
        <v>1886</v>
      </c>
      <c r="C235" t="s">
        <v>235</v>
      </c>
      <c r="D235" t="s">
        <v>13</v>
      </c>
      <c r="E235" t="s">
        <v>2751</v>
      </c>
      <c r="F235" t="s">
        <v>4</v>
      </c>
      <c r="G235" s="21">
        <v>1</v>
      </c>
      <c r="H235" s="21">
        <v>0</v>
      </c>
      <c r="I235" t="s">
        <v>1465</v>
      </c>
      <c r="J235" s="20" t="s">
        <v>2167</v>
      </c>
      <c r="K235" t="s">
        <v>2167</v>
      </c>
    </row>
    <row r="236" spans="2:11" x14ac:dyDescent="0.2">
      <c r="B236" s="21">
        <f t="shared" si="3"/>
        <v>1885</v>
      </c>
      <c r="C236" t="s">
        <v>1064</v>
      </c>
      <c r="D236" t="s">
        <v>13</v>
      </c>
      <c r="E236" t="s">
        <v>2751</v>
      </c>
      <c r="F236" t="s">
        <v>61</v>
      </c>
      <c r="G236" s="21">
        <v>1</v>
      </c>
      <c r="H236" s="21">
        <v>0</v>
      </c>
      <c r="I236" t="s">
        <v>1466</v>
      </c>
      <c r="J236" s="20" t="s">
        <v>2167</v>
      </c>
      <c r="K236" t="s">
        <v>2167</v>
      </c>
    </row>
    <row r="237" spans="2:11" x14ac:dyDescent="0.2">
      <c r="B237" s="21">
        <f t="shared" si="3"/>
        <v>1884</v>
      </c>
      <c r="C237" t="s">
        <v>1064</v>
      </c>
      <c r="D237" t="s">
        <v>13</v>
      </c>
      <c r="E237" t="s">
        <v>2751</v>
      </c>
      <c r="F237" t="s">
        <v>27</v>
      </c>
      <c r="G237" s="21">
        <v>1</v>
      </c>
      <c r="H237" s="21">
        <v>0</v>
      </c>
      <c r="I237" t="s">
        <v>1467</v>
      </c>
      <c r="J237" s="20" t="s">
        <v>2167</v>
      </c>
      <c r="K237" t="s">
        <v>2167</v>
      </c>
    </row>
    <row r="238" spans="2:11" x14ac:dyDescent="0.2">
      <c r="B238" s="21">
        <f t="shared" si="3"/>
        <v>1883</v>
      </c>
      <c r="C238" t="s">
        <v>1064</v>
      </c>
      <c r="D238" t="s">
        <v>13</v>
      </c>
      <c r="E238" t="s">
        <v>2751</v>
      </c>
      <c r="F238" t="s">
        <v>43</v>
      </c>
      <c r="G238" s="21">
        <v>1</v>
      </c>
      <c r="H238" s="21">
        <v>0</v>
      </c>
      <c r="J238" s="20" t="s">
        <v>2167</v>
      </c>
      <c r="K238" t="s">
        <v>2166</v>
      </c>
    </row>
    <row r="239" spans="2:11" x14ac:dyDescent="0.2">
      <c r="B239" s="21">
        <f t="shared" si="3"/>
        <v>1882</v>
      </c>
      <c r="C239" t="s">
        <v>235</v>
      </c>
      <c r="D239" t="s">
        <v>13</v>
      </c>
      <c r="E239" t="s">
        <v>2751</v>
      </c>
      <c r="F239" t="s">
        <v>34</v>
      </c>
      <c r="G239" s="21">
        <v>1</v>
      </c>
      <c r="H239" s="21">
        <v>0</v>
      </c>
      <c r="J239" s="20" t="s">
        <v>2168</v>
      </c>
      <c r="K239" t="s">
        <v>2656</v>
      </c>
    </row>
    <row r="240" spans="2:11" x14ac:dyDescent="0.2">
      <c r="B240" s="21">
        <f t="shared" si="3"/>
        <v>1881</v>
      </c>
      <c r="C240" t="s">
        <v>1064</v>
      </c>
      <c r="D240" t="s">
        <v>13</v>
      </c>
      <c r="E240" t="s">
        <v>2751</v>
      </c>
      <c r="F240" t="s">
        <v>27</v>
      </c>
      <c r="G240" s="21">
        <v>1</v>
      </c>
      <c r="H240" s="21">
        <v>0</v>
      </c>
      <c r="J240" s="20" t="s">
        <v>2168</v>
      </c>
      <c r="K240" t="s">
        <v>2656</v>
      </c>
    </row>
    <row r="241" spans="2:11" x14ac:dyDescent="0.2">
      <c r="B241" s="21">
        <f t="shared" si="3"/>
        <v>1880</v>
      </c>
      <c r="C241" t="s">
        <v>1064</v>
      </c>
      <c r="D241" t="s">
        <v>13</v>
      </c>
      <c r="E241" t="s">
        <v>2751</v>
      </c>
      <c r="F241" t="s">
        <v>43</v>
      </c>
      <c r="G241" s="21">
        <v>1</v>
      </c>
      <c r="H241" s="21">
        <v>0</v>
      </c>
      <c r="J241" s="20" t="s">
        <v>2168</v>
      </c>
      <c r="K241" t="s">
        <v>2656</v>
      </c>
    </row>
    <row r="242" spans="2:11" x14ac:dyDescent="0.2">
      <c r="B242" s="21">
        <f t="shared" si="3"/>
        <v>1879</v>
      </c>
      <c r="C242" t="s">
        <v>235</v>
      </c>
      <c r="D242" t="s">
        <v>13</v>
      </c>
      <c r="E242" t="s">
        <v>2751</v>
      </c>
      <c r="F242" t="s">
        <v>34</v>
      </c>
      <c r="G242" s="21">
        <v>1</v>
      </c>
      <c r="H242" s="21">
        <v>0</v>
      </c>
      <c r="J242" s="20" t="s">
        <v>2169</v>
      </c>
      <c r="K242" t="s">
        <v>2168</v>
      </c>
    </row>
    <row r="243" spans="2:11" x14ac:dyDescent="0.2">
      <c r="B243" s="21">
        <f t="shared" si="3"/>
        <v>1878</v>
      </c>
      <c r="C243" t="s">
        <v>1064</v>
      </c>
      <c r="D243" t="s">
        <v>13</v>
      </c>
      <c r="E243" t="s">
        <v>2751</v>
      </c>
      <c r="F243" t="s">
        <v>27</v>
      </c>
      <c r="G243" s="21">
        <v>1</v>
      </c>
      <c r="H243" s="21">
        <v>0</v>
      </c>
      <c r="I243" t="s">
        <v>1463</v>
      </c>
      <c r="J243" s="20" t="s">
        <v>2169</v>
      </c>
      <c r="K243" t="s">
        <v>2168</v>
      </c>
    </row>
    <row r="244" spans="2:11" x14ac:dyDescent="0.2">
      <c r="B244" s="21">
        <f t="shared" si="3"/>
        <v>1877</v>
      </c>
      <c r="C244" t="s">
        <v>1397</v>
      </c>
      <c r="D244" t="s">
        <v>13</v>
      </c>
      <c r="E244" t="s">
        <v>2751</v>
      </c>
      <c r="F244" t="s">
        <v>49</v>
      </c>
      <c r="G244" s="21">
        <v>1</v>
      </c>
      <c r="H244" s="21">
        <v>0</v>
      </c>
      <c r="I244" t="s">
        <v>1464</v>
      </c>
      <c r="J244" s="20" t="s">
        <v>2169</v>
      </c>
      <c r="K244" t="s">
        <v>2169</v>
      </c>
    </row>
    <row r="245" spans="2:11" x14ac:dyDescent="0.2">
      <c r="B245" s="21">
        <f t="shared" si="3"/>
        <v>1876</v>
      </c>
      <c r="C245" t="s">
        <v>1415</v>
      </c>
      <c r="D245" t="s">
        <v>14</v>
      </c>
      <c r="E245" t="s">
        <v>2751</v>
      </c>
      <c r="F245" t="s">
        <v>49</v>
      </c>
      <c r="G245" s="21">
        <v>1</v>
      </c>
      <c r="H245" s="21">
        <v>0</v>
      </c>
      <c r="I245" t="s">
        <v>1462</v>
      </c>
      <c r="J245" s="20" t="s">
        <v>2169</v>
      </c>
      <c r="K245" t="s">
        <v>2169</v>
      </c>
    </row>
    <row r="246" spans="2:11" x14ac:dyDescent="0.2">
      <c r="B246" s="21">
        <f t="shared" si="3"/>
        <v>1875</v>
      </c>
      <c r="C246" t="s">
        <v>38</v>
      </c>
      <c r="D246" t="s">
        <v>13</v>
      </c>
      <c r="E246" t="s">
        <v>2751</v>
      </c>
      <c r="F246" t="s">
        <v>43</v>
      </c>
      <c r="G246" s="21">
        <v>1</v>
      </c>
      <c r="H246" s="21">
        <v>0</v>
      </c>
      <c r="J246" s="20" t="s">
        <v>2169</v>
      </c>
      <c r="K246" t="s">
        <v>2168</v>
      </c>
    </row>
    <row r="247" spans="2:11" x14ac:dyDescent="0.2">
      <c r="B247" s="21">
        <f t="shared" si="3"/>
        <v>1874</v>
      </c>
      <c r="C247" t="s">
        <v>235</v>
      </c>
      <c r="D247" t="s">
        <v>13</v>
      </c>
      <c r="E247" t="s">
        <v>2751</v>
      </c>
      <c r="F247" t="s">
        <v>34</v>
      </c>
      <c r="G247" s="21">
        <v>1</v>
      </c>
      <c r="H247" s="21">
        <v>0</v>
      </c>
      <c r="J247" s="20" t="s">
        <v>2170</v>
      </c>
      <c r="K247" t="s">
        <v>2169</v>
      </c>
    </row>
    <row r="248" spans="2:11" x14ac:dyDescent="0.2">
      <c r="B248" s="21">
        <f t="shared" si="3"/>
        <v>1873</v>
      </c>
      <c r="C248" t="s">
        <v>1064</v>
      </c>
      <c r="D248" t="s">
        <v>13</v>
      </c>
      <c r="E248" t="s">
        <v>2751</v>
      </c>
      <c r="F248" t="s">
        <v>43</v>
      </c>
      <c r="G248" s="21">
        <v>1</v>
      </c>
      <c r="H248" s="21">
        <v>0</v>
      </c>
      <c r="J248" s="20" t="s">
        <v>2170</v>
      </c>
      <c r="K248" t="s">
        <v>2169</v>
      </c>
    </row>
    <row r="249" spans="2:11" x14ac:dyDescent="0.2">
      <c r="B249" s="21">
        <f t="shared" si="3"/>
        <v>1872</v>
      </c>
      <c r="C249" t="s">
        <v>1397</v>
      </c>
      <c r="D249" t="s">
        <v>13</v>
      </c>
      <c r="E249" t="s">
        <v>2751</v>
      </c>
      <c r="F249" t="s">
        <v>27</v>
      </c>
      <c r="G249" s="21">
        <v>1</v>
      </c>
      <c r="H249" s="21">
        <v>0</v>
      </c>
      <c r="I249" t="s">
        <v>1461</v>
      </c>
      <c r="J249" s="20" t="s">
        <v>2170</v>
      </c>
      <c r="K249" t="s">
        <v>2169</v>
      </c>
    </row>
    <row r="250" spans="2:11" x14ac:dyDescent="0.2">
      <c r="B250" s="21">
        <f t="shared" si="3"/>
        <v>1871</v>
      </c>
      <c r="C250" t="s">
        <v>235</v>
      </c>
      <c r="D250" t="s">
        <v>13</v>
      </c>
      <c r="E250" t="s">
        <v>2751</v>
      </c>
      <c r="F250" t="s">
        <v>34</v>
      </c>
      <c r="G250" s="21">
        <v>1</v>
      </c>
      <c r="H250" s="21">
        <v>0</v>
      </c>
      <c r="J250" s="20" t="s">
        <v>2171</v>
      </c>
      <c r="K250" t="s">
        <v>2170</v>
      </c>
    </row>
    <row r="251" spans="2:11" x14ac:dyDescent="0.2">
      <c r="B251" s="21">
        <f t="shared" si="3"/>
        <v>1870</v>
      </c>
      <c r="C251" t="s">
        <v>1064</v>
      </c>
      <c r="D251" t="s">
        <v>13</v>
      </c>
      <c r="E251" t="s">
        <v>2751</v>
      </c>
      <c r="F251" t="s">
        <v>43</v>
      </c>
      <c r="G251" s="21">
        <v>1</v>
      </c>
      <c r="H251" s="21">
        <v>0</v>
      </c>
      <c r="J251" s="20" t="s">
        <v>2171</v>
      </c>
      <c r="K251" t="s">
        <v>2170</v>
      </c>
    </row>
    <row r="252" spans="2:11" x14ac:dyDescent="0.2">
      <c r="B252" s="21">
        <f t="shared" si="3"/>
        <v>1869</v>
      </c>
      <c r="C252" t="s">
        <v>1397</v>
      </c>
      <c r="D252" t="s">
        <v>13</v>
      </c>
      <c r="E252" t="s">
        <v>2751</v>
      </c>
      <c r="F252" t="s">
        <v>27</v>
      </c>
      <c r="G252" s="21">
        <v>1</v>
      </c>
      <c r="H252" s="21">
        <v>0</v>
      </c>
      <c r="I252" t="s">
        <v>1461</v>
      </c>
      <c r="J252" s="20" t="s">
        <v>2171</v>
      </c>
      <c r="K252" t="s">
        <v>2170</v>
      </c>
    </row>
    <row r="253" spans="2:11" x14ac:dyDescent="0.2">
      <c r="B253" s="21">
        <f t="shared" si="3"/>
        <v>1868</v>
      </c>
      <c r="C253" t="s">
        <v>235</v>
      </c>
      <c r="D253" t="s">
        <v>13</v>
      </c>
      <c r="E253" t="s">
        <v>2751</v>
      </c>
      <c r="F253" t="s">
        <v>34</v>
      </c>
      <c r="G253" s="21">
        <v>1</v>
      </c>
      <c r="H253" s="21">
        <v>0</v>
      </c>
      <c r="I253" t="s">
        <v>1457</v>
      </c>
      <c r="J253" s="20" t="s">
        <v>2172</v>
      </c>
      <c r="K253" t="s">
        <v>2171</v>
      </c>
    </row>
    <row r="254" spans="2:11" x14ac:dyDescent="0.2">
      <c r="B254" s="21">
        <f t="shared" si="3"/>
        <v>1867</v>
      </c>
      <c r="C254" t="s">
        <v>1064</v>
      </c>
      <c r="D254" t="s">
        <v>13</v>
      </c>
      <c r="E254" t="s">
        <v>2751</v>
      </c>
      <c r="F254" t="s">
        <v>34</v>
      </c>
      <c r="G254" s="21">
        <v>1</v>
      </c>
      <c r="H254" s="21">
        <v>0</v>
      </c>
      <c r="I254" t="s">
        <v>1459</v>
      </c>
      <c r="J254" s="20" t="s">
        <v>2172</v>
      </c>
      <c r="K254" t="s">
        <v>2172</v>
      </c>
    </row>
    <row r="255" spans="2:11" x14ac:dyDescent="0.2">
      <c r="B255" s="21">
        <f t="shared" si="3"/>
        <v>1866</v>
      </c>
      <c r="C255" t="s">
        <v>38</v>
      </c>
      <c r="D255" t="s">
        <v>13</v>
      </c>
      <c r="E255" t="s">
        <v>2751</v>
      </c>
      <c r="F255" t="s">
        <v>43</v>
      </c>
      <c r="G255" s="21">
        <v>1</v>
      </c>
      <c r="H255" s="21">
        <v>0</v>
      </c>
      <c r="I255" t="s">
        <v>1460</v>
      </c>
      <c r="J255" s="20" t="s">
        <v>2172</v>
      </c>
      <c r="K255" t="s">
        <v>2172</v>
      </c>
    </row>
    <row r="256" spans="2:11" x14ac:dyDescent="0.2">
      <c r="B256" s="21">
        <f t="shared" si="3"/>
        <v>1865</v>
      </c>
      <c r="C256" t="s">
        <v>235</v>
      </c>
      <c r="D256" t="s">
        <v>13</v>
      </c>
      <c r="E256" t="s">
        <v>2751</v>
      </c>
      <c r="F256" t="s">
        <v>34</v>
      </c>
      <c r="G256" s="21">
        <v>1</v>
      </c>
      <c r="H256" s="21">
        <v>0</v>
      </c>
      <c r="I256" t="s">
        <v>1456</v>
      </c>
      <c r="J256" s="20" t="s">
        <v>2173</v>
      </c>
      <c r="K256" t="s">
        <v>2172</v>
      </c>
    </row>
    <row r="257" spans="2:11" x14ac:dyDescent="0.2">
      <c r="B257" s="21">
        <f t="shared" si="3"/>
        <v>1864</v>
      </c>
      <c r="C257" t="s">
        <v>1064</v>
      </c>
      <c r="D257" t="s">
        <v>13</v>
      </c>
      <c r="E257" t="s">
        <v>2751</v>
      </c>
      <c r="F257" t="s">
        <v>34</v>
      </c>
      <c r="G257" s="21">
        <v>1</v>
      </c>
      <c r="H257" s="21">
        <v>0</v>
      </c>
      <c r="I257" t="s">
        <v>1455</v>
      </c>
      <c r="J257" s="20" t="s">
        <v>2173</v>
      </c>
      <c r="K257" t="s">
        <v>2172</v>
      </c>
    </row>
    <row r="258" spans="2:11" x14ac:dyDescent="0.2">
      <c r="B258" s="21">
        <f t="shared" si="3"/>
        <v>1863</v>
      </c>
      <c r="C258" t="s">
        <v>38</v>
      </c>
      <c r="D258" t="s">
        <v>13</v>
      </c>
      <c r="E258" t="s">
        <v>2751</v>
      </c>
      <c r="F258" t="s">
        <v>43</v>
      </c>
      <c r="G258" s="21">
        <v>1</v>
      </c>
      <c r="H258" s="21">
        <v>0</v>
      </c>
      <c r="J258" s="20" t="s">
        <v>2173</v>
      </c>
      <c r="K258" t="s">
        <v>2172</v>
      </c>
    </row>
    <row r="259" spans="2:11" x14ac:dyDescent="0.2">
      <c r="B259" s="21">
        <f t="shared" si="3"/>
        <v>1862</v>
      </c>
      <c r="C259" t="s">
        <v>235</v>
      </c>
      <c r="D259" t="s">
        <v>13</v>
      </c>
      <c r="E259" t="s">
        <v>2751</v>
      </c>
      <c r="F259" t="s">
        <v>34</v>
      </c>
      <c r="G259" s="21">
        <v>1</v>
      </c>
      <c r="H259" s="21">
        <v>0</v>
      </c>
      <c r="I259" t="s">
        <v>1456</v>
      </c>
      <c r="J259" s="20" t="s">
        <v>2174</v>
      </c>
      <c r="K259" t="s">
        <v>2657</v>
      </c>
    </row>
    <row r="260" spans="2:11" x14ac:dyDescent="0.2">
      <c r="B260" s="21">
        <f t="shared" si="3"/>
        <v>1861</v>
      </c>
      <c r="C260" t="s">
        <v>1064</v>
      </c>
      <c r="D260" t="s">
        <v>13</v>
      </c>
      <c r="E260" t="s">
        <v>2751</v>
      </c>
      <c r="F260" t="s">
        <v>34</v>
      </c>
      <c r="G260" s="21">
        <v>1</v>
      </c>
      <c r="H260" s="21">
        <v>0</v>
      </c>
      <c r="I260" t="s">
        <v>1455</v>
      </c>
      <c r="J260" s="20" t="s">
        <v>2174</v>
      </c>
      <c r="K260" t="s">
        <v>2657</v>
      </c>
    </row>
    <row r="261" spans="2:11" x14ac:dyDescent="0.2">
      <c r="B261" s="21">
        <f t="shared" ref="B261:B324" si="4">B260-1</f>
        <v>1860</v>
      </c>
      <c r="C261" t="s">
        <v>235</v>
      </c>
      <c r="D261" t="s">
        <v>13</v>
      </c>
      <c r="E261" t="s">
        <v>2751</v>
      </c>
      <c r="F261" t="s">
        <v>34</v>
      </c>
      <c r="G261" s="21">
        <v>1</v>
      </c>
      <c r="H261" s="21">
        <v>0</v>
      </c>
      <c r="I261" t="s">
        <v>1458</v>
      </c>
      <c r="J261" s="20" t="s">
        <v>2174</v>
      </c>
      <c r="K261" t="s">
        <v>2657</v>
      </c>
    </row>
    <row r="262" spans="2:11" x14ac:dyDescent="0.2">
      <c r="B262" s="21">
        <f t="shared" si="4"/>
        <v>1859</v>
      </c>
      <c r="C262" t="s">
        <v>38</v>
      </c>
      <c r="D262" t="s">
        <v>13</v>
      </c>
      <c r="E262" t="s">
        <v>2751</v>
      </c>
      <c r="F262" t="s">
        <v>43</v>
      </c>
      <c r="G262" s="21">
        <v>1</v>
      </c>
      <c r="H262" s="21">
        <v>0</v>
      </c>
      <c r="J262" s="20" t="s">
        <v>2174</v>
      </c>
      <c r="K262" t="s">
        <v>2657</v>
      </c>
    </row>
    <row r="263" spans="2:11" x14ac:dyDescent="0.2">
      <c r="B263" s="21">
        <f t="shared" si="4"/>
        <v>1858</v>
      </c>
      <c r="C263" t="s">
        <v>235</v>
      </c>
      <c r="D263" t="s">
        <v>13</v>
      </c>
      <c r="E263" t="s">
        <v>2751</v>
      </c>
      <c r="F263" t="s">
        <v>34</v>
      </c>
      <c r="G263" s="21">
        <v>1</v>
      </c>
      <c r="H263" s="21">
        <v>0</v>
      </c>
      <c r="J263" s="20" t="s">
        <v>2175</v>
      </c>
      <c r="K263" t="s">
        <v>2174</v>
      </c>
    </row>
    <row r="264" spans="2:11" x14ac:dyDescent="0.2">
      <c r="B264" s="21">
        <f t="shared" si="4"/>
        <v>1857</v>
      </c>
      <c r="C264" t="s">
        <v>1064</v>
      </c>
      <c r="D264" t="s">
        <v>13</v>
      </c>
      <c r="E264" t="s">
        <v>2751</v>
      </c>
      <c r="F264" t="s">
        <v>34</v>
      </c>
      <c r="G264" s="21">
        <v>1</v>
      </c>
      <c r="H264" s="21">
        <v>0</v>
      </c>
      <c r="J264" s="20" t="s">
        <v>2175</v>
      </c>
      <c r="K264" t="s">
        <v>2174</v>
      </c>
    </row>
    <row r="265" spans="2:11" x14ac:dyDescent="0.2">
      <c r="B265" s="21">
        <f t="shared" si="4"/>
        <v>1856</v>
      </c>
      <c r="C265" t="s">
        <v>1415</v>
      </c>
      <c r="D265" t="s">
        <v>14</v>
      </c>
      <c r="E265" t="s">
        <v>2751</v>
      </c>
      <c r="F265" t="s">
        <v>27</v>
      </c>
      <c r="G265" s="21">
        <v>1</v>
      </c>
      <c r="H265" s="21">
        <v>0</v>
      </c>
      <c r="I265" t="s">
        <v>1454</v>
      </c>
      <c r="J265" s="20" t="s">
        <v>2175</v>
      </c>
      <c r="K265" t="s">
        <v>2175</v>
      </c>
    </row>
    <row r="266" spans="2:11" x14ac:dyDescent="0.2">
      <c r="B266" s="21">
        <f t="shared" si="4"/>
        <v>1855</v>
      </c>
      <c r="C266" t="s">
        <v>235</v>
      </c>
      <c r="D266" t="s">
        <v>13</v>
      </c>
      <c r="E266" t="s">
        <v>2751</v>
      </c>
      <c r="F266" t="s">
        <v>34</v>
      </c>
      <c r="G266" s="21">
        <v>1</v>
      </c>
      <c r="H266" s="21">
        <v>0</v>
      </c>
      <c r="J266" s="20" t="s">
        <v>2176</v>
      </c>
      <c r="K266" t="s">
        <v>2175</v>
      </c>
    </row>
    <row r="267" spans="2:11" x14ac:dyDescent="0.2">
      <c r="B267" s="21">
        <f t="shared" si="4"/>
        <v>1854</v>
      </c>
      <c r="C267" t="s">
        <v>1064</v>
      </c>
      <c r="D267" t="s">
        <v>13</v>
      </c>
      <c r="E267" t="s">
        <v>2751</v>
      </c>
      <c r="F267" t="s">
        <v>34</v>
      </c>
      <c r="G267" s="21">
        <v>1</v>
      </c>
      <c r="H267" s="21">
        <v>0</v>
      </c>
      <c r="J267" s="20" t="s">
        <v>2176</v>
      </c>
      <c r="K267" t="s">
        <v>2175</v>
      </c>
    </row>
    <row r="268" spans="2:11" x14ac:dyDescent="0.2">
      <c r="B268" s="21">
        <f t="shared" si="4"/>
        <v>1853</v>
      </c>
      <c r="C268" t="s">
        <v>1415</v>
      </c>
      <c r="D268" t="s">
        <v>14</v>
      </c>
      <c r="E268" t="s">
        <v>2751</v>
      </c>
      <c r="F268" t="s">
        <v>27</v>
      </c>
      <c r="G268" s="21">
        <v>1</v>
      </c>
      <c r="H268" s="21">
        <v>0</v>
      </c>
      <c r="J268" s="20" t="s">
        <v>2176</v>
      </c>
      <c r="K268" t="s">
        <v>2175</v>
      </c>
    </row>
    <row r="269" spans="2:11" x14ac:dyDescent="0.2">
      <c r="B269" s="21">
        <f t="shared" si="4"/>
        <v>1852</v>
      </c>
      <c r="C269" t="s">
        <v>235</v>
      </c>
      <c r="D269" t="s">
        <v>13</v>
      </c>
      <c r="E269" t="s">
        <v>2751</v>
      </c>
      <c r="F269" t="s">
        <v>34</v>
      </c>
      <c r="G269" s="21">
        <v>1</v>
      </c>
      <c r="H269" s="21">
        <v>0</v>
      </c>
      <c r="I269" t="s">
        <v>1449</v>
      </c>
      <c r="J269" s="20" t="s">
        <v>2177</v>
      </c>
      <c r="K269" t="s">
        <v>2176</v>
      </c>
    </row>
    <row r="270" spans="2:11" x14ac:dyDescent="0.2">
      <c r="B270" s="21">
        <f t="shared" si="4"/>
        <v>1851</v>
      </c>
      <c r="C270" t="s">
        <v>235</v>
      </c>
      <c r="D270" t="s">
        <v>13</v>
      </c>
      <c r="E270" t="s">
        <v>2751</v>
      </c>
      <c r="F270" t="s">
        <v>34</v>
      </c>
      <c r="G270" s="21">
        <v>1</v>
      </c>
      <c r="H270" s="21">
        <v>0</v>
      </c>
      <c r="I270" t="s">
        <v>1448</v>
      </c>
      <c r="J270" s="20" t="s">
        <v>2177</v>
      </c>
      <c r="K270" t="s">
        <v>2177</v>
      </c>
    </row>
    <row r="271" spans="2:11" x14ac:dyDescent="0.2">
      <c r="B271" s="21">
        <f t="shared" si="4"/>
        <v>1850</v>
      </c>
      <c r="C271" t="s">
        <v>1064</v>
      </c>
      <c r="D271" t="s">
        <v>13</v>
      </c>
      <c r="E271" t="s">
        <v>2751</v>
      </c>
      <c r="F271" t="s">
        <v>34</v>
      </c>
      <c r="G271" s="21">
        <v>1</v>
      </c>
      <c r="H271" s="21">
        <v>0</v>
      </c>
      <c r="I271" t="s">
        <v>1452</v>
      </c>
      <c r="J271" s="20" t="s">
        <v>2177</v>
      </c>
      <c r="K271" t="s">
        <v>2176</v>
      </c>
    </row>
    <row r="272" spans="2:11" x14ac:dyDescent="0.2">
      <c r="B272" s="21">
        <f t="shared" si="4"/>
        <v>1849</v>
      </c>
      <c r="C272" t="s">
        <v>1423</v>
      </c>
      <c r="D272" t="s">
        <v>13</v>
      </c>
      <c r="E272" t="s">
        <v>2751</v>
      </c>
      <c r="F272" t="s">
        <v>27</v>
      </c>
      <c r="G272" s="21">
        <v>1</v>
      </c>
      <c r="H272" s="21">
        <v>0</v>
      </c>
      <c r="I272" t="s">
        <v>1453</v>
      </c>
      <c r="J272" s="20" t="s">
        <v>2177</v>
      </c>
      <c r="K272" t="s">
        <v>2177</v>
      </c>
    </row>
    <row r="273" spans="2:11" x14ac:dyDescent="0.2">
      <c r="B273" s="21">
        <f t="shared" si="4"/>
        <v>1848</v>
      </c>
      <c r="C273" t="s">
        <v>1415</v>
      </c>
      <c r="D273" t="s">
        <v>14</v>
      </c>
      <c r="E273" t="s">
        <v>2751</v>
      </c>
      <c r="F273" t="s">
        <v>27</v>
      </c>
      <c r="G273" s="21">
        <v>1</v>
      </c>
      <c r="H273" s="21">
        <v>0</v>
      </c>
      <c r="I273" t="s">
        <v>1451</v>
      </c>
      <c r="J273" s="20" t="s">
        <v>2177</v>
      </c>
      <c r="K273" t="s">
        <v>2176</v>
      </c>
    </row>
    <row r="274" spans="2:11" x14ac:dyDescent="0.2">
      <c r="B274" s="21">
        <f t="shared" si="4"/>
        <v>1847</v>
      </c>
      <c r="C274" t="s">
        <v>235</v>
      </c>
      <c r="D274" t="s">
        <v>13</v>
      </c>
      <c r="E274" t="s">
        <v>2751</v>
      </c>
      <c r="F274" t="s">
        <v>34</v>
      </c>
      <c r="G274" s="21">
        <v>1</v>
      </c>
      <c r="H274" s="21">
        <v>0</v>
      </c>
      <c r="I274" t="s">
        <v>1444</v>
      </c>
      <c r="J274" s="20" t="s">
        <v>2178</v>
      </c>
      <c r="K274" t="s">
        <v>2177</v>
      </c>
    </row>
    <row r="275" spans="2:11" x14ac:dyDescent="0.2">
      <c r="B275" s="21">
        <f t="shared" si="4"/>
        <v>1846</v>
      </c>
      <c r="C275" t="s">
        <v>235</v>
      </c>
      <c r="D275" t="s">
        <v>13</v>
      </c>
      <c r="E275" t="s">
        <v>2751</v>
      </c>
      <c r="F275" t="s">
        <v>34</v>
      </c>
      <c r="G275" s="21">
        <v>1</v>
      </c>
      <c r="H275" s="21">
        <v>0</v>
      </c>
      <c r="I275" t="s">
        <v>1437</v>
      </c>
      <c r="J275" s="20" t="s">
        <v>2178</v>
      </c>
      <c r="K275" t="s">
        <v>2177</v>
      </c>
    </row>
    <row r="276" spans="2:11" x14ac:dyDescent="0.2">
      <c r="B276" s="21">
        <f t="shared" si="4"/>
        <v>1845</v>
      </c>
      <c r="C276" t="s">
        <v>1423</v>
      </c>
      <c r="D276" t="s">
        <v>13</v>
      </c>
      <c r="E276" t="s">
        <v>2751</v>
      </c>
      <c r="F276" t="s">
        <v>27</v>
      </c>
      <c r="G276" s="21">
        <v>1</v>
      </c>
      <c r="H276" s="21">
        <v>0</v>
      </c>
      <c r="I276" t="s">
        <v>1447</v>
      </c>
      <c r="J276" s="20" t="s">
        <v>2178</v>
      </c>
      <c r="K276" t="s">
        <v>2178</v>
      </c>
    </row>
    <row r="277" spans="2:11" x14ac:dyDescent="0.2">
      <c r="B277" s="21">
        <f t="shared" si="4"/>
        <v>1844</v>
      </c>
      <c r="C277" t="s">
        <v>1064</v>
      </c>
      <c r="D277" t="s">
        <v>13</v>
      </c>
      <c r="E277" t="s">
        <v>2751</v>
      </c>
      <c r="F277" t="s">
        <v>49</v>
      </c>
      <c r="G277" s="21">
        <v>1</v>
      </c>
      <c r="H277" s="21">
        <v>0</v>
      </c>
      <c r="I277" t="s">
        <v>1446</v>
      </c>
      <c r="J277" s="20" t="s">
        <v>2178</v>
      </c>
      <c r="K277" t="s">
        <v>2178</v>
      </c>
    </row>
    <row r="278" spans="2:11" x14ac:dyDescent="0.2">
      <c r="B278" s="21">
        <f t="shared" si="4"/>
        <v>1843</v>
      </c>
      <c r="C278" t="s">
        <v>1064</v>
      </c>
      <c r="D278" t="s">
        <v>13</v>
      </c>
      <c r="E278" t="s">
        <v>2751</v>
      </c>
      <c r="F278" t="s">
        <v>34</v>
      </c>
      <c r="G278" s="21">
        <v>1</v>
      </c>
      <c r="H278" s="21">
        <v>0</v>
      </c>
      <c r="J278" s="20" t="s">
        <v>2178</v>
      </c>
      <c r="K278" t="s">
        <v>2177</v>
      </c>
    </row>
    <row r="279" spans="2:11" x14ac:dyDescent="0.2">
      <c r="B279" s="21">
        <f t="shared" si="4"/>
        <v>1842</v>
      </c>
      <c r="C279" t="s">
        <v>235</v>
      </c>
      <c r="D279" t="s">
        <v>13</v>
      </c>
      <c r="E279" t="s">
        <v>2751</v>
      </c>
      <c r="F279" t="s">
        <v>34</v>
      </c>
      <c r="G279" s="21">
        <v>1</v>
      </c>
      <c r="H279" s="21">
        <v>0</v>
      </c>
      <c r="I279" t="s">
        <v>1444</v>
      </c>
      <c r="J279" s="20" t="s">
        <v>2179</v>
      </c>
      <c r="K279" t="s">
        <v>2178</v>
      </c>
    </row>
    <row r="280" spans="2:11" x14ac:dyDescent="0.2">
      <c r="B280" s="21">
        <f t="shared" si="4"/>
        <v>1841</v>
      </c>
      <c r="C280" t="s">
        <v>235</v>
      </c>
      <c r="D280" t="s">
        <v>13</v>
      </c>
      <c r="E280" t="s">
        <v>2751</v>
      </c>
      <c r="F280" t="s">
        <v>34</v>
      </c>
      <c r="G280" s="21">
        <v>1</v>
      </c>
      <c r="H280" s="21">
        <v>0</v>
      </c>
      <c r="I280" t="s">
        <v>1437</v>
      </c>
      <c r="J280" s="20" t="s">
        <v>2179</v>
      </c>
      <c r="K280" t="s">
        <v>2178</v>
      </c>
    </row>
    <row r="281" spans="2:11" x14ac:dyDescent="0.2">
      <c r="B281" s="21">
        <f t="shared" si="4"/>
        <v>1840</v>
      </c>
      <c r="C281" t="s">
        <v>1423</v>
      </c>
      <c r="D281" t="s">
        <v>13</v>
      </c>
      <c r="E281" t="s">
        <v>2751</v>
      </c>
      <c r="F281" t="s">
        <v>27</v>
      </c>
      <c r="G281" s="21">
        <v>1</v>
      </c>
      <c r="H281" s="21">
        <v>0</v>
      </c>
      <c r="I281" t="s">
        <v>1445</v>
      </c>
      <c r="J281" s="20" t="s">
        <v>2179</v>
      </c>
      <c r="K281" t="s">
        <v>2178</v>
      </c>
    </row>
    <row r="282" spans="2:11" x14ac:dyDescent="0.2">
      <c r="B282" s="21">
        <f t="shared" si="4"/>
        <v>1839</v>
      </c>
      <c r="C282" t="s">
        <v>701</v>
      </c>
      <c r="D282" t="s">
        <v>13</v>
      </c>
      <c r="E282" t="s">
        <v>2751</v>
      </c>
      <c r="F282" t="s">
        <v>34</v>
      </c>
      <c r="G282" s="21">
        <v>1</v>
      </c>
      <c r="H282" s="21">
        <v>0</v>
      </c>
      <c r="I282" t="s">
        <v>1450</v>
      </c>
      <c r="J282" s="20" t="s">
        <v>2179</v>
      </c>
      <c r="K282" t="s">
        <v>2178</v>
      </c>
    </row>
    <row r="283" spans="2:11" x14ac:dyDescent="0.2">
      <c r="B283" s="21">
        <f t="shared" si="4"/>
        <v>1838</v>
      </c>
      <c r="C283" t="s">
        <v>235</v>
      </c>
      <c r="D283" t="s">
        <v>13</v>
      </c>
      <c r="E283" t="s">
        <v>2751</v>
      </c>
      <c r="F283" t="s">
        <v>34</v>
      </c>
      <c r="G283" s="21">
        <v>1</v>
      </c>
      <c r="H283" s="21">
        <v>0</v>
      </c>
      <c r="J283" s="20" t="s">
        <v>2180</v>
      </c>
      <c r="K283" t="s">
        <v>2658</v>
      </c>
    </row>
    <row r="284" spans="2:11" x14ac:dyDescent="0.2">
      <c r="B284" s="21">
        <f t="shared" si="4"/>
        <v>1837</v>
      </c>
      <c r="C284" t="s">
        <v>235</v>
      </c>
      <c r="D284" t="s">
        <v>13</v>
      </c>
      <c r="E284" t="s">
        <v>2751</v>
      </c>
      <c r="F284" t="s">
        <v>34</v>
      </c>
      <c r="G284" s="21">
        <v>1</v>
      </c>
      <c r="H284" s="21">
        <v>0</v>
      </c>
      <c r="I284" t="s">
        <v>1437</v>
      </c>
      <c r="J284" s="20" t="s">
        <v>2180</v>
      </c>
      <c r="K284" t="s">
        <v>2658</v>
      </c>
    </row>
    <row r="285" spans="2:11" x14ac:dyDescent="0.2">
      <c r="B285" s="21">
        <f t="shared" si="4"/>
        <v>1836</v>
      </c>
      <c r="C285" t="s">
        <v>1423</v>
      </c>
      <c r="D285" t="s">
        <v>13</v>
      </c>
      <c r="E285" t="s">
        <v>2751</v>
      </c>
      <c r="F285" t="s">
        <v>27</v>
      </c>
      <c r="G285" s="21">
        <v>1</v>
      </c>
      <c r="H285" s="21">
        <v>0</v>
      </c>
      <c r="I285" t="s">
        <v>1439</v>
      </c>
      <c r="J285" s="20" t="s">
        <v>2180</v>
      </c>
      <c r="K285" t="s">
        <v>2658</v>
      </c>
    </row>
    <row r="286" spans="2:11" x14ac:dyDescent="0.2">
      <c r="B286" s="21">
        <f t="shared" si="4"/>
        <v>1835</v>
      </c>
      <c r="C286" t="s">
        <v>1415</v>
      </c>
      <c r="D286" t="s">
        <v>14</v>
      </c>
      <c r="E286" t="s">
        <v>2751</v>
      </c>
      <c r="F286" t="s">
        <v>27</v>
      </c>
      <c r="G286" s="21">
        <v>1</v>
      </c>
      <c r="H286" s="21">
        <v>0</v>
      </c>
      <c r="J286" s="20" t="s">
        <v>2180</v>
      </c>
      <c r="K286" t="s">
        <v>2658</v>
      </c>
    </row>
    <row r="287" spans="2:11" x14ac:dyDescent="0.2">
      <c r="B287" s="21">
        <f t="shared" si="4"/>
        <v>1834</v>
      </c>
      <c r="C287" t="s">
        <v>701</v>
      </c>
      <c r="D287" t="s">
        <v>13</v>
      </c>
      <c r="E287" t="s">
        <v>2751</v>
      </c>
      <c r="F287" t="s">
        <v>34</v>
      </c>
      <c r="G287" s="21">
        <v>1</v>
      </c>
      <c r="H287" s="21">
        <v>0</v>
      </c>
      <c r="I287" t="s">
        <v>1440</v>
      </c>
      <c r="J287" s="20" t="s">
        <v>2180</v>
      </c>
      <c r="K287" t="s">
        <v>2658</v>
      </c>
    </row>
    <row r="288" spans="2:11" x14ac:dyDescent="0.2">
      <c r="B288" s="21">
        <f t="shared" si="4"/>
        <v>1833</v>
      </c>
      <c r="C288" t="s">
        <v>1064</v>
      </c>
      <c r="D288" t="s">
        <v>13</v>
      </c>
      <c r="E288" t="s">
        <v>2751</v>
      </c>
      <c r="F288" t="s">
        <v>27</v>
      </c>
      <c r="G288" s="21">
        <v>1</v>
      </c>
      <c r="H288" s="21">
        <v>0</v>
      </c>
      <c r="I288" t="s">
        <v>1443</v>
      </c>
      <c r="J288" s="20" t="s">
        <v>2180</v>
      </c>
      <c r="K288" t="s">
        <v>2180</v>
      </c>
    </row>
    <row r="289" spans="2:11" x14ac:dyDescent="0.2">
      <c r="B289" s="21">
        <f t="shared" si="4"/>
        <v>1832</v>
      </c>
      <c r="C289" t="s">
        <v>1397</v>
      </c>
      <c r="D289" t="s">
        <v>13</v>
      </c>
      <c r="E289" t="s">
        <v>2751</v>
      </c>
      <c r="F289" t="s">
        <v>27</v>
      </c>
      <c r="G289" s="21">
        <v>1</v>
      </c>
      <c r="H289" s="21">
        <v>0</v>
      </c>
      <c r="I289" t="s">
        <v>1442</v>
      </c>
      <c r="J289" s="20" t="s">
        <v>2180</v>
      </c>
      <c r="K289" t="s">
        <v>2180</v>
      </c>
    </row>
    <row r="290" spans="2:11" x14ac:dyDescent="0.2">
      <c r="B290" s="21">
        <f t="shared" si="4"/>
        <v>1831</v>
      </c>
      <c r="C290" t="s">
        <v>235</v>
      </c>
      <c r="D290" t="s">
        <v>13</v>
      </c>
      <c r="E290" t="s">
        <v>2751</v>
      </c>
      <c r="F290" t="s">
        <v>34</v>
      </c>
      <c r="G290" s="21">
        <v>1</v>
      </c>
      <c r="H290" s="21">
        <v>0</v>
      </c>
      <c r="J290" s="20" t="s">
        <v>2181</v>
      </c>
      <c r="K290" t="s">
        <v>2180</v>
      </c>
    </row>
    <row r="291" spans="2:11" x14ac:dyDescent="0.2">
      <c r="B291" s="21">
        <f t="shared" si="4"/>
        <v>1830</v>
      </c>
      <c r="C291" t="s">
        <v>235</v>
      </c>
      <c r="D291" t="s">
        <v>13</v>
      </c>
      <c r="E291" t="s">
        <v>2751</v>
      </c>
      <c r="F291" t="s">
        <v>34</v>
      </c>
      <c r="G291" s="21">
        <v>1</v>
      </c>
      <c r="H291" s="21">
        <v>0</v>
      </c>
      <c r="I291" t="s">
        <v>1437</v>
      </c>
      <c r="J291" s="20" t="s">
        <v>2181</v>
      </c>
      <c r="K291" t="s">
        <v>2180</v>
      </c>
    </row>
    <row r="292" spans="2:11" x14ac:dyDescent="0.2">
      <c r="B292" s="21">
        <f t="shared" si="4"/>
        <v>1829</v>
      </c>
      <c r="C292" t="s">
        <v>235</v>
      </c>
      <c r="D292" t="s">
        <v>13</v>
      </c>
      <c r="E292" t="s">
        <v>2751</v>
      </c>
      <c r="F292" t="s">
        <v>64</v>
      </c>
      <c r="G292" s="21">
        <v>1</v>
      </c>
      <c r="H292" s="21">
        <v>0</v>
      </c>
      <c r="J292" s="20" t="s">
        <v>2181</v>
      </c>
      <c r="K292" t="s">
        <v>2180</v>
      </c>
    </row>
    <row r="293" spans="2:11" x14ac:dyDescent="0.2">
      <c r="B293" s="21">
        <f t="shared" si="4"/>
        <v>1828</v>
      </c>
      <c r="C293" t="s">
        <v>1423</v>
      </c>
      <c r="D293" t="s">
        <v>13</v>
      </c>
      <c r="E293" t="s">
        <v>2751</v>
      </c>
      <c r="F293" t="s">
        <v>27</v>
      </c>
      <c r="G293" s="21">
        <v>1</v>
      </c>
      <c r="H293" s="21">
        <v>0</v>
      </c>
      <c r="J293" s="20" t="s">
        <v>2181</v>
      </c>
      <c r="K293" t="s">
        <v>2180</v>
      </c>
    </row>
    <row r="294" spans="2:11" x14ac:dyDescent="0.2">
      <c r="B294" s="21">
        <f t="shared" si="4"/>
        <v>1827</v>
      </c>
      <c r="C294" t="s">
        <v>1423</v>
      </c>
      <c r="D294" t="s">
        <v>13</v>
      </c>
      <c r="E294" t="s">
        <v>2751</v>
      </c>
      <c r="F294" t="s">
        <v>4</v>
      </c>
      <c r="G294" s="21">
        <v>1</v>
      </c>
      <c r="H294" s="21">
        <v>0</v>
      </c>
      <c r="I294" t="s">
        <v>1438</v>
      </c>
      <c r="J294" s="20" t="s">
        <v>2181</v>
      </c>
      <c r="K294" t="s">
        <v>2181</v>
      </c>
    </row>
    <row r="295" spans="2:11" x14ac:dyDescent="0.2">
      <c r="B295" s="21">
        <f t="shared" si="4"/>
        <v>1826</v>
      </c>
      <c r="C295" t="s">
        <v>1415</v>
      </c>
      <c r="D295" t="s">
        <v>14</v>
      </c>
      <c r="E295" t="s">
        <v>2751</v>
      </c>
      <c r="F295" t="s">
        <v>27</v>
      </c>
      <c r="G295" s="21">
        <v>1</v>
      </c>
      <c r="H295" s="21">
        <v>0</v>
      </c>
      <c r="J295" s="20" t="s">
        <v>2181</v>
      </c>
      <c r="K295" t="s">
        <v>2180</v>
      </c>
    </row>
    <row r="296" spans="2:11" x14ac:dyDescent="0.2">
      <c r="B296" s="21">
        <f t="shared" si="4"/>
        <v>1825</v>
      </c>
      <c r="C296" t="s">
        <v>964</v>
      </c>
      <c r="D296" t="s">
        <v>13</v>
      </c>
      <c r="E296" t="s">
        <v>2751</v>
      </c>
      <c r="F296" t="s">
        <v>27</v>
      </c>
      <c r="G296" s="21">
        <v>1</v>
      </c>
      <c r="H296" s="21">
        <v>0</v>
      </c>
      <c r="I296" t="s">
        <v>1441</v>
      </c>
      <c r="J296" s="20" t="s">
        <v>2181</v>
      </c>
      <c r="K296" t="s">
        <v>2180</v>
      </c>
    </row>
    <row r="297" spans="2:11" x14ac:dyDescent="0.2">
      <c r="B297" s="21">
        <f t="shared" si="4"/>
        <v>1824</v>
      </c>
      <c r="C297" t="s">
        <v>701</v>
      </c>
      <c r="D297" t="s">
        <v>13</v>
      </c>
      <c r="E297" t="s">
        <v>2751</v>
      </c>
      <c r="F297" t="s">
        <v>34</v>
      </c>
      <c r="G297" s="21">
        <v>1</v>
      </c>
      <c r="H297" s="21">
        <v>0</v>
      </c>
      <c r="J297" s="20" t="s">
        <v>2181</v>
      </c>
      <c r="K297" t="s">
        <v>2180</v>
      </c>
    </row>
    <row r="298" spans="2:11" x14ac:dyDescent="0.2">
      <c r="B298" s="21">
        <f t="shared" si="4"/>
        <v>1823</v>
      </c>
      <c r="C298" t="s">
        <v>235</v>
      </c>
      <c r="D298" t="s">
        <v>13</v>
      </c>
      <c r="E298" t="s">
        <v>2751</v>
      </c>
      <c r="F298" t="s">
        <v>34</v>
      </c>
      <c r="G298" s="21">
        <v>1</v>
      </c>
      <c r="H298" s="21">
        <v>0</v>
      </c>
      <c r="I298" t="s">
        <v>1434</v>
      </c>
      <c r="J298" s="20" t="s">
        <v>2182</v>
      </c>
      <c r="K298" t="s">
        <v>2181</v>
      </c>
    </row>
    <row r="299" spans="2:11" x14ac:dyDescent="0.2">
      <c r="B299" s="21">
        <f t="shared" si="4"/>
        <v>1822</v>
      </c>
      <c r="C299" t="s">
        <v>235</v>
      </c>
      <c r="D299" t="s">
        <v>13</v>
      </c>
      <c r="E299" t="s">
        <v>2751</v>
      </c>
      <c r="F299" t="s">
        <v>34</v>
      </c>
      <c r="G299" s="21">
        <v>1</v>
      </c>
      <c r="H299" s="21">
        <v>0</v>
      </c>
      <c r="I299" t="s">
        <v>1432</v>
      </c>
      <c r="J299" s="20" t="s">
        <v>2182</v>
      </c>
      <c r="K299" t="s">
        <v>2182</v>
      </c>
    </row>
    <row r="300" spans="2:11" x14ac:dyDescent="0.2">
      <c r="B300" s="21">
        <f t="shared" si="4"/>
        <v>1821</v>
      </c>
      <c r="C300" t="s">
        <v>235</v>
      </c>
      <c r="D300" t="s">
        <v>13</v>
      </c>
      <c r="E300" t="s">
        <v>2751</v>
      </c>
      <c r="F300" t="s">
        <v>42</v>
      </c>
      <c r="G300" s="21">
        <v>1</v>
      </c>
      <c r="H300" s="21">
        <v>0</v>
      </c>
      <c r="I300" t="s">
        <v>1433</v>
      </c>
      <c r="J300" s="20" t="s">
        <v>2182</v>
      </c>
      <c r="K300" t="s">
        <v>2182</v>
      </c>
    </row>
    <row r="301" spans="2:11" x14ac:dyDescent="0.2">
      <c r="B301" s="21">
        <f t="shared" si="4"/>
        <v>1820</v>
      </c>
      <c r="C301" t="s">
        <v>235</v>
      </c>
      <c r="D301" t="s">
        <v>13</v>
      </c>
      <c r="E301" t="s">
        <v>2751</v>
      </c>
      <c r="F301" t="s">
        <v>64</v>
      </c>
      <c r="G301" s="21">
        <v>1</v>
      </c>
      <c r="H301" s="21">
        <v>0</v>
      </c>
      <c r="J301" s="20" t="s">
        <v>2182</v>
      </c>
      <c r="K301" t="s">
        <v>2181</v>
      </c>
    </row>
    <row r="302" spans="2:11" x14ac:dyDescent="0.2">
      <c r="B302" s="21">
        <f t="shared" si="4"/>
        <v>1819</v>
      </c>
      <c r="C302" t="s">
        <v>1423</v>
      </c>
      <c r="D302" t="s">
        <v>13</v>
      </c>
      <c r="E302" t="s">
        <v>2751</v>
      </c>
      <c r="F302" t="s">
        <v>27</v>
      </c>
      <c r="G302" s="21">
        <v>1</v>
      </c>
      <c r="H302" s="21">
        <v>0</v>
      </c>
      <c r="I302" t="s">
        <v>1435</v>
      </c>
      <c r="J302" s="20" t="s">
        <v>2182</v>
      </c>
      <c r="K302" t="s">
        <v>2181</v>
      </c>
    </row>
    <row r="303" spans="2:11" x14ac:dyDescent="0.2">
      <c r="B303" s="21">
        <f t="shared" si="4"/>
        <v>1818</v>
      </c>
      <c r="C303" t="s">
        <v>1415</v>
      </c>
      <c r="D303" t="s">
        <v>14</v>
      </c>
      <c r="E303" t="s">
        <v>2751</v>
      </c>
      <c r="F303" t="s">
        <v>27</v>
      </c>
      <c r="G303" s="21">
        <v>1</v>
      </c>
      <c r="H303" s="21">
        <v>0</v>
      </c>
      <c r="I303" t="s">
        <v>1436</v>
      </c>
      <c r="J303" s="20" t="s">
        <v>2182</v>
      </c>
      <c r="K303" t="s">
        <v>2181</v>
      </c>
    </row>
    <row r="304" spans="2:11" x14ac:dyDescent="0.2">
      <c r="B304" s="21">
        <f t="shared" si="4"/>
        <v>1817</v>
      </c>
      <c r="C304" t="s">
        <v>235</v>
      </c>
      <c r="D304" t="s">
        <v>13</v>
      </c>
      <c r="E304" t="s">
        <v>2751</v>
      </c>
      <c r="F304" t="s">
        <v>34</v>
      </c>
      <c r="G304" s="21">
        <v>1</v>
      </c>
      <c r="H304" s="21">
        <v>0</v>
      </c>
      <c r="I304" t="s">
        <v>1429</v>
      </c>
      <c r="J304" s="20" t="s">
        <v>2183</v>
      </c>
      <c r="K304" t="s">
        <v>2182</v>
      </c>
    </row>
    <row r="305" spans="2:11" x14ac:dyDescent="0.2">
      <c r="B305" s="21">
        <f t="shared" si="4"/>
        <v>1816</v>
      </c>
      <c r="C305" t="s">
        <v>235</v>
      </c>
      <c r="D305" t="s">
        <v>13</v>
      </c>
      <c r="E305" t="s">
        <v>2751</v>
      </c>
      <c r="F305" t="s">
        <v>34</v>
      </c>
      <c r="G305" s="21">
        <v>1</v>
      </c>
      <c r="H305" s="21">
        <v>0</v>
      </c>
      <c r="I305" t="s">
        <v>1430</v>
      </c>
      <c r="J305" s="20" t="s">
        <v>2183</v>
      </c>
      <c r="K305" t="s">
        <v>2182</v>
      </c>
    </row>
    <row r="306" spans="2:11" x14ac:dyDescent="0.2">
      <c r="B306" s="21">
        <f t="shared" si="4"/>
        <v>1815</v>
      </c>
      <c r="C306" t="s">
        <v>235</v>
      </c>
      <c r="D306" t="s">
        <v>13</v>
      </c>
      <c r="E306" t="s">
        <v>2751</v>
      </c>
      <c r="F306" t="s">
        <v>64</v>
      </c>
      <c r="G306" s="21">
        <v>1</v>
      </c>
      <c r="H306" s="21">
        <v>0</v>
      </c>
      <c r="I306" t="s">
        <v>1431</v>
      </c>
      <c r="J306" s="20" t="s">
        <v>2183</v>
      </c>
      <c r="K306" t="s">
        <v>2182</v>
      </c>
    </row>
    <row r="307" spans="2:11" x14ac:dyDescent="0.2">
      <c r="B307" s="21">
        <f t="shared" si="4"/>
        <v>1814</v>
      </c>
      <c r="C307" t="s">
        <v>1423</v>
      </c>
      <c r="D307" t="s">
        <v>13</v>
      </c>
      <c r="E307" t="s">
        <v>2751</v>
      </c>
      <c r="F307" t="s">
        <v>27</v>
      </c>
      <c r="G307" s="21">
        <v>1</v>
      </c>
      <c r="H307" s="21">
        <v>0</v>
      </c>
      <c r="J307" s="20" t="s">
        <v>2183</v>
      </c>
      <c r="K307" t="s">
        <v>2182</v>
      </c>
    </row>
    <row r="308" spans="2:11" x14ac:dyDescent="0.2">
      <c r="B308" s="21">
        <f t="shared" si="4"/>
        <v>1813</v>
      </c>
      <c r="C308" t="s">
        <v>1064</v>
      </c>
      <c r="D308" t="s">
        <v>13</v>
      </c>
      <c r="E308" t="s">
        <v>2751</v>
      </c>
      <c r="F308" t="s">
        <v>42</v>
      </c>
      <c r="G308" s="21">
        <v>1</v>
      </c>
      <c r="H308" s="21">
        <v>0</v>
      </c>
      <c r="I308" t="s">
        <v>1424</v>
      </c>
      <c r="J308" s="20" t="s">
        <v>2183</v>
      </c>
      <c r="K308" t="s">
        <v>2183</v>
      </c>
    </row>
    <row r="309" spans="2:11" x14ac:dyDescent="0.2">
      <c r="B309" s="21">
        <f t="shared" si="4"/>
        <v>1812</v>
      </c>
      <c r="C309" t="s">
        <v>235</v>
      </c>
      <c r="D309" t="s">
        <v>13</v>
      </c>
      <c r="E309" t="s">
        <v>2751</v>
      </c>
      <c r="F309" t="s">
        <v>34</v>
      </c>
      <c r="G309" s="21">
        <v>1</v>
      </c>
      <c r="H309" s="21">
        <v>0</v>
      </c>
      <c r="I309" t="s">
        <v>1422</v>
      </c>
      <c r="J309" s="20" t="s">
        <v>2184</v>
      </c>
      <c r="K309" t="s">
        <v>2183</v>
      </c>
    </row>
    <row r="310" spans="2:11" x14ac:dyDescent="0.2">
      <c r="B310" s="21">
        <f t="shared" si="4"/>
        <v>1811</v>
      </c>
      <c r="C310" t="s">
        <v>235</v>
      </c>
      <c r="D310" t="s">
        <v>13</v>
      </c>
      <c r="E310" t="s">
        <v>2751</v>
      </c>
      <c r="F310" t="s">
        <v>34</v>
      </c>
      <c r="G310" s="21">
        <v>1</v>
      </c>
      <c r="H310" s="21">
        <v>0</v>
      </c>
      <c r="I310" t="s">
        <v>1426</v>
      </c>
      <c r="J310" s="20" t="s">
        <v>2184</v>
      </c>
      <c r="K310" t="s">
        <v>2184</v>
      </c>
    </row>
    <row r="311" spans="2:11" x14ac:dyDescent="0.2">
      <c r="B311" s="21">
        <f t="shared" si="4"/>
        <v>1810</v>
      </c>
      <c r="C311" t="s">
        <v>235</v>
      </c>
      <c r="D311" t="s">
        <v>13</v>
      </c>
      <c r="E311" t="s">
        <v>2751</v>
      </c>
      <c r="F311" t="s">
        <v>34</v>
      </c>
      <c r="G311" s="21">
        <v>1</v>
      </c>
      <c r="H311" s="21">
        <v>0</v>
      </c>
      <c r="I311" t="s">
        <v>1427</v>
      </c>
      <c r="J311" s="20" t="s">
        <v>2184</v>
      </c>
      <c r="K311" t="s">
        <v>2184</v>
      </c>
    </row>
    <row r="312" spans="2:11" x14ac:dyDescent="0.2">
      <c r="B312" s="21">
        <f t="shared" si="4"/>
        <v>1809</v>
      </c>
      <c r="C312" t="s">
        <v>235</v>
      </c>
      <c r="D312" t="s">
        <v>13</v>
      </c>
      <c r="E312" t="s">
        <v>2751</v>
      </c>
      <c r="F312" t="s">
        <v>34</v>
      </c>
      <c r="G312" s="21">
        <v>1</v>
      </c>
      <c r="H312" s="21">
        <v>0</v>
      </c>
      <c r="I312" t="s">
        <v>1428</v>
      </c>
      <c r="J312" s="20" t="s">
        <v>2184</v>
      </c>
      <c r="K312" t="s">
        <v>2184</v>
      </c>
    </row>
    <row r="313" spans="2:11" x14ac:dyDescent="0.2">
      <c r="B313" s="21">
        <f t="shared" si="4"/>
        <v>1808</v>
      </c>
      <c r="C313" t="s">
        <v>1423</v>
      </c>
      <c r="D313" t="s">
        <v>13</v>
      </c>
      <c r="E313" t="s">
        <v>2751</v>
      </c>
      <c r="F313" t="s">
        <v>27</v>
      </c>
      <c r="G313" s="21">
        <v>1</v>
      </c>
      <c r="H313" s="21">
        <v>0</v>
      </c>
      <c r="J313" s="20" t="s">
        <v>2184</v>
      </c>
      <c r="K313" t="s">
        <v>2183</v>
      </c>
    </row>
    <row r="314" spans="2:11" x14ac:dyDescent="0.2">
      <c r="B314" s="21">
        <f t="shared" si="4"/>
        <v>1807</v>
      </c>
      <c r="C314" t="s">
        <v>891</v>
      </c>
      <c r="D314" t="s">
        <v>13</v>
      </c>
      <c r="E314" t="s">
        <v>2751</v>
      </c>
      <c r="F314" t="s">
        <v>64</v>
      </c>
      <c r="G314" s="21">
        <v>1</v>
      </c>
      <c r="H314" s="21">
        <v>0</v>
      </c>
      <c r="I314" t="s">
        <v>1425</v>
      </c>
      <c r="J314" s="20" t="s">
        <v>2184</v>
      </c>
      <c r="K314" t="s">
        <v>2184</v>
      </c>
    </row>
    <row r="315" spans="2:11" x14ac:dyDescent="0.2">
      <c r="B315" s="21">
        <f t="shared" si="4"/>
        <v>1806</v>
      </c>
      <c r="C315" t="s">
        <v>1064</v>
      </c>
      <c r="D315" t="s">
        <v>13</v>
      </c>
      <c r="E315" t="s">
        <v>2751</v>
      </c>
      <c r="F315" t="s">
        <v>42</v>
      </c>
      <c r="G315" s="21">
        <v>1</v>
      </c>
      <c r="H315" s="21">
        <v>0</v>
      </c>
      <c r="I315" t="s">
        <v>1424</v>
      </c>
      <c r="J315" s="20" t="s">
        <v>2184</v>
      </c>
      <c r="K315" t="s">
        <v>2184</v>
      </c>
    </row>
    <row r="316" spans="2:11" x14ac:dyDescent="0.2">
      <c r="B316" s="21">
        <f t="shared" si="4"/>
        <v>1805</v>
      </c>
      <c r="C316" t="s">
        <v>235</v>
      </c>
      <c r="D316" t="s">
        <v>13</v>
      </c>
      <c r="E316" t="s">
        <v>2751</v>
      </c>
      <c r="F316" t="s">
        <v>34</v>
      </c>
      <c r="G316" s="21">
        <v>1</v>
      </c>
      <c r="H316" s="21">
        <v>0</v>
      </c>
      <c r="I316" t="s">
        <v>1419</v>
      </c>
      <c r="J316" s="20" t="s">
        <v>2185</v>
      </c>
      <c r="K316" t="s">
        <v>2659</v>
      </c>
    </row>
    <row r="317" spans="2:11" x14ac:dyDescent="0.2">
      <c r="B317" s="21">
        <f t="shared" si="4"/>
        <v>1804</v>
      </c>
      <c r="C317" t="s">
        <v>235</v>
      </c>
      <c r="D317" t="s">
        <v>13</v>
      </c>
      <c r="E317" t="s">
        <v>2751</v>
      </c>
      <c r="F317" t="s">
        <v>43</v>
      </c>
      <c r="G317" s="21">
        <v>1</v>
      </c>
      <c r="H317" s="21">
        <v>0</v>
      </c>
      <c r="I317" t="s">
        <v>1420</v>
      </c>
      <c r="J317" s="20" t="s">
        <v>2185</v>
      </c>
      <c r="K317" t="s">
        <v>2185</v>
      </c>
    </row>
    <row r="318" spans="2:11" x14ac:dyDescent="0.2">
      <c r="B318" s="21">
        <f t="shared" si="4"/>
        <v>1803</v>
      </c>
      <c r="C318" t="s">
        <v>1415</v>
      </c>
      <c r="D318" t="s">
        <v>14</v>
      </c>
      <c r="E318" t="s">
        <v>2751</v>
      </c>
      <c r="F318" t="s">
        <v>27</v>
      </c>
      <c r="G318" s="21">
        <v>1</v>
      </c>
      <c r="H318" s="21">
        <v>0</v>
      </c>
      <c r="I318" t="s">
        <v>1417</v>
      </c>
      <c r="J318" s="20" t="s">
        <v>2185</v>
      </c>
      <c r="K318" t="s">
        <v>2185</v>
      </c>
    </row>
    <row r="319" spans="2:11" x14ac:dyDescent="0.2">
      <c r="B319" s="21">
        <f t="shared" si="4"/>
        <v>1802</v>
      </c>
      <c r="C319" t="s">
        <v>1064</v>
      </c>
      <c r="D319" t="s">
        <v>13</v>
      </c>
      <c r="E319" t="s">
        <v>2751</v>
      </c>
      <c r="F319" t="s">
        <v>27</v>
      </c>
      <c r="G319" s="21">
        <v>1</v>
      </c>
      <c r="H319" s="21">
        <v>0</v>
      </c>
      <c r="I319" t="s">
        <v>1418</v>
      </c>
      <c r="J319" s="20" t="s">
        <v>2185</v>
      </c>
      <c r="K319" t="s">
        <v>2185</v>
      </c>
    </row>
    <row r="320" spans="2:11" x14ac:dyDescent="0.2">
      <c r="B320" s="21">
        <f t="shared" si="4"/>
        <v>1801</v>
      </c>
      <c r="C320" t="s">
        <v>891</v>
      </c>
      <c r="D320" t="s">
        <v>13</v>
      </c>
      <c r="E320" t="s">
        <v>2751</v>
      </c>
      <c r="F320" t="s">
        <v>64</v>
      </c>
      <c r="G320" s="21">
        <v>1</v>
      </c>
      <c r="H320" s="21">
        <v>0</v>
      </c>
      <c r="I320" t="s">
        <v>1421</v>
      </c>
      <c r="J320" s="20" t="s">
        <v>2185</v>
      </c>
      <c r="K320" t="s">
        <v>2185</v>
      </c>
    </row>
    <row r="321" spans="2:11" x14ac:dyDescent="0.2">
      <c r="B321" s="21">
        <f t="shared" si="4"/>
        <v>1800</v>
      </c>
      <c r="C321" t="s">
        <v>235</v>
      </c>
      <c r="D321" t="s">
        <v>13</v>
      </c>
      <c r="E321" t="s">
        <v>2751</v>
      </c>
      <c r="F321" t="s">
        <v>34</v>
      </c>
      <c r="G321" s="21">
        <v>1</v>
      </c>
      <c r="H321" s="21">
        <v>0</v>
      </c>
      <c r="J321" s="20" t="s">
        <v>2186</v>
      </c>
      <c r="K321" t="s">
        <v>2185</v>
      </c>
    </row>
    <row r="322" spans="2:11" x14ac:dyDescent="0.2">
      <c r="B322" s="21">
        <f t="shared" si="4"/>
        <v>1799</v>
      </c>
      <c r="C322" t="s">
        <v>235</v>
      </c>
      <c r="D322" t="s">
        <v>13</v>
      </c>
      <c r="E322" t="s">
        <v>2751</v>
      </c>
      <c r="F322" t="s">
        <v>43</v>
      </c>
      <c r="G322" s="21">
        <v>1</v>
      </c>
      <c r="H322" s="21">
        <v>0</v>
      </c>
      <c r="J322" s="20" t="s">
        <v>2186</v>
      </c>
      <c r="K322" t="s">
        <v>2185</v>
      </c>
    </row>
    <row r="323" spans="2:11" x14ac:dyDescent="0.2">
      <c r="B323" s="21">
        <f t="shared" si="4"/>
        <v>1798</v>
      </c>
      <c r="C323" t="s">
        <v>1415</v>
      </c>
      <c r="D323" t="s">
        <v>14</v>
      </c>
      <c r="E323" t="s">
        <v>2751</v>
      </c>
      <c r="F323" t="s">
        <v>27</v>
      </c>
      <c r="G323" s="21">
        <v>1</v>
      </c>
      <c r="H323" s="21">
        <v>0</v>
      </c>
      <c r="I323" t="s">
        <v>1416</v>
      </c>
      <c r="J323" s="20" t="s">
        <v>2186</v>
      </c>
      <c r="K323" t="s">
        <v>2185</v>
      </c>
    </row>
    <row r="324" spans="2:11" x14ac:dyDescent="0.2">
      <c r="B324" s="21">
        <f t="shared" si="4"/>
        <v>1797</v>
      </c>
      <c r="C324" t="s">
        <v>235</v>
      </c>
      <c r="D324" t="s">
        <v>13</v>
      </c>
      <c r="E324" t="s">
        <v>2751</v>
      </c>
      <c r="F324" t="s">
        <v>34</v>
      </c>
      <c r="G324" s="21">
        <v>1</v>
      </c>
      <c r="H324" s="21">
        <v>0</v>
      </c>
      <c r="J324" s="20" t="s">
        <v>2187</v>
      </c>
      <c r="K324" t="s">
        <v>2186</v>
      </c>
    </row>
    <row r="325" spans="2:11" x14ac:dyDescent="0.2">
      <c r="B325" s="21">
        <f t="shared" ref="B325:B388" si="5">B324-1</f>
        <v>1796</v>
      </c>
      <c r="C325" t="s">
        <v>235</v>
      </c>
      <c r="D325" t="s">
        <v>13</v>
      </c>
      <c r="E325" t="s">
        <v>2751</v>
      </c>
      <c r="F325" t="s">
        <v>43</v>
      </c>
      <c r="G325" s="21">
        <v>1</v>
      </c>
      <c r="H325" s="21">
        <v>0</v>
      </c>
      <c r="J325" s="20" t="s">
        <v>2187</v>
      </c>
      <c r="K325" t="s">
        <v>2186</v>
      </c>
    </row>
    <row r="326" spans="2:11" x14ac:dyDescent="0.2">
      <c r="B326" s="21">
        <f t="shared" si="5"/>
        <v>1795</v>
      </c>
      <c r="C326" t="s">
        <v>891</v>
      </c>
      <c r="D326" t="s">
        <v>13</v>
      </c>
      <c r="E326" t="s">
        <v>2751</v>
      </c>
      <c r="F326" t="s">
        <v>27</v>
      </c>
      <c r="G326" s="21">
        <v>1</v>
      </c>
      <c r="H326" s="21">
        <v>0</v>
      </c>
      <c r="I326" t="s">
        <v>1414</v>
      </c>
      <c r="J326" s="20" t="s">
        <v>2187</v>
      </c>
      <c r="K326" t="s">
        <v>2187</v>
      </c>
    </row>
    <row r="327" spans="2:11" x14ac:dyDescent="0.2">
      <c r="B327" s="21">
        <f t="shared" si="5"/>
        <v>1794</v>
      </c>
      <c r="C327" t="s">
        <v>1415</v>
      </c>
      <c r="D327" t="s">
        <v>14</v>
      </c>
      <c r="E327" t="s">
        <v>2751</v>
      </c>
      <c r="F327" t="s">
        <v>27</v>
      </c>
      <c r="G327" s="21">
        <v>1</v>
      </c>
      <c r="H327" s="21">
        <v>0</v>
      </c>
      <c r="J327" s="20" t="s">
        <v>2187</v>
      </c>
      <c r="K327" t="s">
        <v>2186</v>
      </c>
    </row>
    <row r="328" spans="2:11" x14ac:dyDescent="0.2">
      <c r="B328" s="21">
        <f t="shared" si="5"/>
        <v>1793</v>
      </c>
      <c r="C328" t="s">
        <v>235</v>
      </c>
      <c r="D328" t="s">
        <v>13</v>
      </c>
      <c r="E328" t="s">
        <v>2751</v>
      </c>
      <c r="F328" t="s">
        <v>34</v>
      </c>
      <c r="G328" s="21">
        <v>1</v>
      </c>
      <c r="H328" s="21">
        <v>0</v>
      </c>
      <c r="J328" s="20" t="s">
        <v>2188</v>
      </c>
      <c r="K328" t="s">
        <v>2187</v>
      </c>
    </row>
    <row r="329" spans="2:11" x14ac:dyDescent="0.2">
      <c r="B329" s="21">
        <f t="shared" si="5"/>
        <v>1792</v>
      </c>
      <c r="C329" t="s">
        <v>235</v>
      </c>
      <c r="D329" t="s">
        <v>13</v>
      </c>
      <c r="E329" t="s">
        <v>2751</v>
      </c>
      <c r="F329" t="s">
        <v>115</v>
      </c>
      <c r="G329" s="21">
        <v>1</v>
      </c>
      <c r="H329" s="21">
        <v>0</v>
      </c>
      <c r="I329" t="s">
        <v>1412</v>
      </c>
      <c r="J329" s="20" t="s">
        <v>2188</v>
      </c>
      <c r="K329" t="s">
        <v>2188</v>
      </c>
    </row>
    <row r="330" spans="2:11" x14ac:dyDescent="0.2">
      <c r="B330" s="21">
        <f t="shared" si="5"/>
        <v>1791</v>
      </c>
      <c r="C330" t="s">
        <v>1397</v>
      </c>
      <c r="D330" t="s">
        <v>13</v>
      </c>
      <c r="E330" t="s">
        <v>2751</v>
      </c>
      <c r="F330" t="s">
        <v>27</v>
      </c>
      <c r="G330" s="21">
        <v>1</v>
      </c>
      <c r="H330" s="21">
        <v>0</v>
      </c>
      <c r="J330" s="20" t="s">
        <v>2188</v>
      </c>
      <c r="K330" t="s">
        <v>2187</v>
      </c>
    </row>
    <row r="331" spans="2:11" x14ac:dyDescent="0.2">
      <c r="B331" s="21">
        <f t="shared" si="5"/>
        <v>1790</v>
      </c>
      <c r="C331" t="s">
        <v>891</v>
      </c>
      <c r="D331" t="s">
        <v>13</v>
      </c>
      <c r="E331" t="s">
        <v>2751</v>
      </c>
      <c r="F331" t="s">
        <v>27</v>
      </c>
      <c r="G331" s="21">
        <v>1</v>
      </c>
      <c r="H331" s="21">
        <v>0</v>
      </c>
      <c r="I331" t="s">
        <v>1413</v>
      </c>
      <c r="J331" s="20" t="s">
        <v>2188</v>
      </c>
      <c r="K331" t="s">
        <v>2188</v>
      </c>
    </row>
    <row r="332" spans="2:11" x14ac:dyDescent="0.2">
      <c r="B332" s="21">
        <f t="shared" si="5"/>
        <v>1789</v>
      </c>
      <c r="C332" t="s">
        <v>235</v>
      </c>
      <c r="D332" t="s">
        <v>13</v>
      </c>
      <c r="E332" t="s">
        <v>2751</v>
      </c>
      <c r="F332" t="s">
        <v>34</v>
      </c>
      <c r="G332" s="21">
        <v>1</v>
      </c>
      <c r="H332" s="21">
        <v>0</v>
      </c>
      <c r="J332" s="20" t="s">
        <v>2189</v>
      </c>
      <c r="K332" t="s">
        <v>2188</v>
      </c>
    </row>
    <row r="333" spans="2:11" x14ac:dyDescent="0.2">
      <c r="B333" s="21">
        <f t="shared" si="5"/>
        <v>1788</v>
      </c>
      <c r="C333" t="s">
        <v>235</v>
      </c>
      <c r="D333" t="s">
        <v>13</v>
      </c>
      <c r="E333" t="s">
        <v>2751</v>
      </c>
      <c r="F333" t="s">
        <v>50</v>
      </c>
      <c r="G333" s="21">
        <v>1</v>
      </c>
      <c r="H333" s="21">
        <v>0</v>
      </c>
      <c r="I333" t="s">
        <v>1411</v>
      </c>
      <c r="J333" s="20" t="s">
        <v>2189</v>
      </c>
      <c r="K333" t="s">
        <v>2189</v>
      </c>
    </row>
    <row r="334" spans="2:11" x14ac:dyDescent="0.2">
      <c r="B334" s="21">
        <f t="shared" si="5"/>
        <v>1787</v>
      </c>
      <c r="C334" t="s">
        <v>1397</v>
      </c>
      <c r="D334" t="s">
        <v>13</v>
      </c>
      <c r="E334" t="s">
        <v>2751</v>
      </c>
      <c r="F334" t="s">
        <v>27</v>
      </c>
      <c r="G334" s="21">
        <v>1</v>
      </c>
      <c r="H334" s="21">
        <v>0</v>
      </c>
      <c r="J334" s="20" t="s">
        <v>2189</v>
      </c>
      <c r="K334" t="s">
        <v>2188</v>
      </c>
    </row>
    <row r="335" spans="2:11" x14ac:dyDescent="0.2">
      <c r="B335" s="21">
        <f t="shared" si="5"/>
        <v>1786</v>
      </c>
      <c r="C335" t="s">
        <v>891</v>
      </c>
      <c r="D335" t="s">
        <v>13</v>
      </c>
      <c r="E335" t="s">
        <v>2751</v>
      </c>
      <c r="F335" t="s">
        <v>27</v>
      </c>
      <c r="G335" s="21">
        <v>1</v>
      </c>
      <c r="H335" s="21">
        <v>0</v>
      </c>
      <c r="I335" t="s">
        <v>1410</v>
      </c>
      <c r="J335" s="20" t="s">
        <v>2189</v>
      </c>
      <c r="K335" t="s">
        <v>2189</v>
      </c>
    </row>
    <row r="336" spans="2:11" x14ac:dyDescent="0.2">
      <c r="B336" s="21">
        <f t="shared" si="5"/>
        <v>1785</v>
      </c>
      <c r="C336" t="s">
        <v>235</v>
      </c>
      <c r="D336" t="s">
        <v>13</v>
      </c>
      <c r="E336" t="s">
        <v>2751</v>
      </c>
      <c r="F336" t="s">
        <v>34</v>
      </c>
      <c r="G336" s="21">
        <v>1</v>
      </c>
      <c r="H336" s="21">
        <v>0</v>
      </c>
      <c r="J336" s="20" t="s">
        <v>2190</v>
      </c>
      <c r="K336" t="s">
        <v>2660</v>
      </c>
    </row>
    <row r="337" spans="2:11" x14ac:dyDescent="0.2">
      <c r="B337" s="21">
        <f t="shared" si="5"/>
        <v>1784</v>
      </c>
      <c r="C337" t="s">
        <v>235</v>
      </c>
      <c r="D337" t="s">
        <v>13</v>
      </c>
      <c r="E337" t="s">
        <v>2751</v>
      </c>
      <c r="F337" t="s">
        <v>43</v>
      </c>
      <c r="G337" s="21">
        <v>1</v>
      </c>
      <c r="H337" s="21">
        <v>0</v>
      </c>
      <c r="J337" s="20" t="s">
        <v>2190</v>
      </c>
      <c r="K337" t="s">
        <v>2660</v>
      </c>
    </row>
    <row r="338" spans="2:11" x14ac:dyDescent="0.2">
      <c r="B338" s="21">
        <f t="shared" si="5"/>
        <v>1783</v>
      </c>
      <c r="C338" t="s">
        <v>1397</v>
      </c>
      <c r="D338" t="s">
        <v>13</v>
      </c>
      <c r="E338" t="s">
        <v>2751</v>
      </c>
      <c r="F338" t="s">
        <v>27</v>
      </c>
      <c r="G338" s="21">
        <v>1</v>
      </c>
      <c r="H338" s="21">
        <v>0</v>
      </c>
      <c r="J338" s="20" t="s">
        <v>2190</v>
      </c>
      <c r="K338" t="s">
        <v>2660</v>
      </c>
    </row>
    <row r="339" spans="2:11" x14ac:dyDescent="0.2">
      <c r="B339" s="21">
        <f t="shared" si="5"/>
        <v>1782</v>
      </c>
      <c r="C339" t="s">
        <v>891</v>
      </c>
      <c r="D339" t="s">
        <v>13</v>
      </c>
      <c r="E339" t="s">
        <v>2751</v>
      </c>
      <c r="F339" t="s">
        <v>27</v>
      </c>
      <c r="G339" s="21">
        <v>1</v>
      </c>
      <c r="H339" s="21">
        <v>0</v>
      </c>
      <c r="I339" t="s">
        <v>1410</v>
      </c>
      <c r="J339" s="20" t="s">
        <v>2190</v>
      </c>
      <c r="K339" t="s">
        <v>2190</v>
      </c>
    </row>
    <row r="340" spans="2:11" x14ac:dyDescent="0.2">
      <c r="B340" s="21">
        <f t="shared" si="5"/>
        <v>1781</v>
      </c>
      <c r="C340" t="s">
        <v>235</v>
      </c>
      <c r="D340" t="s">
        <v>13</v>
      </c>
      <c r="E340" t="s">
        <v>2751</v>
      </c>
      <c r="F340" t="s">
        <v>34</v>
      </c>
      <c r="G340" s="21">
        <v>1</v>
      </c>
      <c r="H340" s="21">
        <v>0</v>
      </c>
      <c r="J340" s="20" t="s">
        <v>2191</v>
      </c>
      <c r="K340" t="s">
        <v>2190</v>
      </c>
    </row>
    <row r="341" spans="2:11" x14ac:dyDescent="0.2">
      <c r="B341" s="21">
        <f t="shared" si="5"/>
        <v>1780</v>
      </c>
      <c r="C341" t="s">
        <v>235</v>
      </c>
      <c r="D341" t="s">
        <v>13</v>
      </c>
      <c r="E341" t="s">
        <v>2751</v>
      </c>
      <c r="F341" t="s">
        <v>43</v>
      </c>
      <c r="G341" s="21">
        <v>1</v>
      </c>
      <c r="H341" s="21">
        <v>0</v>
      </c>
      <c r="J341" s="20" t="s">
        <v>2191</v>
      </c>
      <c r="K341" t="s">
        <v>2190</v>
      </c>
    </row>
    <row r="342" spans="2:11" x14ac:dyDescent="0.2">
      <c r="B342" s="21">
        <f t="shared" si="5"/>
        <v>1779</v>
      </c>
      <c r="C342" t="s">
        <v>1397</v>
      </c>
      <c r="D342" t="s">
        <v>13</v>
      </c>
      <c r="E342" t="s">
        <v>2751</v>
      </c>
      <c r="F342" t="s">
        <v>27</v>
      </c>
      <c r="G342" s="21">
        <v>1</v>
      </c>
      <c r="H342" s="21">
        <v>0</v>
      </c>
      <c r="J342" s="20" t="s">
        <v>2191</v>
      </c>
      <c r="K342" t="s">
        <v>2190</v>
      </c>
    </row>
    <row r="343" spans="2:11" x14ac:dyDescent="0.2">
      <c r="B343" s="21">
        <f t="shared" si="5"/>
        <v>1778</v>
      </c>
      <c r="C343" t="s">
        <v>1064</v>
      </c>
      <c r="D343" t="s">
        <v>13</v>
      </c>
      <c r="E343" t="s">
        <v>2751</v>
      </c>
      <c r="F343" t="s">
        <v>27</v>
      </c>
      <c r="G343" s="21">
        <v>1</v>
      </c>
      <c r="H343" s="21">
        <v>0</v>
      </c>
      <c r="I343" t="s">
        <v>1409</v>
      </c>
      <c r="J343" s="20" t="s">
        <v>2191</v>
      </c>
      <c r="K343" t="s">
        <v>2191</v>
      </c>
    </row>
    <row r="344" spans="2:11" x14ac:dyDescent="0.2">
      <c r="B344" s="21">
        <f t="shared" si="5"/>
        <v>1777</v>
      </c>
      <c r="C344" t="s">
        <v>891</v>
      </c>
      <c r="D344" t="s">
        <v>13</v>
      </c>
      <c r="E344" t="s">
        <v>2751</v>
      </c>
      <c r="F344" t="s">
        <v>27</v>
      </c>
      <c r="G344" s="21">
        <v>1</v>
      </c>
      <c r="H344" s="21">
        <v>0</v>
      </c>
      <c r="I344" t="s">
        <v>1408</v>
      </c>
      <c r="J344" s="20" t="s">
        <v>2191</v>
      </c>
      <c r="K344" t="s">
        <v>2190</v>
      </c>
    </row>
    <row r="345" spans="2:11" x14ac:dyDescent="0.2">
      <c r="B345" s="21">
        <f t="shared" si="5"/>
        <v>1776</v>
      </c>
      <c r="C345" t="s">
        <v>1113</v>
      </c>
      <c r="D345" t="s">
        <v>13</v>
      </c>
      <c r="E345" t="s">
        <v>2751</v>
      </c>
      <c r="F345" t="s">
        <v>27</v>
      </c>
      <c r="G345" s="21">
        <v>1</v>
      </c>
      <c r="H345" s="21">
        <v>0</v>
      </c>
      <c r="I345" t="s">
        <v>1407</v>
      </c>
      <c r="J345" s="20" t="s">
        <v>2191</v>
      </c>
      <c r="K345" t="s">
        <v>2191</v>
      </c>
    </row>
    <row r="346" spans="2:11" x14ac:dyDescent="0.2">
      <c r="B346" s="21">
        <f t="shared" si="5"/>
        <v>1775</v>
      </c>
      <c r="C346" t="s">
        <v>235</v>
      </c>
      <c r="D346" t="s">
        <v>13</v>
      </c>
      <c r="E346" t="s">
        <v>2751</v>
      </c>
      <c r="F346" t="s">
        <v>34</v>
      </c>
      <c r="G346" s="21">
        <v>1</v>
      </c>
      <c r="H346" s="21">
        <v>0</v>
      </c>
      <c r="J346" s="20" t="s">
        <v>2192</v>
      </c>
      <c r="K346" t="s">
        <v>2191</v>
      </c>
    </row>
    <row r="347" spans="2:11" x14ac:dyDescent="0.2">
      <c r="B347" s="21">
        <f t="shared" si="5"/>
        <v>1774</v>
      </c>
      <c r="C347" t="s">
        <v>235</v>
      </c>
      <c r="D347" t="s">
        <v>13</v>
      </c>
      <c r="E347" t="s">
        <v>2751</v>
      </c>
      <c r="F347" t="s">
        <v>43</v>
      </c>
      <c r="G347" s="21">
        <v>1</v>
      </c>
      <c r="H347" s="21">
        <v>0</v>
      </c>
      <c r="J347" s="20" t="s">
        <v>2192</v>
      </c>
      <c r="K347" t="s">
        <v>2191</v>
      </c>
    </row>
    <row r="348" spans="2:11" x14ac:dyDescent="0.2">
      <c r="B348" s="21">
        <f t="shared" si="5"/>
        <v>1773</v>
      </c>
      <c r="C348" t="s">
        <v>1397</v>
      </c>
      <c r="D348" t="s">
        <v>13</v>
      </c>
      <c r="E348" t="s">
        <v>2751</v>
      </c>
      <c r="F348" t="s">
        <v>27</v>
      </c>
      <c r="G348" s="21">
        <v>1</v>
      </c>
      <c r="H348" s="21">
        <v>0</v>
      </c>
      <c r="I348" t="s">
        <v>1404</v>
      </c>
      <c r="J348" s="20" t="s">
        <v>2192</v>
      </c>
      <c r="K348" t="s">
        <v>2191</v>
      </c>
    </row>
    <row r="349" spans="2:11" x14ac:dyDescent="0.2">
      <c r="B349" s="21">
        <f t="shared" si="5"/>
        <v>1772</v>
      </c>
      <c r="C349" t="s">
        <v>1064</v>
      </c>
      <c r="D349" t="s">
        <v>13</v>
      </c>
      <c r="E349" t="s">
        <v>2751</v>
      </c>
      <c r="F349" t="s">
        <v>27</v>
      </c>
      <c r="G349" s="21">
        <v>1</v>
      </c>
      <c r="H349" s="21">
        <v>0</v>
      </c>
      <c r="I349" t="s">
        <v>1406</v>
      </c>
      <c r="J349" s="20" t="s">
        <v>2192</v>
      </c>
      <c r="K349" t="s">
        <v>2191</v>
      </c>
    </row>
    <row r="350" spans="2:11" x14ac:dyDescent="0.2">
      <c r="B350" s="21">
        <f t="shared" si="5"/>
        <v>1771</v>
      </c>
      <c r="C350" t="s">
        <v>891</v>
      </c>
      <c r="D350" t="s">
        <v>13</v>
      </c>
      <c r="E350" t="s">
        <v>2751</v>
      </c>
      <c r="F350" t="s">
        <v>27</v>
      </c>
      <c r="G350" s="21">
        <v>1</v>
      </c>
      <c r="H350" s="21">
        <v>0</v>
      </c>
      <c r="I350" t="s">
        <v>1405</v>
      </c>
      <c r="J350" s="20" t="s">
        <v>2192</v>
      </c>
      <c r="K350" t="s">
        <v>2191</v>
      </c>
    </row>
    <row r="351" spans="2:11" x14ac:dyDescent="0.2">
      <c r="B351" s="21">
        <f t="shared" si="5"/>
        <v>1770</v>
      </c>
      <c r="C351" t="s">
        <v>235</v>
      </c>
      <c r="D351" t="s">
        <v>13</v>
      </c>
      <c r="E351" t="s">
        <v>2751</v>
      </c>
      <c r="F351" t="s">
        <v>34</v>
      </c>
      <c r="G351" s="21">
        <v>1</v>
      </c>
      <c r="H351" s="21">
        <v>0</v>
      </c>
      <c r="I351" t="s">
        <v>1400</v>
      </c>
      <c r="J351" s="20" t="s">
        <v>2193</v>
      </c>
      <c r="K351" t="s">
        <v>2192</v>
      </c>
    </row>
    <row r="352" spans="2:11" x14ac:dyDescent="0.2">
      <c r="B352" s="21">
        <f t="shared" si="5"/>
        <v>1769</v>
      </c>
      <c r="C352" t="s">
        <v>235</v>
      </c>
      <c r="D352" t="s">
        <v>13</v>
      </c>
      <c r="E352" t="s">
        <v>2751</v>
      </c>
      <c r="F352" t="s">
        <v>43</v>
      </c>
      <c r="G352" s="21">
        <v>1</v>
      </c>
      <c r="H352" s="21">
        <v>0</v>
      </c>
      <c r="J352" s="20" t="s">
        <v>2193</v>
      </c>
      <c r="K352" t="s">
        <v>2192</v>
      </c>
    </row>
    <row r="353" spans="2:11" x14ac:dyDescent="0.2">
      <c r="B353" s="21">
        <f t="shared" si="5"/>
        <v>1768</v>
      </c>
      <c r="C353" t="s">
        <v>1397</v>
      </c>
      <c r="D353" t="s">
        <v>13</v>
      </c>
      <c r="E353" t="s">
        <v>2751</v>
      </c>
      <c r="F353" t="s">
        <v>42</v>
      </c>
      <c r="G353" s="21">
        <v>1</v>
      </c>
      <c r="H353" s="21">
        <v>0</v>
      </c>
      <c r="I353" t="s">
        <v>1402</v>
      </c>
      <c r="J353" s="20" t="s">
        <v>2193</v>
      </c>
      <c r="K353" t="s">
        <v>2193</v>
      </c>
    </row>
    <row r="354" spans="2:11" x14ac:dyDescent="0.2">
      <c r="B354" s="21">
        <f t="shared" si="5"/>
        <v>1767</v>
      </c>
      <c r="C354" t="s">
        <v>1397</v>
      </c>
      <c r="D354" t="s">
        <v>13</v>
      </c>
      <c r="E354" t="s">
        <v>2751</v>
      </c>
      <c r="F354" t="s">
        <v>27</v>
      </c>
      <c r="G354" s="21">
        <v>1</v>
      </c>
      <c r="H354" s="21">
        <v>0</v>
      </c>
      <c r="J354" s="20" t="s">
        <v>2193</v>
      </c>
      <c r="K354" t="s">
        <v>2192</v>
      </c>
    </row>
    <row r="355" spans="2:11" x14ac:dyDescent="0.2">
      <c r="B355" s="21">
        <f t="shared" si="5"/>
        <v>1766</v>
      </c>
      <c r="C355" t="s">
        <v>1064</v>
      </c>
      <c r="D355" t="s">
        <v>13</v>
      </c>
      <c r="E355" t="s">
        <v>2751</v>
      </c>
      <c r="F355" t="s">
        <v>27</v>
      </c>
      <c r="G355" s="21">
        <v>1</v>
      </c>
      <c r="H355" s="21">
        <v>0</v>
      </c>
      <c r="J355" s="20" t="s">
        <v>2193</v>
      </c>
      <c r="K355" t="s">
        <v>2192</v>
      </c>
    </row>
    <row r="356" spans="2:11" x14ac:dyDescent="0.2">
      <c r="B356" s="21">
        <f t="shared" si="5"/>
        <v>1765</v>
      </c>
      <c r="C356" t="s">
        <v>891</v>
      </c>
      <c r="D356" t="s">
        <v>13</v>
      </c>
      <c r="E356" t="s">
        <v>2751</v>
      </c>
      <c r="F356" t="s">
        <v>27</v>
      </c>
      <c r="G356" s="21">
        <v>1</v>
      </c>
      <c r="H356" s="21">
        <v>0</v>
      </c>
      <c r="I356" t="s">
        <v>1403</v>
      </c>
      <c r="J356" s="20" t="s">
        <v>2193</v>
      </c>
      <c r="K356" t="s">
        <v>2192</v>
      </c>
    </row>
    <row r="357" spans="2:11" x14ac:dyDescent="0.2">
      <c r="B357" s="21">
        <f t="shared" si="5"/>
        <v>1764</v>
      </c>
      <c r="C357" t="s">
        <v>235</v>
      </c>
      <c r="D357" t="s">
        <v>13</v>
      </c>
      <c r="E357" t="s">
        <v>2751</v>
      </c>
      <c r="F357" t="s">
        <v>34</v>
      </c>
      <c r="G357" s="21">
        <v>1</v>
      </c>
      <c r="H357" s="21">
        <v>0</v>
      </c>
      <c r="I357" t="s">
        <v>1400</v>
      </c>
      <c r="J357" s="20" t="s">
        <v>2194</v>
      </c>
      <c r="K357" t="s">
        <v>2193</v>
      </c>
    </row>
    <row r="358" spans="2:11" x14ac:dyDescent="0.2">
      <c r="B358" s="21">
        <f t="shared" si="5"/>
        <v>1763</v>
      </c>
      <c r="C358" t="s">
        <v>235</v>
      </c>
      <c r="D358" t="s">
        <v>13</v>
      </c>
      <c r="E358" t="s">
        <v>2751</v>
      </c>
      <c r="F358" t="s">
        <v>43</v>
      </c>
      <c r="G358" s="21">
        <v>1</v>
      </c>
      <c r="H358" s="21">
        <v>0</v>
      </c>
      <c r="J358" s="20" t="s">
        <v>2194</v>
      </c>
      <c r="K358" t="s">
        <v>2193</v>
      </c>
    </row>
    <row r="359" spans="2:11" x14ac:dyDescent="0.2">
      <c r="B359" s="21">
        <f t="shared" si="5"/>
        <v>1762</v>
      </c>
      <c r="C359" t="s">
        <v>235</v>
      </c>
      <c r="D359" t="s">
        <v>13</v>
      </c>
      <c r="E359" t="s">
        <v>2751</v>
      </c>
      <c r="F359" t="s">
        <v>42</v>
      </c>
      <c r="G359" s="21">
        <v>1</v>
      </c>
      <c r="H359" s="21">
        <v>0</v>
      </c>
      <c r="I359" t="s">
        <v>1401</v>
      </c>
      <c r="J359" s="20" t="s">
        <v>2194</v>
      </c>
      <c r="K359" t="s">
        <v>2194</v>
      </c>
    </row>
    <row r="360" spans="2:11" x14ac:dyDescent="0.2">
      <c r="B360" s="21">
        <f t="shared" si="5"/>
        <v>1761</v>
      </c>
      <c r="C360" t="s">
        <v>1397</v>
      </c>
      <c r="D360" t="s">
        <v>13</v>
      </c>
      <c r="E360" t="s">
        <v>2751</v>
      </c>
      <c r="F360" t="s">
        <v>27</v>
      </c>
      <c r="G360" s="21">
        <v>1</v>
      </c>
      <c r="H360" s="21">
        <v>0</v>
      </c>
      <c r="J360" s="20" t="s">
        <v>2194</v>
      </c>
      <c r="K360" t="s">
        <v>2193</v>
      </c>
    </row>
    <row r="361" spans="2:11" x14ac:dyDescent="0.2">
      <c r="B361" s="21">
        <f t="shared" si="5"/>
        <v>1760</v>
      </c>
      <c r="C361" t="s">
        <v>235</v>
      </c>
      <c r="D361" t="s">
        <v>13</v>
      </c>
      <c r="E361" t="s">
        <v>2751</v>
      </c>
      <c r="F361" t="s">
        <v>34</v>
      </c>
      <c r="G361" s="21">
        <v>1</v>
      </c>
      <c r="H361" s="21">
        <v>0</v>
      </c>
      <c r="J361" s="20" t="s">
        <v>2195</v>
      </c>
      <c r="K361" t="s">
        <v>2194</v>
      </c>
    </row>
    <row r="362" spans="2:11" x14ac:dyDescent="0.2">
      <c r="B362" s="21">
        <f t="shared" si="5"/>
        <v>1759</v>
      </c>
      <c r="C362" t="s">
        <v>235</v>
      </c>
      <c r="D362" t="s">
        <v>13</v>
      </c>
      <c r="E362" t="s">
        <v>2751</v>
      </c>
      <c r="F362" t="s">
        <v>4</v>
      </c>
      <c r="G362" s="21">
        <v>1</v>
      </c>
      <c r="H362" s="21">
        <v>0</v>
      </c>
      <c r="I362" t="s">
        <v>1399</v>
      </c>
      <c r="J362" s="20" t="s">
        <v>2195</v>
      </c>
      <c r="K362" t="s">
        <v>2195</v>
      </c>
    </row>
    <row r="363" spans="2:11" x14ac:dyDescent="0.2">
      <c r="B363" s="21">
        <f t="shared" si="5"/>
        <v>1758</v>
      </c>
      <c r="C363" t="s">
        <v>1397</v>
      </c>
      <c r="D363" t="s">
        <v>13</v>
      </c>
      <c r="E363" t="s">
        <v>2751</v>
      </c>
      <c r="F363" t="s">
        <v>27</v>
      </c>
      <c r="G363" s="21">
        <v>1</v>
      </c>
      <c r="H363" s="21">
        <v>0</v>
      </c>
      <c r="J363" s="20" t="s">
        <v>2195</v>
      </c>
      <c r="K363" t="s">
        <v>2194</v>
      </c>
    </row>
    <row r="364" spans="2:11" x14ac:dyDescent="0.2">
      <c r="B364" s="21">
        <f t="shared" si="5"/>
        <v>1757</v>
      </c>
      <c r="C364" t="s">
        <v>235</v>
      </c>
      <c r="D364" t="s">
        <v>13</v>
      </c>
      <c r="E364" t="s">
        <v>2751</v>
      </c>
      <c r="F364" t="s">
        <v>34</v>
      </c>
      <c r="G364" s="21">
        <v>1</v>
      </c>
      <c r="H364" s="21">
        <v>0</v>
      </c>
      <c r="J364" s="20" t="s">
        <v>2196</v>
      </c>
      <c r="K364" t="s">
        <v>2661</v>
      </c>
    </row>
    <row r="365" spans="2:11" x14ac:dyDescent="0.2">
      <c r="B365" s="21">
        <f t="shared" si="5"/>
        <v>1756</v>
      </c>
      <c r="C365" t="s">
        <v>235</v>
      </c>
      <c r="D365" t="s">
        <v>13</v>
      </c>
      <c r="E365" t="s">
        <v>2751</v>
      </c>
      <c r="F365" t="s">
        <v>43</v>
      </c>
      <c r="G365" s="21">
        <v>1</v>
      </c>
      <c r="H365" s="21">
        <v>0</v>
      </c>
      <c r="I365" t="s">
        <v>1398</v>
      </c>
      <c r="J365" s="20" t="s">
        <v>2196</v>
      </c>
      <c r="K365" t="s">
        <v>2196</v>
      </c>
    </row>
    <row r="366" spans="2:11" x14ac:dyDescent="0.2">
      <c r="B366" s="21">
        <f t="shared" si="5"/>
        <v>1755</v>
      </c>
      <c r="C366" t="s">
        <v>1397</v>
      </c>
      <c r="D366" t="s">
        <v>13</v>
      </c>
      <c r="E366" t="s">
        <v>2751</v>
      </c>
      <c r="F366" t="s">
        <v>27</v>
      </c>
      <c r="G366" s="21">
        <v>1</v>
      </c>
      <c r="H366" s="21">
        <v>0</v>
      </c>
      <c r="J366" s="20" t="s">
        <v>2196</v>
      </c>
      <c r="K366" t="s">
        <v>2661</v>
      </c>
    </row>
    <row r="367" spans="2:11" x14ac:dyDescent="0.2">
      <c r="B367" s="21">
        <f t="shared" si="5"/>
        <v>1754</v>
      </c>
      <c r="C367" t="s">
        <v>235</v>
      </c>
      <c r="D367" t="s">
        <v>13</v>
      </c>
      <c r="E367" t="s">
        <v>2751</v>
      </c>
      <c r="F367" t="s">
        <v>34</v>
      </c>
      <c r="G367" s="21">
        <v>1</v>
      </c>
      <c r="H367" s="21">
        <v>0</v>
      </c>
      <c r="J367" s="20" t="s">
        <v>2197</v>
      </c>
      <c r="K367" t="s">
        <v>2196</v>
      </c>
    </row>
    <row r="368" spans="2:11" x14ac:dyDescent="0.2">
      <c r="B368" s="21">
        <f t="shared" si="5"/>
        <v>1753</v>
      </c>
      <c r="C368" t="s">
        <v>235</v>
      </c>
      <c r="D368" t="s">
        <v>13</v>
      </c>
      <c r="E368" t="s">
        <v>2751</v>
      </c>
      <c r="F368" t="s">
        <v>4</v>
      </c>
      <c r="G368" s="21">
        <v>1</v>
      </c>
      <c r="H368" s="21">
        <v>0</v>
      </c>
      <c r="I368" t="s">
        <v>1396</v>
      </c>
      <c r="J368" s="20" t="s">
        <v>2197</v>
      </c>
      <c r="K368" t="s">
        <v>2197</v>
      </c>
    </row>
    <row r="369" spans="2:11" x14ac:dyDescent="0.2">
      <c r="B369" s="21">
        <f t="shared" si="5"/>
        <v>1752</v>
      </c>
      <c r="C369" t="s">
        <v>235</v>
      </c>
      <c r="D369" t="s">
        <v>13</v>
      </c>
      <c r="E369" t="s">
        <v>2751</v>
      </c>
      <c r="F369" t="s">
        <v>42</v>
      </c>
      <c r="G369" s="21">
        <v>1</v>
      </c>
      <c r="H369" s="21">
        <v>0</v>
      </c>
      <c r="I369" t="s">
        <v>1395</v>
      </c>
      <c r="J369" s="20" t="s">
        <v>2197</v>
      </c>
      <c r="K369" t="s">
        <v>2197</v>
      </c>
    </row>
    <row r="370" spans="2:11" x14ac:dyDescent="0.2">
      <c r="B370" s="21">
        <f t="shared" si="5"/>
        <v>1751</v>
      </c>
      <c r="C370" t="s">
        <v>235</v>
      </c>
      <c r="D370" t="s">
        <v>13</v>
      </c>
      <c r="E370" t="s">
        <v>2751</v>
      </c>
      <c r="F370" t="s">
        <v>4</v>
      </c>
      <c r="G370" s="21">
        <v>1</v>
      </c>
      <c r="H370" s="21">
        <v>0</v>
      </c>
      <c r="I370" t="s">
        <v>1391</v>
      </c>
      <c r="J370" s="20" t="s">
        <v>2198</v>
      </c>
      <c r="K370" t="s">
        <v>2198</v>
      </c>
    </row>
    <row r="371" spans="2:11" x14ac:dyDescent="0.2">
      <c r="B371" s="21">
        <f t="shared" si="5"/>
        <v>1750</v>
      </c>
      <c r="C371" t="s">
        <v>235</v>
      </c>
      <c r="D371" t="s">
        <v>13</v>
      </c>
      <c r="E371" t="s">
        <v>2751</v>
      </c>
      <c r="F371" t="s">
        <v>43</v>
      </c>
      <c r="G371" s="21">
        <v>1</v>
      </c>
      <c r="H371" s="21">
        <v>0</v>
      </c>
      <c r="I371" t="s">
        <v>1392</v>
      </c>
      <c r="J371" s="20" t="s">
        <v>2198</v>
      </c>
      <c r="K371" t="s">
        <v>2198</v>
      </c>
    </row>
    <row r="372" spans="2:11" x14ac:dyDescent="0.2">
      <c r="B372" s="21">
        <f t="shared" si="5"/>
        <v>1749</v>
      </c>
      <c r="C372" t="s">
        <v>235</v>
      </c>
      <c r="D372" t="s">
        <v>13</v>
      </c>
      <c r="E372" t="s">
        <v>2751</v>
      </c>
      <c r="F372" t="s">
        <v>34</v>
      </c>
      <c r="G372" s="21">
        <v>1</v>
      </c>
      <c r="H372" s="21">
        <v>0</v>
      </c>
      <c r="I372" t="s">
        <v>1393</v>
      </c>
      <c r="J372" s="20" t="s">
        <v>2198</v>
      </c>
      <c r="K372" t="s">
        <v>2197</v>
      </c>
    </row>
    <row r="373" spans="2:11" x14ac:dyDescent="0.2">
      <c r="B373" s="21">
        <f t="shared" si="5"/>
        <v>1748</v>
      </c>
      <c r="C373" t="s">
        <v>1064</v>
      </c>
      <c r="D373" t="s">
        <v>13</v>
      </c>
      <c r="E373" t="s">
        <v>2751</v>
      </c>
      <c r="F373" t="s">
        <v>8</v>
      </c>
      <c r="G373" s="21">
        <v>1</v>
      </c>
      <c r="H373" s="21">
        <v>0</v>
      </c>
      <c r="I373" t="s">
        <v>1394</v>
      </c>
      <c r="J373" s="20" t="s">
        <v>2198</v>
      </c>
      <c r="K373" t="s">
        <v>2198</v>
      </c>
    </row>
    <row r="374" spans="2:11" x14ac:dyDescent="0.2">
      <c r="B374" s="21">
        <f t="shared" si="5"/>
        <v>1747</v>
      </c>
      <c r="C374" t="s">
        <v>235</v>
      </c>
      <c r="D374" t="s">
        <v>13</v>
      </c>
      <c r="E374" t="s">
        <v>2751</v>
      </c>
      <c r="F374" t="s">
        <v>43</v>
      </c>
      <c r="G374" s="21">
        <v>1</v>
      </c>
      <c r="H374" s="21">
        <v>0</v>
      </c>
      <c r="I374" t="s">
        <v>1390</v>
      </c>
      <c r="J374" s="20" t="s">
        <v>2199</v>
      </c>
      <c r="K374" t="s">
        <v>2199</v>
      </c>
    </row>
    <row r="375" spans="2:11" x14ac:dyDescent="0.2">
      <c r="B375" s="21">
        <f t="shared" si="5"/>
        <v>1746</v>
      </c>
      <c r="C375" t="s">
        <v>235</v>
      </c>
      <c r="D375" t="s">
        <v>13</v>
      </c>
      <c r="E375" t="s">
        <v>2751</v>
      </c>
      <c r="F375" t="s">
        <v>43</v>
      </c>
      <c r="G375" s="21">
        <v>1</v>
      </c>
      <c r="H375" s="21">
        <v>0</v>
      </c>
      <c r="J375" s="20" t="s">
        <v>2199</v>
      </c>
      <c r="K375" t="s">
        <v>2198</v>
      </c>
    </row>
    <row r="376" spans="2:11" x14ac:dyDescent="0.2">
      <c r="B376" s="21">
        <f t="shared" si="5"/>
        <v>1745</v>
      </c>
      <c r="C376" t="s">
        <v>235</v>
      </c>
      <c r="D376" t="s">
        <v>13</v>
      </c>
      <c r="E376" t="s">
        <v>2751</v>
      </c>
      <c r="F376" t="s">
        <v>43</v>
      </c>
      <c r="G376" s="21">
        <v>1</v>
      </c>
      <c r="H376" s="21">
        <v>0</v>
      </c>
      <c r="I376" t="s">
        <v>1386</v>
      </c>
      <c r="J376" s="20" t="s">
        <v>2200</v>
      </c>
      <c r="K376" t="s">
        <v>2199</v>
      </c>
    </row>
    <row r="377" spans="2:11" x14ac:dyDescent="0.2">
      <c r="B377" s="21">
        <f t="shared" si="5"/>
        <v>1744</v>
      </c>
      <c r="C377" t="s">
        <v>1192</v>
      </c>
      <c r="D377" t="s">
        <v>13</v>
      </c>
      <c r="E377" t="s">
        <v>2751</v>
      </c>
      <c r="F377" t="s">
        <v>27</v>
      </c>
      <c r="G377" s="21">
        <v>1</v>
      </c>
      <c r="H377" s="21">
        <v>0</v>
      </c>
      <c r="I377" t="s">
        <v>1387</v>
      </c>
      <c r="J377" s="20" t="s">
        <v>2200</v>
      </c>
      <c r="K377" t="s">
        <v>2200</v>
      </c>
    </row>
    <row r="378" spans="2:11" x14ac:dyDescent="0.2">
      <c r="B378" s="21">
        <f t="shared" si="5"/>
        <v>1743</v>
      </c>
      <c r="C378" t="s">
        <v>235</v>
      </c>
      <c r="D378" t="s">
        <v>13</v>
      </c>
      <c r="E378" t="s">
        <v>2751</v>
      </c>
      <c r="F378" t="s">
        <v>115</v>
      </c>
      <c r="G378" s="21">
        <v>1</v>
      </c>
      <c r="H378" s="21">
        <v>0</v>
      </c>
      <c r="I378" t="s">
        <v>1388</v>
      </c>
      <c r="J378" s="20" t="s">
        <v>2200</v>
      </c>
      <c r="K378" t="s">
        <v>2200</v>
      </c>
    </row>
    <row r="379" spans="2:11" x14ac:dyDescent="0.2">
      <c r="B379" s="21">
        <f t="shared" si="5"/>
        <v>1742</v>
      </c>
      <c r="C379" t="s">
        <v>616</v>
      </c>
      <c r="D379" t="s">
        <v>13</v>
      </c>
      <c r="E379" t="s">
        <v>2751</v>
      </c>
      <c r="F379" t="s">
        <v>34</v>
      </c>
      <c r="G379" s="21">
        <v>1</v>
      </c>
      <c r="H379" s="21">
        <v>0</v>
      </c>
      <c r="I379" t="s">
        <v>1389</v>
      </c>
      <c r="J379" s="20" t="s">
        <v>2200</v>
      </c>
      <c r="K379" t="s">
        <v>2200</v>
      </c>
    </row>
    <row r="380" spans="2:11" x14ac:dyDescent="0.2">
      <c r="B380" s="21">
        <f t="shared" si="5"/>
        <v>1741</v>
      </c>
      <c r="C380" t="s">
        <v>235</v>
      </c>
      <c r="D380" t="s">
        <v>13</v>
      </c>
      <c r="E380" t="s">
        <v>2751</v>
      </c>
      <c r="F380" t="s">
        <v>43</v>
      </c>
      <c r="G380" s="21">
        <v>1</v>
      </c>
      <c r="H380" s="21">
        <v>0</v>
      </c>
      <c r="I380" t="s">
        <v>1385</v>
      </c>
      <c r="J380" s="20" t="s">
        <v>2201</v>
      </c>
      <c r="K380" t="s">
        <v>2200</v>
      </c>
    </row>
    <row r="381" spans="2:11" x14ac:dyDescent="0.2">
      <c r="B381" s="21">
        <f t="shared" si="5"/>
        <v>1740</v>
      </c>
      <c r="C381" t="s">
        <v>1192</v>
      </c>
      <c r="D381" t="s">
        <v>13</v>
      </c>
      <c r="E381" t="s">
        <v>2751</v>
      </c>
      <c r="F381" t="s">
        <v>27</v>
      </c>
      <c r="G381" s="21">
        <v>1</v>
      </c>
      <c r="H381" s="21">
        <v>0</v>
      </c>
      <c r="J381" s="20" t="s">
        <v>2201</v>
      </c>
      <c r="K381" t="s">
        <v>2200</v>
      </c>
    </row>
    <row r="382" spans="2:11" x14ac:dyDescent="0.2">
      <c r="B382" s="21">
        <f t="shared" si="5"/>
        <v>1739</v>
      </c>
      <c r="C382" t="s">
        <v>235</v>
      </c>
      <c r="D382" t="s">
        <v>13</v>
      </c>
      <c r="E382" t="s">
        <v>2751</v>
      </c>
      <c r="F382" t="s">
        <v>43</v>
      </c>
      <c r="G382" s="21">
        <v>1</v>
      </c>
      <c r="H382" s="21">
        <v>0</v>
      </c>
      <c r="I382" t="s">
        <v>1385</v>
      </c>
      <c r="J382" s="20" t="s">
        <v>2202</v>
      </c>
      <c r="K382" t="s">
        <v>2662</v>
      </c>
    </row>
    <row r="383" spans="2:11" x14ac:dyDescent="0.2">
      <c r="B383" s="21">
        <f t="shared" si="5"/>
        <v>1738</v>
      </c>
      <c r="C383" t="s">
        <v>756</v>
      </c>
      <c r="D383" t="s">
        <v>13</v>
      </c>
      <c r="E383" t="s">
        <v>2751</v>
      </c>
      <c r="F383" t="s">
        <v>34</v>
      </c>
      <c r="G383" s="21">
        <v>1</v>
      </c>
      <c r="H383" s="21">
        <v>0</v>
      </c>
      <c r="I383" t="s">
        <v>1384</v>
      </c>
      <c r="J383" s="20" t="s">
        <v>2202</v>
      </c>
      <c r="K383" t="s">
        <v>2202</v>
      </c>
    </row>
    <row r="384" spans="2:11" x14ac:dyDescent="0.2">
      <c r="B384" s="21">
        <f t="shared" si="5"/>
        <v>1737</v>
      </c>
      <c r="C384" t="s">
        <v>616</v>
      </c>
      <c r="D384" t="s">
        <v>13</v>
      </c>
      <c r="E384" t="s">
        <v>2751</v>
      </c>
      <c r="F384" t="s">
        <v>34</v>
      </c>
      <c r="G384" s="21">
        <v>1</v>
      </c>
      <c r="H384" s="21">
        <v>0</v>
      </c>
      <c r="I384" t="s">
        <v>1383</v>
      </c>
      <c r="J384" s="20" t="s">
        <v>2202</v>
      </c>
      <c r="K384" t="s">
        <v>2202</v>
      </c>
    </row>
    <row r="385" spans="2:11" x14ac:dyDescent="0.2">
      <c r="B385" s="21">
        <f t="shared" si="5"/>
        <v>1736</v>
      </c>
      <c r="C385" t="s">
        <v>1192</v>
      </c>
      <c r="D385" t="s">
        <v>13</v>
      </c>
      <c r="E385" t="s">
        <v>2751</v>
      </c>
      <c r="F385" t="s">
        <v>27</v>
      </c>
      <c r="G385" s="21">
        <v>1</v>
      </c>
      <c r="H385" s="21">
        <v>0</v>
      </c>
      <c r="J385" s="20" t="s">
        <v>2202</v>
      </c>
      <c r="K385" t="s">
        <v>2662</v>
      </c>
    </row>
    <row r="386" spans="2:11" x14ac:dyDescent="0.2">
      <c r="B386" s="21">
        <f t="shared" si="5"/>
        <v>1735</v>
      </c>
      <c r="C386" t="s">
        <v>235</v>
      </c>
      <c r="D386" t="s">
        <v>13</v>
      </c>
      <c r="E386" t="s">
        <v>2751</v>
      </c>
      <c r="F386" t="s">
        <v>64</v>
      </c>
      <c r="G386" s="21">
        <v>1</v>
      </c>
      <c r="H386" s="21">
        <v>0</v>
      </c>
      <c r="I386" t="s">
        <v>1379</v>
      </c>
      <c r="J386" s="20" t="s">
        <v>2203</v>
      </c>
      <c r="K386" t="s">
        <v>2203</v>
      </c>
    </row>
    <row r="387" spans="2:11" x14ac:dyDescent="0.2">
      <c r="B387" s="21">
        <f t="shared" si="5"/>
        <v>1734</v>
      </c>
      <c r="C387" t="s">
        <v>235</v>
      </c>
      <c r="D387" t="s">
        <v>13</v>
      </c>
      <c r="E387" t="s">
        <v>2751</v>
      </c>
      <c r="F387" t="s">
        <v>43</v>
      </c>
      <c r="G387" s="21">
        <v>1</v>
      </c>
      <c r="H387" s="21">
        <v>0</v>
      </c>
      <c r="I387" t="s">
        <v>1380</v>
      </c>
      <c r="J387" s="20" t="s">
        <v>2203</v>
      </c>
      <c r="K387" t="s">
        <v>2202</v>
      </c>
    </row>
    <row r="388" spans="2:11" x14ac:dyDescent="0.2">
      <c r="B388" s="21">
        <f t="shared" si="5"/>
        <v>1733</v>
      </c>
      <c r="C388" t="s">
        <v>975</v>
      </c>
      <c r="D388" t="s">
        <v>13</v>
      </c>
      <c r="E388" t="s">
        <v>2751</v>
      </c>
      <c r="F388" t="s">
        <v>27</v>
      </c>
      <c r="G388" s="21">
        <v>1</v>
      </c>
      <c r="H388" s="21">
        <v>0</v>
      </c>
      <c r="I388" t="s">
        <v>1381</v>
      </c>
      <c r="J388" s="20" t="s">
        <v>2203</v>
      </c>
      <c r="K388" t="s">
        <v>2203</v>
      </c>
    </row>
    <row r="389" spans="2:11" x14ac:dyDescent="0.2">
      <c r="B389" s="21">
        <f t="shared" ref="B389:B452" si="6">B388-1</f>
        <v>1732</v>
      </c>
      <c r="C389" t="s">
        <v>756</v>
      </c>
      <c r="D389" t="s">
        <v>13</v>
      </c>
      <c r="E389" t="s">
        <v>2751</v>
      </c>
      <c r="F389" t="s">
        <v>34</v>
      </c>
      <c r="G389" s="21">
        <v>1</v>
      </c>
      <c r="H389" s="21">
        <v>0</v>
      </c>
      <c r="I389" t="s">
        <v>1382</v>
      </c>
      <c r="J389" s="20" t="s">
        <v>2203</v>
      </c>
      <c r="K389" t="s">
        <v>2202</v>
      </c>
    </row>
    <row r="390" spans="2:11" x14ac:dyDescent="0.2">
      <c r="B390" s="21">
        <f t="shared" si="6"/>
        <v>1731</v>
      </c>
      <c r="C390" t="s">
        <v>235</v>
      </c>
      <c r="D390" t="s">
        <v>13</v>
      </c>
      <c r="E390" t="s">
        <v>2751</v>
      </c>
      <c r="F390" t="s">
        <v>115</v>
      </c>
      <c r="G390" s="21">
        <v>1</v>
      </c>
      <c r="H390" s="21">
        <v>0</v>
      </c>
      <c r="J390" s="20" t="s">
        <v>2204</v>
      </c>
      <c r="K390" t="s">
        <v>2203</v>
      </c>
    </row>
    <row r="391" spans="2:11" x14ac:dyDescent="0.2">
      <c r="B391" s="21">
        <f t="shared" si="6"/>
        <v>1730</v>
      </c>
      <c r="C391" t="s">
        <v>1064</v>
      </c>
      <c r="D391" t="s">
        <v>13</v>
      </c>
      <c r="E391" t="s">
        <v>2751</v>
      </c>
      <c r="F391" t="s">
        <v>28</v>
      </c>
      <c r="G391" s="21">
        <v>1</v>
      </c>
      <c r="H391" s="21">
        <v>0</v>
      </c>
      <c r="I391" t="s">
        <v>1377</v>
      </c>
      <c r="J391" s="20" t="s">
        <v>2204</v>
      </c>
      <c r="K391" t="s">
        <v>2204</v>
      </c>
    </row>
    <row r="392" spans="2:11" x14ac:dyDescent="0.2">
      <c r="B392" s="21">
        <f t="shared" si="6"/>
        <v>1729</v>
      </c>
      <c r="C392" t="s">
        <v>756</v>
      </c>
      <c r="D392" t="s">
        <v>13</v>
      </c>
      <c r="E392" t="s">
        <v>2751</v>
      </c>
      <c r="F392" t="s">
        <v>34</v>
      </c>
      <c r="G392" s="21">
        <v>1</v>
      </c>
      <c r="H392" s="21">
        <v>0</v>
      </c>
      <c r="I392" t="s">
        <v>1376</v>
      </c>
      <c r="J392" s="20" t="s">
        <v>2204</v>
      </c>
      <c r="K392" t="s">
        <v>2204</v>
      </c>
    </row>
    <row r="393" spans="2:11" x14ac:dyDescent="0.2">
      <c r="B393" s="21">
        <f t="shared" si="6"/>
        <v>1728</v>
      </c>
      <c r="C393" t="s">
        <v>1375</v>
      </c>
      <c r="D393" t="s">
        <v>13</v>
      </c>
      <c r="E393" t="s">
        <v>2751</v>
      </c>
      <c r="F393" t="s">
        <v>49</v>
      </c>
      <c r="G393" s="21">
        <v>1</v>
      </c>
      <c r="H393" s="21">
        <v>0</v>
      </c>
      <c r="I393" t="s">
        <v>1378</v>
      </c>
      <c r="J393" s="20" t="s">
        <v>2204</v>
      </c>
      <c r="K393" t="s">
        <v>2204</v>
      </c>
    </row>
    <row r="394" spans="2:11" x14ac:dyDescent="0.2">
      <c r="B394" s="21">
        <f t="shared" si="6"/>
        <v>1727</v>
      </c>
      <c r="C394" t="s">
        <v>235</v>
      </c>
      <c r="D394" t="s">
        <v>13</v>
      </c>
      <c r="E394" t="s">
        <v>2751</v>
      </c>
      <c r="F394" t="s">
        <v>115</v>
      </c>
      <c r="G394" s="21">
        <v>1</v>
      </c>
      <c r="H394" s="21">
        <v>0</v>
      </c>
      <c r="I394" t="s">
        <v>1372</v>
      </c>
      <c r="J394" s="20" t="s">
        <v>2205</v>
      </c>
      <c r="K394" t="s">
        <v>2204</v>
      </c>
    </row>
    <row r="395" spans="2:11" x14ac:dyDescent="0.2">
      <c r="B395" s="21">
        <f t="shared" si="6"/>
        <v>1726</v>
      </c>
      <c r="C395" t="s">
        <v>1064</v>
      </c>
      <c r="D395" t="s">
        <v>13</v>
      </c>
      <c r="E395" t="s">
        <v>2751</v>
      </c>
      <c r="F395" t="s">
        <v>28</v>
      </c>
      <c r="G395" s="21">
        <v>1</v>
      </c>
      <c r="H395" s="21">
        <v>0</v>
      </c>
      <c r="I395" t="s">
        <v>1373</v>
      </c>
      <c r="J395" s="20" t="s">
        <v>2205</v>
      </c>
      <c r="K395" t="s">
        <v>2204</v>
      </c>
    </row>
    <row r="396" spans="2:11" x14ac:dyDescent="0.2">
      <c r="B396" s="21">
        <f t="shared" si="6"/>
        <v>1725</v>
      </c>
      <c r="C396" t="s">
        <v>756</v>
      </c>
      <c r="D396" t="s">
        <v>13</v>
      </c>
      <c r="E396" t="s">
        <v>2751</v>
      </c>
      <c r="F396" t="s">
        <v>34</v>
      </c>
      <c r="G396" s="21">
        <v>1</v>
      </c>
      <c r="H396" s="21">
        <v>0</v>
      </c>
      <c r="I396" t="s">
        <v>1374</v>
      </c>
      <c r="J396" s="20" t="s">
        <v>2205</v>
      </c>
      <c r="K396" t="s">
        <v>2204</v>
      </c>
    </row>
    <row r="397" spans="2:11" x14ac:dyDescent="0.2">
      <c r="B397" s="21">
        <f t="shared" si="6"/>
        <v>1724</v>
      </c>
      <c r="C397" t="s">
        <v>235</v>
      </c>
      <c r="D397" t="s">
        <v>13</v>
      </c>
      <c r="E397" t="s">
        <v>2751</v>
      </c>
      <c r="F397" t="s">
        <v>43</v>
      </c>
      <c r="G397" s="21">
        <v>1</v>
      </c>
      <c r="H397" s="21">
        <v>0</v>
      </c>
      <c r="I397" t="s">
        <v>1371</v>
      </c>
      <c r="J397" s="20" t="s">
        <v>2206</v>
      </c>
      <c r="K397" t="s">
        <v>2205</v>
      </c>
    </row>
    <row r="398" spans="2:11" x14ac:dyDescent="0.2">
      <c r="B398" s="21">
        <f t="shared" si="6"/>
        <v>1723</v>
      </c>
      <c r="C398" t="s">
        <v>235</v>
      </c>
      <c r="D398" t="s">
        <v>13</v>
      </c>
      <c r="E398" t="s">
        <v>2751</v>
      </c>
      <c r="F398" t="s">
        <v>43</v>
      </c>
      <c r="G398" s="21">
        <v>1</v>
      </c>
      <c r="H398" s="21">
        <v>0</v>
      </c>
      <c r="I398" t="s">
        <v>1371</v>
      </c>
      <c r="J398" s="20" t="s">
        <v>2207</v>
      </c>
      <c r="K398" t="s">
        <v>2206</v>
      </c>
    </row>
    <row r="399" spans="2:11" x14ac:dyDescent="0.2">
      <c r="B399" s="21">
        <f t="shared" si="6"/>
        <v>1722</v>
      </c>
      <c r="C399" t="s">
        <v>235</v>
      </c>
      <c r="D399" t="s">
        <v>13</v>
      </c>
      <c r="E399" t="s">
        <v>2751</v>
      </c>
      <c r="F399" t="s">
        <v>43</v>
      </c>
      <c r="G399" s="21">
        <v>1</v>
      </c>
      <c r="H399" s="21">
        <v>0</v>
      </c>
      <c r="J399" s="20" t="s">
        <v>2208</v>
      </c>
      <c r="K399" t="s">
        <v>2663</v>
      </c>
    </row>
    <row r="400" spans="2:11" x14ac:dyDescent="0.2">
      <c r="B400" s="21">
        <f t="shared" si="6"/>
        <v>1721</v>
      </c>
      <c r="C400" t="s">
        <v>235</v>
      </c>
      <c r="D400" t="s">
        <v>13</v>
      </c>
      <c r="E400" t="s">
        <v>2751</v>
      </c>
      <c r="F400" t="s">
        <v>4</v>
      </c>
      <c r="G400" s="21">
        <v>1</v>
      </c>
      <c r="H400" s="21">
        <v>0</v>
      </c>
      <c r="I400" t="s">
        <v>1370</v>
      </c>
      <c r="J400" s="20" t="s">
        <v>2208</v>
      </c>
      <c r="K400" t="s">
        <v>2208</v>
      </c>
    </row>
    <row r="401" spans="2:11" x14ac:dyDescent="0.2">
      <c r="B401" s="21">
        <f t="shared" si="6"/>
        <v>1720</v>
      </c>
      <c r="C401" t="s">
        <v>1064</v>
      </c>
      <c r="D401" t="s">
        <v>13</v>
      </c>
      <c r="E401" t="s">
        <v>2751</v>
      </c>
      <c r="F401" t="s">
        <v>4</v>
      </c>
      <c r="G401" s="21">
        <v>1</v>
      </c>
      <c r="H401" s="21">
        <v>0</v>
      </c>
      <c r="I401" t="s">
        <v>1369</v>
      </c>
      <c r="J401" s="20" t="s">
        <v>2208</v>
      </c>
      <c r="K401" t="s">
        <v>2208</v>
      </c>
    </row>
    <row r="402" spans="2:11" x14ac:dyDescent="0.2">
      <c r="B402" s="21">
        <f t="shared" si="6"/>
        <v>1719</v>
      </c>
      <c r="C402" t="s">
        <v>1346</v>
      </c>
      <c r="D402" t="s">
        <v>13</v>
      </c>
      <c r="E402" t="s">
        <v>2751</v>
      </c>
      <c r="F402" t="s">
        <v>27</v>
      </c>
      <c r="G402" s="21">
        <v>1</v>
      </c>
      <c r="H402" s="21">
        <v>0</v>
      </c>
      <c r="I402" t="s">
        <v>1367</v>
      </c>
      <c r="J402" s="20" t="s">
        <v>2209</v>
      </c>
      <c r="K402" t="s">
        <v>2209</v>
      </c>
    </row>
    <row r="403" spans="2:11" x14ac:dyDescent="0.2">
      <c r="B403" s="21">
        <f t="shared" si="6"/>
        <v>1718</v>
      </c>
      <c r="C403" t="s">
        <v>701</v>
      </c>
      <c r="D403" t="s">
        <v>13</v>
      </c>
      <c r="E403" t="s">
        <v>2751</v>
      </c>
      <c r="F403" t="s">
        <v>34</v>
      </c>
      <c r="G403" s="21">
        <v>1</v>
      </c>
      <c r="H403" s="21">
        <v>0</v>
      </c>
      <c r="I403" t="s">
        <v>1368</v>
      </c>
      <c r="J403" s="20" t="s">
        <v>2209</v>
      </c>
      <c r="K403" t="s">
        <v>2209</v>
      </c>
    </row>
    <row r="404" spans="2:11" x14ac:dyDescent="0.2">
      <c r="B404" s="21">
        <f t="shared" si="6"/>
        <v>1717</v>
      </c>
      <c r="C404" t="s">
        <v>235</v>
      </c>
      <c r="D404" t="s">
        <v>13</v>
      </c>
      <c r="E404" t="s">
        <v>2751</v>
      </c>
      <c r="F404" t="s">
        <v>43</v>
      </c>
      <c r="G404" s="21">
        <v>1</v>
      </c>
      <c r="H404" s="21">
        <v>0</v>
      </c>
      <c r="J404" s="20" t="s">
        <v>2209</v>
      </c>
      <c r="K404" t="s">
        <v>2208</v>
      </c>
    </row>
    <row r="405" spans="2:11" x14ac:dyDescent="0.2">
      <c r="B405" s="21">
        <f t="shared" si="6"/>
        <v>1716</v>
      </c>
      <c r="C405" t="s">
        <v>1346</v>
      </c>
      <c r="D405" t="s">
        <v>13</v>
      </c>
      <c r="E405" t="s">
        <v>2751</v>
      </c>
      <c r="F405" t="s">
        <v>27</v>
      </c>
      <c r="G405" s="21">
        <v>1</v>
      </c>
      <c r="H405" s="21">
        <v>0</v>
      </c>
      <c r="I405" t="s">
        <v>1366</v>
      </c>
      <c r="J405" s="20" t="s">
        <v>2210</v>
      </c>
      <c r="K405" t="s">
        <v>2209</v>
      </c>
    </row>
    <row r="406" spans="2:11" x14ac:dyDescent="0.2">
      <c r="B406" s="21">
        <f t="shared" si="6"/>
        <v>1715</v>
      </c>
      <c r="C406" t="s">
        <v>701</v>
      </c>
      <c r="D406" t="s">
        <v>13</v>
      </c>
      <c r="E406" t="s">
        <v>2751</v>
      </c>
      <c r="F406" t="s">
        <v>34</v>
      </c>
      <c r="G406" s="21">
        <v>1</v>
      </c>
      <c r="H406" s="21">
        <v>0</v>
      </c>
      <c r="I406" t="s">
        <v>1365</v>
      </c>
      <c r="J406" s="20" t="s">
        <v>2210</v>
      </c>
      <c r="K406" t="s">
        <v>2209</v>
      </c>
    </row>
    <row r="407" spans="2:11" x14ac:dyDescent="0.2">
      <c r="B407" s="21">
        <f t="shared" si="6"/>
        <v>1714</v>
      </c>
      <c r="C407" t="s">
        <v>975</v>
      </c>
      <c r="D407" t="s">
        <v>13</v>
      </c>
      <c r="E407" t="s">
        <v>2751</v>
      </c>
      <c r="F407" t="s">
        <v>27</v>
      </c>
      <c r="G407" s="21">
        <v>1</v>
      </c>
      <c r="H407" s="21">
        <v>0</v>
      </c>
      <c r="I407" t="s">
        <v>1363</v>
      </c>
      <c r="J407" s="20" t="s">
        <v>2210</v>
      </c>
      <c r="K407" t="s">
        <v>2210</v>
      </c>
    </row>
    <row r="408" spans="2:11" x14ac:dyDescent="0.2">
      <c r="B408" s="21">
        <f t="shared" si="6"/>
        <v>1713</v>
      </c>
      <c r="C408" t="s">
        <v>235</v>
      </c>
      <c r="D408" t="s">
        <v>13</v>
      </c>
      <c r="E408" t="s">
        <v>2751</v>
      </c>
      <c r="F408" t="s">
        <v>43</v>
      </c>
      <c r="G408" s="21">
        <v>1</v>
      </c>
      <c r="H408" s="21">
        <v>0</v>
      </c>
      <c r="I408" t="s">
        <v>1364</v>
      </c>
      <c r="J408" s="20" t="s">
        <v>2210</v>
      </c>
      <c r="K408" t="s">
        <v>2210</v>
      </c>
    </row>
    <row r="409" spans="2:11" x14ac:dyDescent="0.2">
      <c r="B409" s="21">
        <f t="shared" si="6"/>
        <v>1712</v>
      </c>
      <c r="C409" t="s">
        <v>1346</v>
      </c>
      <c r="D409" t="s">
        <v>13</v>
      </c>
      <c r="E409" t="s">
        <v>2751</v>
      </c>
      <c r="F409" t="s">
        <v>27</v>
      </c>
      <c r="G409" s="21">
        <v>1</v>
      </c>
      <c r="H409" s="21">
        <v>0</v>
      </c>
      <c r="J409" s="20" t="s">
        <v>2211</v>
      </c>
      <c r="K409" t="s">
        <v>2210</v>
      </c>
    </row>
    <row r="410" spans="2:11" x14ac:dyDescent="0.2">
      <c r="B410" s="21">
        <f t="shared" si="6"/>
        <v>1711</v>
      </c>
      <c r="C410" t="s">
        <v>701</v>
      </c>
      <c r="D410" t="s">
        <v>13</v>
      </c>
      <c r="E410" t="s">
        <v>2751</v>
      </c>
      <c r="F410" t="s">
        <v>34</v>
      </c>
      <c r="G410" s="21">
        <v>1</v>
      </c>
      <c r="H410" s="21">
        <v>0</v>
      </c>
      <c r="J410" s="20" t="s">
        <v>2211</v>
      </c>
      <c r="K410" t="s">
        <v>2210</v>
      </c>
    </row>
    <row r="411" spans="2:11" x14ac:dyDescent="0.2">
      <c r="B411" s="21">
        <f t="shared" si="6"/>
        <v>1710</v>
      </c>
      <c r="C411" t="s">
        <v>975</v>
      </c>
      <c r="D411" t="s">
        <v>13</v>
      </c>
      <c r="E411" t="s">
        <v>2751</v>
      </c>
      <c r="F411" t="s">
        <v>27</v>
      </c>
      <c r="G411" s="21">
        <v>1</v>
      </c>
      <c r="H411" s="21">
        <v>0</v>
      </c>
      <c r="I411" t="s">
        <v>1362</v>
      </c>
      <c r="J411" s="20" t="s">
        <v>2211</v>
      </c>
      <c r="K411" t="s">
        <v>2210</v>
      </c>
    </row>
    <row r="412" spans="2:11" x14ac:dyDescent="0.2">
      <c r="B412" s="21">
        <f t="shared" si="6"/>
        <v>1709</v>
      </c>
      <c r="C412" t="s">
        <v>1346</v>
      </c>
      <c r="D412" t="s">
        <v>13</v>
      </c>
      <c r="E412" t="s">
        <v>2751</v>
      </c>
      <c r="F412" t="s">
        <v>27</v>
      </c>
      <c r="G412" s="21">
        <v>1</v>
      </c>
      <c r="H412" s="21">
        <v>0</v>
      </c>
      <c r="J412" s="20" t="s">
        <v>2212</v>
      </c>
      <c r="K412" t="s">
        <v>2664</v>
      </c>
    </row>
    <row r="413" spans="2:11" x14ac:dyDescent="0.2">
      <c r="B413" s="21">
        <f t="shared" si="6"/>
        <v>1708</v>
      </c>
      <c r="C413" t="s">
        <v>235</v>
      </c>
      <c r="D413" t="s">
        <v>13</v>
      </c>
      <c r="E413" t="s">
        <v>2751</v>
      </c>
      <c r="F413" t="s">
        <v>43</v>
      </c>
      <c r="G413" s="21">
        <v>1</v>
      </c>
      <c r="H413" s="21">
        <v>0</v>
      </c>
      <c r="J413" s="20" t="s">
        <v>2212</v>
      </c>
      <c r="K413" t="s">
        <v>2664</v>
      </c>
    </row>
    <row r="414" spans="2:11" x14ac:dyDescent="0.2">
      <c r="B414" s="21">
        <f t="shared" si="6"/>
        <v>1707</v>
      </c>
      <c r="C414" t="s">
        <v>1359</v>
      </c>
      <c r="D414" t="s">
        <v>13</v>
      </c>
      <c r="E414" t="s">
        <v>2751</v>
      </c>
      <c r="F414" t="s">
        <v>4</v>
      </c>
      <c r="G414" s="21">
        <v>1</v>
      </c>
      <c r="H414" s="21">
        <v>0</v>
      </c>
      <c r="I414" t="s">
        <v>1360</v>
      </c>
      <c r="J414" s="20" t="s">
        <v>2212</v>
      </c>
      <c r="K414" t="s">
        <v>2212</v>
      </c>
    </row>
    <row r="415" spans="2:11" x14ac:dyDescent="0.2">
      <c r="B415" s="21">
        <f t="shared" si="6"/>
        <v>1706</v>
      </c>
      <c r="C415" t="s">
        <v>1359</v>
      </c>
      <c r="D415" t="s">
        <v>13</v>
      </c>
      <c r="E415" t="s">
        <v>2751</v>
      </c>
      <c r="F415" t="s">
        <v>28</v>
      </c>
      <c r="G415" s="21">
        <v>1</v>
      </c>
      <c r="H415" s="21">
        <v>0</v>
      </c>
      <c r="I415" t="s">
        <v>1361</v>
      </c>
      <c r="J415" s="20" t="s">
        <v>2212</v>
      </c>
      <c r="K415" t="s">
        <v>2212</v>
      </c>
    </row>
    <row r="416" spans="2:11" x14ac:dyDescent="0.2">
      <c r="B416" s="21">
        <f t="shared" si="6"/>
        <v>1705</v>
      </c>
      <c r="C416" t="s">
        <v>1346</v>
      </c>
      <c r="D416" t="s">
        <v>13</v>
      </c>
      <c r="E416" t="s">
        <v>2751</v>
      </c>
      <c r="F416" t="s">
        <v>9</v>
      </c>
      <c r="G416" s="21">
        <v>1</v>
      </c>
      <c r="H416" s="21">
        <v>0</v>
      </c>
      <c r="J416" s="20" t="s">
        <v>2213</v>
      </c>
      <c r="K416" t="s">
        <v>2665</v>
      </c>
    </row>
    <row r="417" spans="2:11" x14ac:dyDescent="0.2">
      <c r="B417" s="21">
        <f t="shared" si="6"/>
        <v>1704</v>
      </c>
      <c r="C417" t="s">
        <v>1346</v>
      </c>
      <c r="D417" t="s">
        <v>13</v>
      </c>
      <c r="E417" t="s">
        <v>2751</v>
      </c>
      <c r="F417" t="s">
        <v>4</v>
      </c>
      <c r="G417" s="21">
        <v>1</v>
      </c>
      <c r="H417" s="21">
        <v>0</v>
      </c>
      <c r="I417" t="s">
        <v>1358</v>
      </c>
      <c r="J417" s="20" t="s">
        <v>2213</v>
      </c>
      <c r="K417" t="s">
        <v>2213</v>
      </c>
    </row>
    <row r="418" spans="2:11" x14ac:dyDescent="0.2">
      <c r="B418" s="21">
        <f t="shared" si="6"/>
        <v>1703</v>
      </c>
      <c r="C418" t="s">
        <v>235</v>
      </c>
      <c r="D418" t="s">
        <v>13</v>
      </c>
      <c r="E418" t="s">
        <v>2751</v>
      </c>
      <c r="F418" t="s">
        <v>43</v>
      </c>
      <c r="G418" s="21">
        <v>1</v>
      </c>
      <c r="H418" s="21">
        <v>0</v>
      </c>
      <c r="I418" t="s">
        <v>1357</v>
      </c>
      <c r="J418" s="20" t="s">
        <v>2213</v>
      </c>
      <c r="K418" t="s">
        <v>2665</v>
      </c>
    </row>
    <row r="419" spans="2:11" x14ac:dyDescent="0.2">
      <c r="B419" s="21">
        <f t="shared" si="6"/>
        <v>1702</v>
      </c>
      <c r="C419" t="s">
        <v>1346</v>
      </c>
      <c r="D419" t="s">
        <v>13</v>
      </c>
      <c r="E419" t="s">
        <v>2751</v>
      </c>
      <c r="F419" t="s">
        <v>9</v>
      </c>
      <c r="G419" s="21">
        <v>1</v>
      </c>
      <c r="H419" s="21">
        <v>0</v>
      </c>
      <c r="I419" t="s">
        <v>1350</v>
      </c>
      <c r="J419" s="20" t="s">
        <v>2214</v>
      </c>
      <c r="K419" t="s">
        <v>2213</v>
      </c>
    </row>
    <row r="420" spans="2:11" x14ac:dyDescent="0.2">
      <c r="B420" s="21">
        <f t="shared" si="6"/>
        <v>1701</v>
      </c>
      <c r="C420" t="s">
        <v>235</v>
      </c>
      <c r="D420" t="s">
        <v>13</v>
      </c>
      <c r="E420" t="s">
        <v>2751</v>
      </c>
      <c r="F420" t="s">
        <v>34</v>
      </c>
      <c r="G420" s="21">
        <v>1</v>
      </c>
      <c r="H420" s="21">
        <v>0</v>
      </c>
      <c r="I420" t="s">
        <v>1356</v>
      </c>
      <c r="J420" s="20" t="s">
        <v>2214</v>
      </c>
      <c r="K420" t="s">
        <v>2214</v>
      </c>
    </row>
    <row r="421" spans="2:11" x14ac:dyDescent="0.2">
      <c r="B421" s="21">
        <f t="shared" si="6"/>
        <v>1700</v>
      </c>
      <c r="C421" t="s">
        <v>235</v>
      </c>
      <c r="D421" t="s">
        <v>13</v>
      </c>
      <c r="E421" t="s">
        <v>2751</v>
      </c>
      <c r="F421" t="s">
        <v>34</v>
      </c>
      <c r="G421" s="21">
        <v>1</v>
      </c>
      <c r="H421" s="21">
        <v>0</v>
      </c>
      <c r="J421" s="20" t="s">
        <v>2214</v>
      </c>
      <c r="K421" t="s">
        <v>2213</v>
      </c>
    </row>
    <row r="422" spans="2:11" x14ac:dyDescent="0.2">
      <c r="B422" s="21">
        <f t="shared" si="6"/>
        <v>1699</v>
      </c>
      <c r="C422" t="s">
        <v>1346</v>
      </c>
      <c r="D422" t="s">
        <v>13</v>
      </c>
      <c r="E422" t="s">
        <v>2751</v>
      </c>
      <c r="F422" t="s">
        <v>9</v>
      </c>
      <c r="G422" s="21">
        <v>1</v>
      </c>
      <c r="H422" s="21">
        <v>0</v>
      </c>
      <c r="I422" t="s">
        <v>1350</v>
      </c>
      <c r="J422" s="20" t="s">
        <v>2215</v>
      </c>
      <c r="K422" t="s">
        <v>2214</v>
      </c>
    </row>
    <row r="423" spans="2:11" x14ac:dyDescent="0.2">
      <c r="B423" s="21">
        <f t="shared" si="6"/>
        <v>1698</v>
      </c>
      <c r="C423" t="s">
        <v>235</v>
      </c>
      <c r="D423" t="s">
        <v>13</v>
      </c>
      <c r="E423" t="s">
        <v>2751</v>
      </c>
      <c r="F423" t="s">
        <v>34</v>
      </c>
      <c r="G423" s="21">
        <v>1</v>
      </c>
      <c r="H423" s="21">
        <v>0</v>
      </c>
      <c r="I423" t="s">
        <v>1353</v>
      </c>
      <c r="J423" s="20" t="s">
        <v>2215</v>
      </c>
      <c r="K423" t="s">
        <v>2214</v>
      </c>
    </row>
    <row r="424" spans="2:11" x14ac:dyDescent="0.2">
      <c r="B424" s="21">
        <f t="shared" si="6"/>
        <v>1697</v>
      </c>
      <c r="C424" t="s">
        <v>616</v>
      </c>
      <c r="D424" t="s">
        <v>13</v>
      </c>
      <c r="E424" t="s">
        <v>2751</v>
      </c>
      <c r="F424" t="s">
        <v>34</v>
      </c>
      <c r="G424" s="21">
        <v>1</v>
      </c>
      <c r="H424" s="21">
        <v>0</v>
      </c>
      <c r="I424" t="s">
        <v>1355</v>
      </c>
      <c r="J424" s="20" t="s">
        <v>2215</v>
      </c>
      <c r="K424" t="s">
        <v>2215</v>
      </c>
    </row>
    <row r="425" spans="2:11" x14ac:dyDescent="0.2">
      <c r="B425" s="21">
        <f t="shared" si="6"/>
        <v>1696</v>
      </c>
      <c r="C425" t="s">
        <v>235</v>
      </c>
      <c r="D425" t="s">
        <v>13</v>
      </c>
      <c r="E425" t="s">
        <v>2751</v>
      </c>
      <c r="F425" t="s">
        <v>43</v>
      </c>
      <c r="G425" s="21">
        <v>1</v>
      </c>
      <c r="H425" s="21">
        <v>0</v>
      </c>
      <c r="I425" t="s">
        <v>1354</v>
      </c>
      <c r="J425" s="20" t="s">
        <v>2215</v>
      </c>
      <c r="K425" t="s">
        <v>2215</v>
      </c>
    </row>
    <row r="426" spans="2:11" x14ac:dyDescent="0.2">
      <c r="B426" s="21">
        <f t="shared" si="6"/>
        <v>1695</v>
      </c>
      <c r="C426" t="s">
        <v>1346</v>
      </c>
      <c r="D426" t="s">
        <v>13</v>
      </c>
      <c r="E426" t="s">
        <v>2751</v>
      </c>
      <c r="F426" t="s">
        <v>9</v>
      </c>
      <c r="G426" s="21">
        <v>1</v>
      </c>
      <c r="H426" s="21">
        <v>0</v>
      </c>
      <c r="I426" t="s">
        <v>1350</v>
      </c>
      <c r="J426" s="20" t="s">
        <v>2216</v>
      </c>
      <c r="K426" t="s">
        <v>2215</v>
      </c>
    </row>
    <row r="427" spans="2:11" x14ac:dyDescent="0.2">
      <c r="B427" s="21">
        <f t="shared" si="6"/>
        <v>1694</v>
      </c>
      <c r="C427" t="s">
        <v>235</v>
      </c>
      <c r="D427" t="s">
        <v>13</v>
      </c>
      <c r="E427" t="s">
        <v>2751</v>
      </c>
      <c r="F427" t="s">
        <v>34</v>
      </c>
      <c r="G427" s="21">
        <v>1</v>
      </c>
      <c r="H427" s="21">
        <v>0</v>
      </c>
      <c r="I427" t="s">
        <v>1353</v>
      </c>
      <c r="J427" s="20" t="s">
        <v>2216</v>
      </c>
      <c r="K427" t="s">
        <v>2215</v>
      </c>
    </row>
    <row r="428" spans="2:11" x14ac:dyDescent="0.2">
      <c r="B428" s="21">
        <f t="shared" si="6"/>
        <v>1693</v>
      </c>
      <c r="C428" t="s">
        <v>235</v>
      </c>
      <c r="D428" t="s">
        <v>13</v>
      </c>
      <c r="E428" t="s">
        <v>2751</v>
      </c>
      <c r="F428" t="s">
        <v>43</v>
      </c>
      <c r="G428" s="21">
        <v>1</v>
      </c>
      <c r="H428" s="21">
        <v>0</v>
      </c>
      <c r="I428" t="s">
        <v>1351</v>
      </c>
      <c r="J428" s="20" t="s">
        <v>2216</v>
      </c>
      <c r="K428" t="s">
        <v>2216</v>
      </c>
    </row>
    <row r="429" spans="2:11" x14ac:dyDescent="0.2">
      <c r="B429" s="21">
        <f t="shared" si="6"/>
        <v>1692</v>
      </c>
      <c r="C429" t="s">
        <v>235</v>
      </c>
      <c r="D429" t="s">
        <v>13</v>
      </c>
      <c r="E429" t="s">
        <v>2751</v>
      </c>
      <c r="F429" t="s">
        <v>8</v>
      </c>
      <c r="G429" s="21">
        <v>1</v>
      </c>
      <c r="H429" s="21">
        <v>0</v>
      </c>
      <c r="I429" t="s">
        <v>1352</v>
      </c>
      <c r="J429" s="20" t="s">
        <v>2216</v>
      </c>
      <c r="K429" t="s">
        <v>2216</v>
      </c>
    </row>
    <row r="430" spans="2:11" x14ac:dyDescent="0.2">
      <c r="B430" s="21">
        <f t="shared" si="6"/>
        <v>1691</v>
      </c>
      <c r="C430" t="s">
        <v>235</v>
      </c>
      <c r="D430" t="s">
        <v>13</v>
      </c>
      <c r="E430" t="s">
        <v>2751</v>
      </c>
      <c r="F430" t="s">
        <v>34</v>
      </c>
      <c r="G430" s="21">
        <v>1</v>
      </c>
      <c r="H430" s="21">
        <v>0</v>
      </c>
      <c r="I430" t="s">
        <v>1345</v>
      </c>
      <c r="J430" s="20" t="s">
        <v>2217</v>
      </c>
      <c r="K430" t="s">
        <v>2217</v>
      </c>
    </row>
    <row r="431" spans="2:11" x14ac:dyDescent="0.2">
      <c r="B431" s="21">
        <f t="shared" si="6"/>
        <v>1690</v>
      </c>
      <c r="C431" t="s">
        <v>756</v>
      </c>
      <c r="D431" t="s">
        <v>13</v>
      </c>
      <c r="E431" t="s">
        <v>2751</v>
      </c>
      <c r="F431" t="s">
        <v>115</v>
      </c>
      <c r="G431" s="21">
        <v>1</v>
      </c>
      <c r="H431" s="21">
        <v>0</v>
      </c>
      <c r="I431" t="s">
        <v>1343</v>
      </c>
      <c r="J431" s="20" t="s">
        <v>2217</v>
      </c>
      <c r="K431" t="s">
        <v>2217</v>
      </c>
    </row>
    <row r="432" spans="2:11" x14ac:dyDescent="0.2">
      <c r="B432" s="21">
        <f t="shared" si="6"/>
        <v>1689</v>
      </c>
      <c r="C432" t="s">
        <v>756</v>
      </c>
      <c r="D432" t="s">
        <v>13</v>
      </c>
      <c r="E432" t="s">
        <v>2751</v>
      </c>
      <c r="F432" t="s">
        <v>8</v>
      </c>
      <c r="G432" s="21">
        <v>1</v>
      </c>
      <c r="H432" s="21">
        <v>0</v>
      </c>
      <c r="I432" t="s">
        <v>1348</v>
      </c>
      <c r="J432" s="20" t="s">
        <v>2217</v>
      </c>
      <c r="K432" t="s">
        <v>2217</v>
      </c>
    </row>
    <row r="433" spans="2:11" x14ac:dyDescent="0.2">
      <c r="B433" s="21">
        <f t="shared" si="6"/>
        <v>1688</v>
      </c>
      <c r="C433" t="s">
        <v>235</v>
      </c>
      <c r="D433" t="s">
        <v>13</v>
      </c>
      <c r="E433" t="s">
        <v>2751</v>
      </c>
      <c r="F433" t="s">
        <v>34</v>
      </c>
      <c r="G433" s="21">
        <v>1</v>
      </c>
      <c r="H433" s="21">
        <v>0</v>
      </c>
      <c r="I433" t="s">
        <v>1344</v>
      </c>
      <c r="J433" s="20" t="s">
        <v>2217</v>
      </c>
      <c r="K433" t="s">
        <v>2217</v>
      </c>
    </row>
    <row r="434" spans="2:11" x14ac:dyDescent="0.2">
      <c r="B434" s="21">
        <f t="shared" si="6"/>
        <v>1687</v>
      </c>
      <c r="C434" t="s">
        <v>1346</v>
      </c>
      <c r="D434" t="s">
        <v>13</v>
      </c>
      <c r="E434" t="s">
        <v>2751</v>
      </c>
      <c r="F434" t="s">
        <v>4</v>
      </c>
      <c r="G434" s="21">
        <v>1</v>
      </c>
      <c r="H434" s="21">
        <v>0</v>
      </c>
      <c r="I434" t="s">
        <v>1347</v>
      </c>
      <c r="J434" s="20" t="s">
        <v>2217</v>
      </c>
      <c r="K434" t="s">
        <v>2666</v>
      </c>
    </row>
    <row r="435" spans="2:11" x14ac:dyDescent="0.2">
      <c r="B435" s="21">
        <f t="shared" si="6"/>
        <v>1686</v>
      </c>
      <c r="C435" t="s">
        <v>235</v>
      </c>
      <c r="D435" t="s">
        <v>13</v>
      </c>
      <c r="E435" t="s">
        <v>2751</v>
      </c>
      <c r="F435" t="s">
        <v>43</v>
      </c>
      <c r="G435" s="21">
        <v>1</v>
      </c>
      <c r="H435" s="21">
        <v>0</v>
      </c>
      <c r="I435" t="s">
        <v>1349</v>
      </c>
      <c r="J435" s="20" t="s">
        <v>2217</v>
      </c>
      <c r="K435" t="s">
        <v>2217</v>
      </c>
    </row>
    <row r="436" spans="2:11" x14ac:dyDescent="0.2">
      <c r="B436" s="21">
        <f t="shared" si="6"/>
        <v>1685</v>
      </c>
      <c r="C436" t="s">
        <v>701</v>
      </c>
      <c r="D436" t="s">
        <v>13</v>
      </c>
      <c r="E436" t="s">
        <v>2751</v>
      </c>
      <c r="F436" t="s">
        <v>34</v>
      </c>
      <c r="G436" s="21">
        <v>1</v>
      </c>
      <c r="H436" s="21">
        <v>0</v>
      </c>
      <c r="J436" s="20" t="s">
        <v>2218</v>
      </c>
      <c r="K436" t="s">
        <v>2667</v>
      </c>
    </row>
    <row r="437" spans="2:11" x14ac:dyDescent="0.2">
      <c r="B437" s="21">
        <f t="shared" si="6"/>
        <v>1684</v>
      </c>
      <c r="C437" t="s">
        <v>235</v>
      </c>
      <c r="D437" t="s">
        <v>13</v>
      </c>
      <c r="E437" t="s">
        <v>2751</v>
      </c>
      <c r="F437" t="s">
        <v>34</v>
      </c>
      <c r="G437" s="21">
        <v>1</v>
      </c>
      <c r="H437" s="21">
        <v>0</v>
      </c>
      <c r="I437" t="s">
        <v>1339</v>
      </c>
      <c r="J437" s="20" t="s">
        <v>2218</v>
      </c>
      <c r="K437" t="s">
        <v>2667</v>
      </c>
    </row>
    <row r="438" spans="2:11" x14ac:dyDescent="0.2">
      <c r="B438" s="21">
        <f t="shared" si="6"/>
        <v>1683</v>
      </c>
      <c r="C438" t="s">
        <v>235</v>
      </c>
      <c r="D438" t="s">
        <v>13</v>
      </c>
      <c r="E438" t="s">
        <v>2751</v>
      </c>
      <c r="F438" t="s">
        <v>8</v>
      </c>
      <c r="G438" s="21">
        <v>1</v>
      </c>
      <c r="H438" s="21">
        <v>0</v>
      </c>
      <c r="I438" t="s">
        <v>1342</v>
      </c>
      <c r="J438" s="20" t="s">
        <v>2218</v>
      </c>
      <c r="K438" t="s">
        <v>2218</v>
      </c>
    </row>
    <row r="439" spans="2:11" x14ac:dyDescent="0.2">
      <c r="B439" s="21">
        <f t="shared" si="6"/>
        <v>1682</v>
      </c>
      <c r="C439" t="s">
        <v>756</v>
      </c>
      <c r="D439" t="s">
        <v>13</v>
      </c>
      <c r="E439" t="s">
        <v>2751</v>
      </c>
      <c r="F439" t="s">
        <v>8</v>
      </c>
      <c r="G439" s="21">
        <v>1</v>
      </c>
      <c r="H439" s="21">
        <v>0</v>
      </c>
      <c r="I439" t="s">
        <v>1341</v>
      </c>
      <c r="J439" s="20" t="s">
        <v>2218</v>
      </c>
      <c r="K439" t="s">
        <v>2218</v>
      </c>
    </row>
    <row r="440" spans="2:11" x14ac:dyDescent="0.2">
      <c r="B440" s="21">
        <f t="shared" si="6"/>
        <v>1681</v>
      </c>
      <c r="C440" t="s">
        <v>235</v>
      </c>
      <c r="D440" t="s">
        <v>13</v>
      </c>
      <c r="E440" t="s">
        <v>2751</v>
      </c>
      <c r="F440" t="s">
        <v>34</v>
      </c>
      <c r="G440" s="21">
        <v>1</v>
      </c>
      <c r="H440" s="21">
        <v>0</v>
      </c>
      <c r="I440" t="s">
        <v>1340</v>
      </c>
      <c r="J440" s="20" t="s">
        <v>2218</v>
      </c>
      <c r="K440" t="s">
        <v>2218</v>
      </c>
    </row>
    <row r="441" spans="2:11" x14ac:dyDescent="0.2">
      <c r="B441" s="21">
        <f t="shared" si="6"/>
        <v>1680</v>
      </c>
      <c r="C441" t="s">
        <v>701</v>
      </c>
      <c r="D441" t="s">
        <v>13</v>
      </c>
      <c r="E441" t="s">
        <v>2751</v>
      </c>
      <c r="F441" t="s">
        <v>34</v>
      </c>
      <c r="G441" s="21">
        <v>1</v>
      </c>
      <c r="H441" s="21">
        <v>0</v>
      </c>
      <c r="J441" s="20" t="s">
        <v>2219</v>
      </c>
      <c r="K441" t="s">
        <v>2218</v>
      </c>
    </row>
    <row r="442" spans="2:11" x14ac:dyDescent="0.2">
      <c r="B442" s="21">
        <f t="shared" si="6"/>
        <v>1679</v>
      </c>
      <c r="C442" t="s">
        <v>235</v>
      </c>
      <c r="D442" t="s">
        <v>13</v>
      </c>
      <c r="E442" t="s">
        <v>2751</v>
      </c>
      <c r="F442" t="s">
        <v>34</v>
      </c>
      <c r="G442" s="21">
        <v>1</v>
      </c>
      <c r="H442" s="21">
        <v>0</v>
      </c>
      <c r="I442" t="s">
        <v>1333</v>
      </c>
      <c r="J442" s="20" t="s">
        <v>2219</v>
      </c>
      <c r="K442" t="s">
        <v>2218</v>
      </c>
    </row>
    <row r="443" spans="2:11" x14ac:dyDescent="0.2">
      <c r="B443" s="21">
        <f t="shared" si="6"/>
        <v>1678</v>
      </c>
      <c r="C443" t="s">
        <v>235</v>
      </c>
      <c r="D443" t="s">
        <v>13</v>
      </c>
      <c r="E443" t="s">
        <v>2751</v>
      </c>
      <c r="F443" t="s">
        <v>8</v>
      </c>
      <c r="G443" s="21">
        <v>1</v>
      </c>
      <c r="H443" s="21">
        <v>0</v>
      </c>
      <c r="I443" t="s">
        <v>1338</v>
      </c>
      <c r="J443" s="20" t="s">
        <v>2219</v>
      </c>
      <c r="K443" t="s">
        <v>2218</v>
      </c>
    </row>
    <row r="444" spans="2:11" x14ac:dyDescent="0.2">
      <c r="B444" s="21">
        <f t="shared" si="6"/>
        <v>1677</v>
      </c>
      <c r="C444" t="s">
        <v>756</v>
      </c>
      <c r="D444" t="s">
        <v>13</v>
      </c>
      <c r="E444" t="s">
        <v>2751</v>
      </c>
      <c r="F444" t="s">
        <v>8</v>
      </c>
      <c r="G444" s="21">
        <v>1</v>
      </c>
      <c r="H444" s="21">
        <v>0</v>
      </c>
      <c r="I444" t="s">
        <v>1337</v>
      </c>
      <c r="J444" s="20" t="s">
        <v>2219</v>
      </c>
      <c r="K444" t="s">
        <v>2218</v>
      </c>
    </row>
    <row r="445" spans="2:11" x14ac:dyDescent="0.2">
      <c r="B445" s="21">
        <f t="shared" si="6"/>
        <v>1676</v>
      </c>
      <c r="C445" t="s">
        <v>701</v>
      </c>
      <c r="D445" t="s">
        <v>13</v>
      </c>
      <c r="E445" t="s">
        <v>2751</v>
      </c>
      <c r="F445" t="s">
        <v>34</v>
      </c>
      <c r="G445" s="21">
        <v>1</v>
      </c>
      <c r="H445" s="21">
        <v>0</v>
      </c>
      <c r="J445" s="20" t="s">
        <v>2220</v>
      </c>
      <c r="K445" t="s">
        <v>2219</v>
      </c>
    </row>
    <row r="446" spans="2:11" x14ac:dyDescent="0.2">
      <c r="B446" s="21">
        <f t="shared" si="6"/>
        <v>1675</v>
      </c>
      <c r="C446" t="s">
        <v>235</v>
      </c>
      <c r="D446" t="s">
        <v>13</v>
      </c>
      <c r="E446" t="s">
        <v>2751</v>
      </c>
      <c r="F446" t="s">
        <v>34</v>
      </c>
      <c r="G446" s="21">
        <v>1</v>
      </c>
      <c r="H446" s="21">
        <v>0</v>
      </c>
      <c r="I446" t="s">
        <v>1333</v>
      </c>
      <c r="J446" s="20" t="s">
        <v>2220</v>
      </c>
      <c r="K446" t="s">
        <v>2219</v>
      </c>
    </row>
    <row r="447" spans="2:11" x14ac:dyDescent="0.2">
      <c r="B447" s="21">
        <f t="shared" si="6"/>
        <v>1674</v>
      </c>
      <c r="C447" t="s">
        <v>235</v>
      </c>
      <c r="D447" t="s">
        <v>13</v>
      </c>
      <c r="E447" t="s">
        <v>2751</v>
      </c>
      <c r="F447" t="s">
        <v>8</v>
      </c>
      <c r="G447" s="21">
        <v>1</v>
      </c>
      <c r="H447" s="21">
        <v>0</v>
      </c>
      <c r="J447" s="20" t="s">
        <v>2220</v>
      </c>
      <c r="K447" t="s">
        <v>2219</v>
      </c>
    </row>
    <row r="448" spans="2:11" x14ac:dyDescent="0.2">
      <c r="B448" s="21">
        <f t="shared" si="6"/>
        <v>1673</v>
      </c>
      <c r="C448" t="s">
        <v>235</v>
      </c>
      <c r="D448" t="s">
        <v>13</v>
      </c>
      <c r="E448" t="s">
        <v>2751</v>
      </c>
      <c r="F448" t="s">
        <v>34</v>
      </c>
      <c r="G448" s="21">
        <v>1</v>
      </c>
      <c r="H448" s="21">
        <v>0</v>
      </c>
      <c r="I448" t="s">
        <v>1335</v>
      </c>
      <c r="J448" s="20" t="s">
        <v>2220</v>
      </c>
      <c r="K448" t="s">
        <v>2220</v>
      </c>
    </row>
    <row r="449" spans="2:11" x14ac:dyDescent="0.2">
      <c r="B449" s="21">
        <f t="shared" si="6"/>
        <v>1672</v>
      </c>
      <c r="C449" t="s">
        <v>756</v>
      </c>
      <c r="D449" t="s">
        <v>13</v>
      </c>
      <c r="E449" t="s">
        <v>2751</v>
      </c>
      <c r="F449" t="s">
        <v>8</v>
      </c>
      <c r="G449" s="21">
        <v>1</v>
      </c>
      <c r="H449" s="21">
        <v>0</v>
      </c>
      <c r="I449" t="s">
        <v>1336</v>
      </c>
      <c r="J449" s="20" t="s">
        <v>2220</v>
      </c>
      <c r="K449" t="s">
        <v>2220</v>
      </c>
    </row>
    <row r="450" spans="2:11" x14ac:dyDescent="0.2">
      <c r="B450" s="21">
        <f t="shared" si="6"/>
        <v>1671</v>
      </c>
      <c r="C450" t="s">
        <v>701</v>
      </c>
      <c r="D450" t="s">
        <v>13</v>
      </c>
      <c r="E450" t="s">
        <v>2751</v>
      </c>
      <c r="F450" t="s">
        <v>34</v>
      </c>
      <c r="G450" s="21">
        <v>1</v>
      </c>
      <c r="H450" s="21">
        <v>0</v>
      </c>
      <c r="I450" t="s">
        <v>1334</v>
      </c>
      <c r="J450" s="20" t="s">
        <v>2221</v>
      </c>
      <c r="K450" t="s">
        <v>2221</v>
      </c>
    </row>
    <row r="451" spans="2:11" x14ac:dyDescent="0.2">
      <c r="B451" s="21">
        <f t="shared" si="6"/>
        <v>1670</v>
      </c>
      <c r="C451" t="s">
        <v>235</v>
      </c>
      <c r="D451" t="s">
        <v>13</v>
      </c>
      <c r="E451" t="s">
        <v>2751</v>
      </c>
      <c r="F451" t="s">
        <v>43</v>
      </c>
      <c r="G451" s="21">
        <v>1</v>
      </c>
      <c r="H451" s="21">
        <v>0</v>
      </c>
      <c r="I451" t="s">
        <v>1332</v>
      </c>
      <c r="J451" s="20" t="s">
        <v>2221</v>
      </c>
      <c r="K451" t="s">
        <v>2221</v>
      </c>
    </row>
    <row r="452" spans="2:11" x14ac:dyDescent="0.2">
      <c r="B452" s="21">
        <f t="shared" si="6"/>
        <v>1669</v>
      </c>
      <c r="C452" t="s">
        <v>235</v>
      </c>
      <c r="D452" t="s">
        <v>13</v>
      </c>
      <c r="E452" t="s">
        <v>2751</v>
      </c>
      <c r="F452" t="s">
        <v>34</v>
      </c>
      <c r="G452" s="21">
        <v>1</v>
      </c>
      <c r="H452" s="21">
        <v>0</v>
      </c>
      <c r="I452" t="s">
        <v>1333</v>
      </c>
      <c r="J452" s="20" t="s">
        <v>2221</v>
      </c>
      <c r="K452" t="s">
        <v>2220</v>
      </c>
    </row>
    <row r="453" spans="2:11" x14ac:dyDescent="0.2">
      <c r="B453" s="21">
        <f t="shared" ref="B453:B516" si="7">B452-1</f>
        <v>1668</v>
      </c>
      <c r="C453" t="s">
        <v>235</v>
      </c>
      <c r="D453" t="s">
        <v>13</v>
      </c>
      <c r="E453" t="s">
        <v>2751</v>
      </c>
      <c r="F453" t="s">
        <v>8</v>
      </c>
      <c r="G453" s="21">
        <v>1</v>
      </c>
      <c r="H453" s="21">
        <v>0</v>
      </c>
      <c r="I453" t="s">
        <v>1331</v>
      </c>
      <c r="J453" s="20" t="s">
        <v>2221</v>
      </c>
      <c r="K453" t="s">
        <v>2221</v>
      </c>
    </row>
    <row r="454" spans="2:11" x14ac:dyDescent="0.2">
      <c r="B454" s="21">
        <f t="shared" si="7"/>
        <v>1667</v>
      </c>
      <c r="C454" t="s">
        <v>701</v>
      </c>
      <c r="D454" t="s">
        <v>13</v>
      </c>
      <c r="E454" t="s">
        <v>2751</v>
      </c>
      <c r="F454" t="s">
        <v>34</v>
      </c>
      <c r="G454" s="21">
        <v>1</v>
      </c>
      <c r="H454" s="21">
        <v>0</v>
      </c>
      <c r="J454" s="20" t="s">
        <v>2222</v>
      </c>
      <c r="K454" t="s">
        <v>2221</v>
      </c>
    </row>
    <row r="455" spans="2:11" x14ac:dyDescent="0.2">
      <c r="B455" s="21">
        <f t="shared" si="7"/>
        <v>1666</v>
      </c>
      <c r="C455" t="s">
        <v>901</v>
      </c>
      <c r="D455" t="s">
        <v>13</v>
      </c>
      <c r="E455" t="s">
        <v>2751</v>
      </c>
      <c r="F455" t="s">
        <v>27</v>
      </c>
      <c r="G455" s="21">
        <v>1</v>
      </c>
      <c r="H455" s="21">
        <v>0</v>
      </c>
      <c r="I455" t="s">
        <v>1328</v>
      </c>
      <c r="J455" s="20" t="s">
        <v>2222</v>
      </c>
      <c r="K455" t="s">
        <v>2222</v>
      </c>
    </row>
    <row r="456" spans="2:11" x14ac:dyDescent="0.2">
      <c r="B456" s="21">
        <f t="shared" si="7"/>
        <v>1665</v>
      </c>
      <c r="C456" t="s">
        <v>901</v>
      </c>
      <c r="D456" t="s">
        <v>13</v>
      </c>
      <c r="E456" t="s">
        <v>2751</v>
      </c>
      <c r="F456" t="s">
        <v>43</v>
      </c>
      <c r="G456" s="21">
        <v>1</v>
      </c>
      <c r="H456" s="21">
        <v>0</v>
      </c>
      <c r="I456" t="s">
        <v>1330</v>
      </c>
      <c r="J456" s="20" t="s">
        <v>2222</v>
      </c>
      <c r="K456" t="s">
        <v>2222</v>
      </c>
    </row>
    <row r="457" spans="2:11" x14ac:dyDescent="0.2">
      <c r="B457" s="21">
        <f t="shared" si="7"/>
        <v>1664</v>
      </c>
      <c r="C457" t="s">
        <v>235</v>
      </c>
      <c r="D457" t="s">
        <v>13</v>
      </c>
      <c r="E457" t="s">
        <v>2751</v>
      </c>
      <c r="F457" t="s">
        <v>43</v>
      </c>
      <c r="G457" s="21">
        <v>1</v>
      </c>
      <c r="H457" s="21">
        <v>0</v>
      </c>
      <c r="I457" t="s">
        <v>1329</v>
      </c>
      <c r="J457" s="20" t="s">
        <v>2222</v>
      </c>
      <c r="K457" t="s">
        <v>2222</v>
      </c>
    </row>
    <row r="458" spans="2:11" x14ac:dyDescent="0.2">
      <c r="B458" s="21">
        <f t="shared" si="7"/>
        <v>1663</v>
      </c>
      <c r="C458" t="s">
        <v>701</v>
      </c>
      <c r="D458" t="s">
        <v>13</v>
      </c>
      <c r="E458" t="s">
        <v>2751</v>
      </c>
      <c r="F458" t="s">
        <v>34</v>
      </c>
      <c r="G458" s="21">
        <v>1</v>
      </c>
      <c r="H458" s="21">
        <v>0</v>
      </c>
      <c r="J458" s="20" t="s">
        <v>2223</v>
      </c>
      <c r="K458" t="s">
        <v>2222</v>
      </c>
    </row>
    <row r="459" spans="2:11" x14ac:dyDescent="0.2">
      <c r="B459" s="21">
        <f t="shared" si="7"/>
        <v>1662</v>
      </c>
      <c r="C459" t="s">
        <v>901</v>
      </c>
      <c r="D459" t="s">
        <v>13</v>
      </c>
      <c r="E459" t="s">
        <v>2751</v>
      </c>
      <c r="F459" t="s">
        <v>27</v>
      </c>
      <c r="G459" s="21">
        <v>1</v>
      </c>
      <c r="H459" s="21">
        <v>0</v>
      </c>
      <c r="J459" s="20" t="s">
        <v>2223</v>
      </c>
      <c r="K459" t="s">
        <v>2222</v>
      </c>
    </row>
    <row r="460" spans="2:11" x14ac:dyDescent="0.2">
      <c r="B460" s="21">
        <f t="shared" si="7"/>
        <v>1661</v>
      </c>
      <c r="C460" t="s">
        <v>901</v>
      </c>
      <c r="D460" t="s">
        <v>13</v>
      </c>
      <c r="E460" t="s">
        <v>2751</v>
      </c>
      <c r="F460" t="s">
        <v>43</v>
      </c>
      <c r="G460" s="21">
        <v>1</v>
      </c>
      <c r="H460" s="21">
        <v>0</v>
      </c>
      <c r="J460" s="20" t="s">
        <v>2223</v>
      </c>
      <c r="K460" t="s">
        <v>2222</v>
      </c>
    </row>
    <row r="461" spans="2:11" x14ac:dyDescent="0.2">
      <c r="B461" s="21">
        <f t="shared" si="7"/>
        <v>1660</v>
      </c>
      <c r="C461" t="s">
        <v>235</v>
      </c>
      <c r="D461" t="s">
        <v>13</v>
      </c>
      <c r="E461" t="s">
        <v>2751</v>
      </c>
      <c r="F461" t="s">
        <v>43</v>
      </c>
      <c r="G461" s="21">
        <v>1</v>
      </c>
      <c r="H461" s="21">
        <v>0</v>
      </c>
      <c r="I461" t="s">
        <v>1327</v>
      </c>
      <c r="J461" s="20" t="s">
        <v>2223</v>
      </c>
      <c r="K461" t="s">
        <v>2223</v>
      </c>
    </row>
    <row r="462" spans="2:11" x14ac:dyDescent="0.2">
      <c r="B462" s="21">
        <f t="shared" si="7"/>
        <v>1659</v>
      </c>
      <c r="C462" t="s">
        <v>701</v>
      </c>
      <c r="D462" t="s">
        <v>13</v>
      </c>
      <c r="E462" t="s">
        <v>2751</v>
      </c>
      <c r="F462" t="s">
        <v>34</v>
      </c>
      <c r="G462" s="21">
        <v>1</v>
      </c>
      <c r="H462" s="21">
        <v>0</v>
      </c>
      <c r="J462" s="20" t="s">
        <v>2224</v>
      </c>
      <c r="K462" t="s">
        <v>2668</v>
      </c>
    </row>
    <row r="463" spans="2:11" x14ac:dyDescent="0.2">
      <c r="B463" s="21">
        <f t="shared" si="7"/>
        <v>1658</v>
      </c>
      <c r="C463" t="s">
        <v>901</v>
      </c>
      <c r="D463" t="s">
        <v>13</v>
      </c>
      <c r="E463" t="s">
        <v>2751</v>
      </c>
      <c r="F463" t="s">
        <v>27</v>
      </c>
      <c r="G463" s="21">
        <v>1</v>
      </c>
      <c r="H463" s="21">
        <v>0</v>
      </c>
      <c r="J463" s="20" t="s">
        <v>2224</v>
      </c>
      <c r="K463" t="s">
        <v>2668</v>
      </c>
    </row>
    <row r="464" spans="2:11" x14ac:dyDescent="0.2">
      <c r="B464" s="21">
        <f t="shared" si="7"/>
        <v>1657</v>
      </c>
      <c r="C464" t="s">
        <v>901</v>
      </c>
      <c r="D464" t="s">
        <v>13</v>
      </c>
      <c r="E464" t="s">
        <v>2751</v>
      </c>
      <c r="F464" t="s">
        <v>43</v>
      </c>
      <c r="G464" s="21">
        <v>1</v>
      </c>
      <c r="H464" s="21">
        <v>0</v>
      </c>
      <c r="J464" s="20" t="s">
        <v>2224</v>
      </c>
      <c r="K464" t="s">
        <v>2668</v>
      </c>
    </row>
    <row r="465" spans="2:11" x14ac:dyDescent="0.2">
      <c r="B465" s="21">
        <f t="shared" si="7"/>
        <v>1656</v>
      </c>
      <c r="C465" t="s">
        <v>235</v>
      </c>
      <c r="D465" t="s">
        <v>13</v>
      </c>
      <c r="E465" t="s">
        <v>2751</v>
      </c>
      <c r="F465" t="s">
        <v>43</v>
      </c>
      <c r="G465" s="21">
        <v>1</v>
      </c>
      <c r="H465" s="21">
        <v>0</v>
      </c>
      <c r="I465" t="s">
        <v>1326</v>
      </c>
      <c r="J465" s="20" t="s">
        <v>2224</v>
      </c>
      <c r="K465" t="s">
        <v>2224</v>
      </c>
    </row>
    <row r="466" spans="2:11" x14ac:dyDescent="0.2">
      <c r="B466" s="21">
        <f t="shared" si="7"/>
        <v>1655</v>
      </c>
      <c r="C466" t="s">
        <v>235</v>
      </c>
      <c r="D466" t="s">
        <v>13</v>
      </c>
      <c r="E466" t="s">
        <v>2751</v>
      </c>
      <c r="F466" t="s">
        <v>43</v>
      </c>
      <c r="G466" s="21">
        <v>1</v>
      </c>
      <c r="H466" s="21">
        <v>0</v>
      </c>
      <c r="J466" s="20" t="s">
        <v>2224</v>
      </c>
      <c r="K466" t="s">
        <v>2668</v>
      </c>
    </row>
    <row r="467" spans="2:11" x14ac:dyDescent="0.2">
      <c r="B467" s="21">
        <f t="shared" si="7"/>
        <v>1654</v>
      </c>
      <c r="C467" t="s">
        <v>701</v>
      </c>
      <c r="D467" t="s">
        <v>13</v>
      </c>
      <c r="E467" t="s">
        <v>2751</v>
      </c>
      <c r="F467" t="s">
        <v>34</v>
      </c>
      <c r="G467" s="21">
        <v>1</v>
      </c>
      <c r="H467" s="21">
        <v>0</v>
      </c>
      <c r="J467" s="20" t="s">
        <v>2225</v>
      </c>
      <c r="K467" t="s">
        <v>2224</v>
      </c>
    </row>
    <row r="468" spans="2:11" x14ac:dyDescent="0.2">
      <c r="B468" s="21">
        <f t="shared" si="7"/>
        <v>1653</v>
      </c>
      <c r="C468" t="s">
        <v>901</v>
      </c>
      <c r="D468" t="s">
        <v>13</v>
      </c>
      <c r="E468" t="s">
        <v>2751</v>
      </c>
      <c r="F468" t="s">
        <v>27</v>
      </c>
      <c r="G468" s="21">
        <v>1</v>
      </c>
      <c r="H468" s="21">
        <v>0</v>
      </c>
      <c r="J468" s="20" t="s">
        <v>2225</v>
      </c>
      <c r="K468" t="s">
        <v>2224</v>
      </c>
    </row>
    <row r="469" spans="2:11" x14ac:dyDescent="0.2">
      <c r="B469" s="21">
        <f t="shared" si="7"/>
        <v>1652</v>
      </c>
      <c r="C469" t="s">
        <v>901</v>
      </c>
      <c r="D469" t="s">
        <v>13</v>
      </c>
      <c r="E469" t="s">
        <v>2751</v>
      </c>
      <c r="F469" t="s">
        <v>43</v>
      </c>
      <c r="G469" s="21">
        <v>1</v>
      </c>
      <c r="H469" s="21">
        <v>0</v>
      </c>
      <c r="J469" s="20" t="s">
        <v>2225</v>
      </c>
      <c r="K469" t="s">
        <v>2224</v>
      </c>
    </row>
    <row r="470" spans="2:11" x14ac:dyDescent="0.2">
      <c r="B470" s="21">
        <f t="shared" si="7"/>
        <v>1651</v>
      </c>
      <c r="C470" t="s">
        <v>235</v>
      </c>
      <c r="D470" t="s">
        <v>13</v>
      </c>
      <c r="E470" t="s">
        <v>2751</v>
      </c>
      <c r="F470" t="s">
        <v>43</v>
      </c>
      <c r="G470" s="21">
        <v>1</v>
      </c>
      <c r="H470" s="21">
        <v>0</v>
      </c>
      <c r="J470" s="20" t="s">
        <v>2225</v>
      </c>
      <c r="K470" t="s">
        <v>2224</v>
      </c>
    </row>
    <row r="471" spans="2:11" x14ac:dyDescent="0.2">
      <c r="B471" s="21">
        <f t="shared" si="7"/>
        <v>1650</v>
      </c>
      <c r="C471" t="s">
        <v>701</v>
      </c>
      <c r="D471" t="s">
        <v>13</v>
      </c>
      <c r="E471" t="s">
        <v>2751</v>
      </c>
      <c r="F471" t="s">
        <v>34</v>
      </c>
      <c r="G471" s="21">
        <v>1</v>
      </c>
      <c r="H471" s="21">
        <v>0</v>
      </c>
      <c r="J471" s="20" t="s">
        <v>2226</v>
      </c>
      <c r="K471" t="s">
        <v>2225</v>
      </c>
    </row>
    <row r="472" spans="2:11" x14ac:dyDescent="0.2">
      <c r="B472" s="21">
        <f t="shared" si="7"/>
        <v>1649</v>
      </c>
      <c r="C472" t="s">
        <v>901</v>
      </c>
      <c r="D472" t="s">
        <v>13</v>
      </c>
      <c r="E472" t="s">
        <v>2751</v>
      </c>
      <c r="F472" t="s">
        <v>27</v>
      </c>
      <c r="G472" s="21">
        <v>1</v>
      </c>
      <c r="H472" s="21">
        <v>0</v>
      </c>
      <c r="J472" s="20" t="s">
        <v>2226</v>
      </c>
      <c r="K472" t="s">
        <v>2225</v>
      </c>
    </row>
    <row r="473" spans="2:11" x14ac:dyDescent="0.2">
      <c r="B473" s="21">
        <f t="shared" si="7"/>
        <v>1648</v>
      </c>
      <c r="C473" t="s">
        <v>901</v>
      </c>
      <c r="D473" t="s">
        <v>13</v>
      </c>
      <c r="E473" t="s">
        <v>2751</v>
      </c>
      <c r="F473" t="s">
        <v>61</v>
      </c>
      <c r="G473" s="21">
        <v>1</v>
      </c>
      <c r="H473" s="21">
        <v>0</v>
      </c>
      <c r="I473" t="s">
        <v>1324</v>
      </c>
      <c r="J473" s="20" t="s">
        <v>2226</v>
      </c>
      <c r="K473" t="s">
        <v>2226</v>
      </c>
    </row>
    <row r="474" spans="2:11" x14ac:dyDescent="0.2">
      <c r="B474" s="21">
        <f t="shared" si="7"/>
        <v>1647</v>
      </c>
      <c r="C474" t="s">
        <v>235</v>
      </c>
      <c r="D474" t="s">
        <v>13</v>
      </c>
      <c r="E474" t="s">
        <v>2751</v>
      </c>
      <c r="F474" t="s">
        <v>43</v>
      </c>
      <c r="G474" s="21">
        <v>1</v>
      </c>
      <c r="H474" s="21">
        <v>0</v>
      </c>
      <c r="J474" s="20" t="s">
        <v>2226</v>
      </c>
      <c r="K474" t="s">
        <v>2225</v>
      </c>
    </row>
    <row r="475" spans="2:11" x14ac:dyDescent="0.2">
      <c r="B475" s="21">
        <f t="shared" si="7"/>
        <v>1646</v>
      </c>
      <c r="C475" t="s">
        <v>756</v>
      </c>
      <c r="D475" t="s">
        <v>13</v>
      </c>
      <c r="E475" t="s">
        <v>2751</v>
      </c>
      <c r="F475" t="s">
        <v>8</v>
      </c>
      <c r="G475" s="21">
        <v>1</v>
      </c>
      <c r="H475" s="21">
        <v>0</v>
      </c>
      <c r="I475" t="s">
        <v>1323</v>
      </c>
      <c r="J475" s="20" t="s">
        <v>2226</v>
      </c>
      <c r="K475" t="s">
        <v>2226</v>
      </c>
    </row>
    <row r="476" spans="2:11" x14ac:dyDescent="0.2">
      <c r="B476" s="21">
        <f t="shared" si="7"/>
        <v>1645</v>
      </c>
      <c r="C476" t="s">
        <v>235</v>
      </c>
      <c r="D476" t="s">
        <v>13</v>
      </c>
      <c r="E476" t="s">
        <v>2751</v>
      </c>
      <c r="F476" t="s">
        <v>31</v>
      </c>
      <c r="G476" s="21">
        <v>1</v>
      </c>
      <c r="H476" s="21">
        <v>0</v>
      </c>
      <c r="I476" t="s">
        <v>1325</v>
      </c>
      <c r="J476" s="20" t="s">
        <v>2226</v>
      </c>
      <c r="K476" t="s">
        <v>2226</v>
      </c>
    </row>
    <row r="477" spans="2:11" x14ac:dyDescent="0.2">
      <c r="B477" s="21">
        <f t="shared" si="7"/>
        <v>1644</v>
      </c>
      <c r="C477" t="s">
        <v>701</v>
      </c>
      <c r="D477" t="s">
        <v>13</v>
      </c>
      <c r="E477" t="s">
        <v>2751</v>
      </c>
      <c r="F477" t="s">
        <v>34</v>
      </c>
      <c r="G477" s="21">
        <v>1</v>
      </c>
      <c r="H477" s="21">
        <v>0</v>
      </c>
      <c r="J477" s="20" t="s">
        <v>2227</v>
      </c>
      <c r="K477" t="s">
        <v>2226</v>
      </c>
    </row>
    <row r="478" spans="2:11" x14ac:dyDescent="0.2">
      <c r="B478" s="21">
        <f t="shared" si="7"/>
        <v>1643</v>
      </c>
      <c r="C478" t="s">
        <v>901</v>
      </c>
      <c r="D478" t="s">
        <v>13</v>
      </c>
      <c r="E478" t="s">
        <v>2751</v>
      </c>
      <c r="F478" t="s">
        <v>27</v>
      </c>
      <c r="G478" s="21">
        <v>1</v>
      </c>
      <c r="H478" s="21">
        <v>0</v>
      </c>
      <c r="I478" t="s">
        <v>1321</v>
      </c>
      <c r="J478" s="20" t="s">
        <v>2227</v>
      </c>
      <c r="K478" t="s">
        <v>2226</v>
      </c>
    </row>
    <row r="479" spans="2:11" x14ac:dyDescent="0.2">
      <c r="B479" s="21">
        <f t="shared" si="7"/>
        <v>1642</v>
      </c>
      <c r="C479" t="s">
        <v>235</v>
      </c>
      <c r="D479" t="s">
        <v>13</v>
      </c>
      <c r="E479" t="s">
        <v>2751</v>
      </c>
      <c r="F479" t="s">
        <v>43</v>
      </c>
      <c r="G479" s="21">
        <v>1</v>
      </c>
      <c r="H479" s="21">
        <v>0</v>
      </c>
      <c r="I479" t="s">
        <v>1322</v>
      </c>
      <c r="J479" s="20" t="s">
        <v>2227</v>
      </c>
      <c r="K479" t="s">
        <v>2226</v>
      </c>
    </row>
    <row r="480" spans="2:11" x14ac:dyDescent="0.2">
      <c r="B480" s="21">
        <f t="shared" si="7"/>
        <v>1641</v>
      </c>
      <c r="C480" t="s">
        <v>964</v>
      </c>
      <c r="D480" t="s">
        <v>13</v>
      </c>
      <c r="E480" t="s">
        <v>2751</v>
      </c>
      <c r="F480" t="s">
        <v>27</v>
      </c>
      <c r="G480" s="21">
        <v>1</v>
      </c>
      <c r="H480" s="21">
        <v>0</v>
      </c>
      <c r="J480" s="20" t="s">
        <v>2228</v>
      </c>
      <c r="K480" t="s">
        <v>2227</v>
      </c>
    </row>
    <row r="481" spans="2:11" x14ac:dyDescent="0.2">
      <c r="B481" s="21">
        <f t="shared" si="7"/>
        <v>1640</v>
      </c>
      <c r="C481" t="s">
        <v>235</v>
      </c>
      <c r="D481" t="s">
        <v>13</v>
      </c>
      <c r="E481" t="s">
        <v>2751</v>
      </c>
      <c r="F481" t="s">
        <v>49</v>
      </c>
      <c r="G481" s="21">
        <v>1</v>
      </c>
      <c r="H481" s="21">
        <v>0</v>
      </c>
      <c r="I481" t="s">
        <v>1318</v>
      </c>
      <c r="J481" s="20" t="s">
        <v>2228</v>
      </c>
      <c r="K481" t="s">
        <v>2228</v>
      </c>
    </row>
    <row r="482" spans="2:11" x14ac:dyDescent="0.2">
      <c r="B482" s="21">
        <f t="shared" si="7"/>
        <v>1639</v>
      </c>
      <c r="C482" t="s">
        <v>701</v>
      </c>
      <c r="D482" t="s">
        <v>13</v>
      </c>
      <c r="E482" t="s">
        <v>2751</v>
      </c>
      <c r="F482" t="s">
        <v>34</v>
      </c>
      <c r="G482" s="21">
        <v>1</v>
      </c>
      <c r="H482" s="21">
        <v>0</v>
      </c>
      <c r="I482" t="s">
        <v>1319</v>
      </c>
      <c r="J482" s="20" t="s">
        <v>2228</v>
      </c>
      <c r="K482" t="s">
        <v>2227</v>
      </c>
    </row>
    <row r="483" spans="2:11" x14ac:dyDescent="0.2">
      <c r="B483" s="21">
        <f t="shared" si="7"/>
        <v>1638</v>
      </c>
      <c r="C483" t="s">
        <v>345</v>
      </c>
      <c r="D483" t="s">
        <v>13</v>
      </c>
      <c r="E483" t="s">
        <v>2751</v>
      </c>
      <c r="F483" t="s">
        <v>34</v>
      </c>
      <c r="G483" s="21">
        <v>1</v>
      </c>
      <c r="H483" s="21">
        <v>0</v>
      </c>
      <c r="I483" t="s">
        <v>1320</v>
      </c>
      <c r="J483" s="20" t="s">
        <v>2228</v>
      </c>
      <c r="K483" t="s">
        <v>2228</v>
      </c>
    </row>
    <row r="484" spans="2:11" x14ac:dyDescent="0.2">
      <c r="B484" s="21">
        <f t="shared" si="7"/>
        <v>1637</v>
      </c>
      <c r="C484" t="s">
        <v>964</v>
      </c>
      <c r="D484" t="s">
        <v>13</v>
      </c>
      <c r="E484" t="s">
        <v>2751</v>
      </c>
      <c r="F484" t="s">
        <v>27</v>
      </c>
      <c r="G484" s="21">
        <v>1</v>
      </c>
      <c r="H484" s="21">
        <v>0</v>
      </c>
      <c r="J484" s="20" t="s">
        <v>2229</v>
      </c>
      <c r="K484" t="s">
        <v>2669</v>
      </c>
    </row>
    <row r="485" spans="2:11" x14ac:dyDescent="0.2">
      <c r="B485" s="21">
        <f t="shared" si="7"/>
        <v>1636</v>
      </c>
      <c r="C485" t="s">
        <v>235</v>
      </c>
      <c r="D485" t="s">
        <v>13</v>
      </c>
      <c r="E485" t="s">
        <v>2751</v>
      </c>
      <c r="F485" t="s">
        <v>49</v>
      </c>
      <c r="G485" s="21">
        <v>1</v>
      </c>
      <c r="H485" s="21">
        <v>0</v>
      </c>
      <c r="I485" t="s">
        <v>1317</v>
      </c>
      <c r="J485" s="20" t="s">
        <v>2229</v>
      </c>
      <c r="K485" t="s">
        <v>2669</v>
      </c>
    </row>
    <row r="486" spans="2:11" x14ac:dyDescent="0.2">
      <c r="B486" s="21">
        <f t="shared" si="7"/>
        <v>1635</v>
      </c>
      <c r="C486" t="s">
        <v>701</v>
      </c>
      <c r="D486" t="s">
        <v>13</v>
      </c>
      <c r="E486" t="s">
        <v>2751</v>
      </c>
      <c r="F486" t="s">
        <v>34</v>
      </c>
      <c r="G486" s="21">
        <v>1</v>
      </c>
      <c r="H486" s="21">
        <v>0</v>
      </c>
      <c r="I486" t="s">
        <v>1316</v>
      </c>
      <c r="J486" s="20" t="s">
        <v>2229</v>
      </c>
      <c r="K486" t="s">
        <v>2669</v>
      </c>
    </row>
    <row r="487" spans="2:11" x14ac:dyDescent="0.2">
      <c r="B487" s="21">
        <f t="shared" si="7"/>
        <v>1634</v>
      </c>
      <c r="C487" t="s">
        <v>780</v>
      </c>
      <c r="D487" t="s">
        <v>13</v>
      </c>
      <c r="E487" t="s">
        <v>2751</v>
      </c>
      <c r="F487" t="s">
        <v>27</v>
      </c>
      <c r="G487" s="21">
        <v>1</v>
      </c>
      <c r="H487" s="21">
        <v>0</v>
      </c>
      <c r="I487" t="s">
        <v>1315</v>
      </c>
      <c r="J487" s="20" t="s">
        <v>2229</v>
      </c>
      <c r="K487" t="s">
        <v>2229</v>
      </c>
    </row>
    <row r="488" spans="2:11" x14ac:dyDescent="0.2">
      <c r="B488" s="21">
        <f t="shared" si="7"/>
        <v>1633</v>
      </c>
      <c r="C488" t="s">
        <v>901</v>
      </c>
      <c r="D488" t="s">
        <v>13</v>
      </c>
      <c r="E488" t="s">
        <v>2751</v>
      </c>
      <c r="F488" t="s">
        <v>27</v>
      </c>
      <c r="G488" s="21">
        <v>1</v>
      </c>
      <c r="H488" s="21">
        <v>0</v>
      </c>
      <c r="I488" t="s">
        <v>1314</v>
      </c>
      <c r="J488" s="20" t="s">
        <v>2229</v>
      </c>
      <c r="K488" t="s">
        <v>2229</v>
      </c>
    </row>
    <row r="489" spans="2:11" x14ac:dyDescent="0.2">
      <c r="B489" s="21">
        <f t="shared" si="7"/>
        <v>1632</v>
      </c>
      <c r="C489" t="s">
        <v>345</v>
      </c>
      <c r="D489" t="s">
        <v>13</v>
      </c>
      <c r="E489" t="s">
        <v>2751</v>
      </c>
      <c r="F489" t="s">
        <v>34</v>
      </c>
      <c r="G489" s="21">
        <v>1</v>
      </c>
      <c r="H489" s="21">
        <v>0</v>
      </c>
      <c r="I489" t="s">
        <v>1313</v>
      </c>
      <c r="J489" s="20" t="s">
        <v>2229</v>
      </c>
      <c r="K489" t="s">
        <v>2669</v>
      </c>
    </row>
    <row r="490" spans="2:11" x14ac:dyDescent="0.2">
      <c r="B490" s="21">
        <f t="shared" si="7"/>
        <v>1631</v>
      </c>
      <c r="C490" t="s">
        <v>964</v>
      </c>
      <c r="D490" t="s">
        <v>13</v>
      </c>
      <c r="E490" t="s">
        <v>2751</v>
      </c>
      <c r="F490" t="s">
        <v>27</v>
      </c>
      <c r="G490" s="21">
        <v>1</v>
      </c>
      <c r="H490" s="21">
        <v>0</v>
      </c>
      <c r="J490" s="20" t="s">
        <v>2230</v>
      </c>
      <c r="K490" t="s">
        <v>2229</v>
      </c>
    </row>
    <row r="491" spans="2:11" x14ac:dyDescent="0.2">
      <c r="B491" s="21">
        <f t="shared" si="7"/>
        <v>1630</v>
      </c>
      <c r="C491" t="s">
        <v>235</v>
      </c>
      <c r="D491" t="s">
        <v>13</v>
      </c>
      <c r="E491" t="s">
        <v>2751</v>
      </c>
      <c r="F491" t="s">
        <v>49</v>
      </c>
      <c r="G491" s="21">
        <v>1</v>
      </c>
      <c r="H491" s="21">
        <v>0</v>
      </c>
      <c r="J491" s="20" t="s">
        <v>2230</v>
      </c>
      <c r="K491" t="s">
        <v>2229</v>
      </c>
    </row>
    <row r="492" spans="2:11" x14ac:dyDescent="0.2">
      <c r="B492" s="21">
        <f t="shared" si="7"/>
        <v>1629</v>
      </c>
      <c r="C492" t="s">
        <v>701</v>
      </c>
      <c r="D492" t="s">
        <v>13</v>
      </c>
      <c r="E492" t="s">
        <v>2751</v>
      </c>
      <c r="F492" t="s">
        <v>115</v>
      </c>
      <c r="G492" s="21">
        <v>1</v>
      </c>
      <c r="H492" s="21">
        <v>0</v>
      </c>
      <c r="I492" t="s">
        <v>1312</v>
      </c>
      <c r="J492" s="20" t="s">
        <v>2230</v>
      </c>
      <c r="K492" t="s">
        <v>2230</v>
      </c>
    </row>
    <row r="493" spans="2:11" x14ac:dyDescent="0.2">
      <c r="B493" s="21">
        <f t="shared" si="7"/>
        <v>1628</v>
      </c>
      <c r="C493" t="s">
        <v>701</v>
      </c>
      <c r="D493" t="s">
        <v>13</v>
      </c>
      <c r="E493" t="s">
        <v>2751</v>
      </c>
      <c r="F493" t="s">
        <v>34</v>
      </c>
      <c r="G493" s="21">
        <v>1</v>
      </c>
      <c r="H493" s="21">
        <v>0</v>
      </c>
      <c r="J493" s="20" t="s">
        <v>2230</v>
      </c>
      <c r="K493" t="s">
        <v>2229</v>
      </c>
    </row>
    <row r="494" spans="2:11" x14ac:dyDescent="0.2">
      <c r="B494" s="21">
        <f t="shared" si="7"/>
        <v>1627</v>
      </c>
      <c r="C494" t="s">
        <v>964</v>
      </c>
      <c r="D494" t="s">
        <v>13</v>
      </c>
      <c r="E494" t="s">
        <v>2751</v>
      </c>
      <c r="F494" t="s">
        <v>27</v>
      </c>
      <c r="G494" s="21">
        <v>1</v>
      </c>
      <c r="H494" s="21">
        <v>0</v>
      </c>
      <c r="I494" t="s">
        <v>1309</v>
      </c>
      <c r="J494" s="20" t="s">
        <v>2231</v>
      </c>
      <c r="K494" t="s">
        <v>2230</v>
      </c>
    </row>
    <row r="495" spans="2:11" x14ac:dyDescent="0.2">
      <c r="B495" s="21">
        <f t="shared" si="7"/>
        <v>1626</v>
      </c>
      <c r="C495" t="s">
        <v>780</v>
      </c>
      <c r="D495" t="s">
        <v>13</v>
      </c>
      <c r="E495" t="s">
        <v>2751</v>
      </c>
      <c r="F495" t="s">
        <v>27</v>
      </c>
      <c r="G495" s="21">
        <v>1</v>
      </c>
      <c r="H495" s="21">
        <v>0</v>
      </c>
      <c r="I495" t="s">
        <v>1308</v>
      </c>
      <c r="J495" s="20" t="s">
        <v>2231</v>
      </c>
      <c r="K495" t="s">
        <v>2230</v>
      </c>
    </row>
    <row r="496" spans="2:11" x14ac:dyDescent="0.2">
      <c r="B496" s="21">
        <f t="shared" si="7"/>
        <v>1625</v>
      </c>
      <c r="C496" t="s">
        <v>235</v>
      </c>
      <c r="D496" t="s">
        <v>13</v>
      </c>
      <c r="E496" t="s">
        <v>2751</v>
      </c>
      <c r="F496" t="s">
        <v>49</v>
      </c>
      <c r="G496" s="21">
        <v>1</v>
      </c>
      <c r="H496" s="21">
        <v>0</v>
      </c>
      <c r="J496" s="20" t="s">
        <v>2231</v>
      </c>
      <c r="K496" t="s">
        <v>2230</v>
      </c>
    </row>
    <row r="497" spans="2:11" x14ac:dyDescent="0.2">
      <c r="B497" s="21">
        <f t="shared" si="7"/>
        <v>1624</v>
      </c>
      <c r="C497" t="s">
        <v>365</v>
      </c>
      <c r="D497" t="s">
        <v>13</v>
      </c>
      <c r="E497" t="s">
        <v>2751</v>
      </c>
      <c r="F497" t="s">
        <v>49</v>
      </c>
      <c r="G497" s="21">
        <v>1</v>
      </c>
      <c r="H497" s="21">
        <v>0</v>
      </c>
      <c r="I497" t="s">
        <v>1310</v>
      </c>
      <c r="J497" s="20" t="s">
        <v>2231</v>
      </c>
      <c r="K497" t="s">
        <v>2231</v>
      </c>
    </row>
    <row r="498" spans="2:11" x14ac:dyDescent="0.2">
      <c r="B498" s="21">
        <f t="shared" si="7"/>
        <v>1623</v>
      </c>
      <c r="C498" t="s">
        <v>701</v>
      </c>
      <c r="D498" t="s">
        <v>13</v>
      </c>
      <c r="E498" t="s">
        <v>2751</v>
      </c>
      <c r="F498" t="s">
        <v>43</v>
      </c>
      <c r="G498" s="21">
        <v>1</v>
      </c>
      <c r="H498" s="21">
        <v>0</v>
      </c>
      <c r="I498" t="s">
        <v>1311</v>
      </c>
      <c r="J498" s="20" t="s">
        <v>2231</v>
      </c>
      <c r="K498" t="s">
        <v>2231</v>
      </c>
    </row>
    <row r="499" spans="2:11" x14ac:dyDescent="0.2">
      <c r="B499" s="21">
        <f t="shared" si="7"/>
        <v>1622</v>
      </c>
      <c r="C499" t="s">
        <v>964</v>
      </c>
      <c r="D499" t="s">
        <v>13</v>
      </c>
      <c r="E499" t="s">
        <v>2751</v>
      </c>
      <c r="F499" t="s">
        <v>27</v>
      </c>
      <c r="G499" s="21">
        <v>1</v>
      </c>
      <c r="H499" s="21">
        <v>0</v>
      </c>
      <c r="J499" s="20" t="s">
        <v>2232</v>
      </c>
      <c r="K499" t="s">
        <v>2231</v>
      </c>
    </row>
    <row r="500" spans="2:11" x14ac:dyDescent="0.2">
      <c r="B500" s="21">
        <f t="shared" si="7"/>
        <v>1621</v>
      </c>
      <c r="C500" t="s">
        <v>780</v>
      </c>
      <c r="D500" t="s">
        <v>13</v>
      </c>
      <c r="E500" t="s">
        <v>2751</v>
      </c>
      <c r="F500" t="s">
        <v>27</v>
      </c>
      <c r="G500" s="21">
        <v>1</v>
      </c>
      <c r="H500" s="21">
        <v>0</v>
      </c>
      <c r="I500" t="s">
        <v>1304</v>
      </c>
      <c r="J500" s="20" t="s">
        <v>2232</v>
      </c>
      <c r="K500" t="s">
        <v>2231</v>
      </c>
    </row>
    <row r="501" spans="2:11" x14ac:dyDescent="0.2">
      <c r="B501" s="21">
        <f t="shared" si="7"/>
        <v>1620</v>
      </c>
      <c r="C501" t="s">
        <v>235</v>
      </c>
      <c r="D501" t="s">
        <v>13</v>
      </c>
      <c r="E501" t="s">
        <v>2751</v>
      </c>
      <c r="F501" t="s">
        <v>8</v>
      </c>
      <c r="G501" s="21">
        <v>1</v>
      </c>
      <c r="H501" s="21">
        <v>0</v>
      </c>
      <c r="I501" t="s">
        <v>1306</v>
      </c>
      <c r="J501" s="20" t="s">
        <v>2232</v>
      </c>
      <c r="K501" t="s">
        <v>2232</v>
      </c>
    </row>
    <row r="502" spans="2:11" x14ac:dyDescent="0.2">
      <c r="B502" s="21">
        <f t="shared" si="7"/>
        <v>1619</v>
      </c>
      <c r="C502" t="s">
        <v>235</v>
      </c>
      <c r="D502" t="s">
        <v>13</v>
      </c>
      <c r="E502" t="s">
        <v>2751</v>
      </c>
      <c r="F502" t="s">
        <v>8</v>
      </c>
      <c r="G502" s="21">
        <v>1</v>
      </c>
      <c r="H502" s="21">
        <v>0</v>
      </c>
      <c r="I502" t="s">
        <v>1307</v>
      </c>
      <c r="J502" s="20" t="s">
        <v>2232</v>
      </c>
      <c r="K502" t="s">
        <v>2232</v>
      </c>
    </row>
    <row r="503" spans="2:11" x14ac:dyDescent="0.2">
      <c r="B503" s="21">
        <f t="shared" si="7"/>
        <v>1618</v>
      </c>
      <c r="C503" t="s">
        <v>235</v>
      </c>
      <c r="D503" t="s">
        <v>13</v>
      </c>
      <c r="E503" t="s">
        <v>2751</v>
      </c>
      <c r="F503" t="s">
        <v>34</v>
      </c>
      <c r="G503" s="21">
        <v>1</v>
      </c>
      <c r="H503" s="21">
        <v>0</v>
      </c>
      <c r="I503" t="s">
        <v>1300</v>
      </c>
      <c r="J503" s="20" t="s">
        <v>2233</v>
      </c>
      <c r="K503" t="s">
        <v>2233</v>
      </c>
    </row>
    <row r="504" spans="2:11" x14ac:dyDescent="0.2">
      <c r="B504" s="21">
        <f t="shared" si="7"/>
        <v>1617</v>
      </c>
      <c r="C504" t="s">
        <v>964</v>
      </c>
      <c r="D504" t="s">
        <v>13</v>
      </c>
      <c r="E504" t="s">
        <v>2751</v>
      </c>
      <c r="F504" t="s">
        <v>27</v>
      </c>
      <c r="G504" s="21">
        <v>1</v>
      </c>
      <c r="H504" s="21">
        <v>0</v>
      </c>
      <c r="I504" t="s">
        <v>1302</v>
      </c>
      <c r="J504" s="20" t="s">
        <v>2233</v>
      </c>
      <c r="K504" t="s">
        <v>2670</v>
      </c>
    </row>
    <row r="505" spans="2:11" x14ac:dyDescent="0.2">
      <c r="B505" s="21">
        <f t="shared" si="7"/>
        <v>1616</v>
      </c>
      <c r="C505" t="s">
        <v>701</v>
      </c>
      <c r="D505" t="s">
        <v>13</v>
      </c>
      <c r="E505" t="s">
        <v>2751</v>
      </c>
      <c r="F505" t="s">
        <v>28</v>
      </c>
      <c r="G505" s="21">
        <v>1</v>
      </c>
      <c r="H505" s="21">
        <v>0</v>
      </c>
      <c r="I505" t="s">
        <v>1299</v>
      </c>
      <c r="J505" s="20" t="s">
        <v>2233</v>
      </c>
      <c r="K505" t="s">
        <v>2233</v>
      </c>
    </row>
    <row r="506" spans="2:11" x14ac:dyDescent="0.2">
      <c r="B506" s="21">
        <f t="shared" si="7"/>
        <v>1615</v>
      </c>
      <c r="C506" t="s">
        <v>780</v>
      </c>
      <c r="D506" t="s">
        <v>13</v>
      </c>
      <c r="E506" t="s">
        <v>2751</v>
      </c>
      <c r="F506" t="s">
        <v>27</v>
      </c>
      <c r="G506" s="21">
        <v>1</v>
      </c>
      <c r="H506" s="21">
        <v>0</v>
      </c>
      <c r="J506" s="20" t="s">
        <v>2233</v>
      </c>
      <c r="K506" t="s">
        <v>2670</v>
      </c>
    </row>
    <row r="507" spans="2:11" x14ac:dyDescent="0.2">
      <c r="B507" s="21">
        <f t="shared" si="7"/>
        <v>1614</v>
      </c>
      <c r="C507" t="s">
        <v>780</v>
      </c>
      <c r="D507" t="s">
        <v>13</v>
      </c>
      <c r="E507" t="s">
        <v>2751</v>
      </c>
      <c r="F507" t="s">
        <v>8</v>
      </c>
      <c r="G507" s="21">
        <v>1</v>
      </c>
      <c r="H507" s="21">
        <v>0</v>
      </c>
      <c r="I507" t="s">
        <v>1303</v>
      </c>
      <c r="J507" s="20" t="s">
        <v>2233</v>
      </c>
      <c r="K507" t="s">
        <v>2233</v>
      </c>
    </row>
    <row r="508" spans="2:11" x14ac:dyDescent="0.2">
      <c r="B508" s="21">
        <f t="shared" si="7"/>
        <v>1613</v>
      </c>
      <c r="C508" t="s">
        <v>235</v>
      </c>
      <c r="D508" t="s">
        <v>13</v>
      </c>
      <c r="E508" t="s">
        <v>2751</v>
      </c>
      <c r="F508" t="s">
        <v>34</v>
      </c>
      <c r="G508" s="21">
        <v>1</v>
      </c>
      <c r="H508" s="21">
        <v>0</v>
      </c>
      <c r="J508" s="20" t="s">
        <v>2234</v>
      </c>
      <c r="K508" t="s">
        <v>2233</v>
      </c>
    </row>
    <row r="509" spans="2:11" x14ac:dyDescent="0.2">
      <c r="B509" s="21">
        <f t="shared" si="7"/>
        <v>1612</v>
      </c>
      <c r="C509" t="s">
        <v>235</v>
      </c>
      <c r="D509" t="s">
        <v>13</v>
      </c>
      <c r="E509" t="s">
        <v>2751</v>
      </c>
      <c r="F509" t="s">
        <v>42</v>
      </c>
      <c r="G509" s="21">
        <v>1</v>
      </c>
      <c r="H509" s="21">
        <v>0</v>
      </c>
      <c r="I509" t="s">
        <v>1297</v>
      </c>
      <c r="J509" s="20" t="s">
        <v>2234</v>
      </c>
      <c r="K509" t="s">
        <v>2234</v>
      </c>
    </row>
    <row r="510" spans="2:11" x14ac:dyDescent="0.2">
      <c r="B510" s="21">
        <f t="shared" si="7"/>
        <v>1611</v>
      </c>
      <c r="C510" t="s">
        <v>235</v>
      </c>
      <c r="D510" t="s">
        <v>13</v>
      </c>
      <c r="E510" t="s">
        <v>2751</v>
      </c>
      <c r="F510" t="s">
        <v>43</v>
      </c>
      <c r="G510" s="21">
        <v>1</v>
      </c>
      <c r="H510" s="21">
        <v>0</v>
      </c>
      <c r="I510" t="s">
        <v>1296</v>
      </c>
      <c r="J510" s="20" t="s">
        <v>2234</v>
      </c>
      <c r="K510" t="s">
        <v>2234</v>
      </c>
    </row>
    <row r="511" spans="2:11" x14ac:dyDescent="0.2">
      <c r="B511" s="21">
        <f t="shared" si="7"/>
        <v>1610</v>
      </c>
      <c r="C511" t="s">
        <v>964</v>
      </c>
      <c r="D511" t="s">
        <v>13</v>
      </c>
      <c r="E511" t="s">
        <v>2751</v>
      </c>
      <c r="F511" t="s">
        <v>27</v>
      </c>
      <c r="G511" s="21">
        <v>1</v>
      </c>
      <c r="H511" s="21">
        <v>0</v>
      </c>
      <c r="I511" t="s">
        <v>1301</v>
      </c>
      <c r="J511" s="20" t="s">
        <v>2234</v>
      </c>
      <c r="K511" t="s">
        <v>2233</v>
      </c>
    </row>
    <row r="512" spans="2:11" x14ac:dyDescent="0.2">
      <c r="B512" s="21">
        <f t="shared" si="7"/>
        <v>1609</v>
      </c>
      <c r="C512" t="s">
        <v>1265</v>
      </c>
      <c r="D512" t="s">
        <v>13</v>
      </c>
      <c r="E512" t="s">
        <v>2751</v>
      </c>
      <c r="F512" t="s">
        <v>27</v>
      </c>
      <c r="G512" s="21">
        <v>1</v>
      </c>
      <c r="H512" s="21">
        <v>0</v>
      </c>
      <c r="I512" t="s">
        <v>1305</v>
      </c>
      <c r="J512" s="20" t="s">
        <v>2234</v>
      </c>
      <c r="K512" t="s">
        <v>2233</v>
      </c>
    </row>
    <row r="513" spans="2:11" x14ac:dyDescent="0.2">
      <c r="B513" s="21">
        <f t="shared" si="7"/>
        <v>1608</v>
      </c>
      <c r="C513" t="s">
        <v>1290</v>
      </c>
      <c r="D513" t="s">
        <v>13</v>
      </c>
      <c r="E513" t="s">
        <v>2751</v>
      </c>
      <c r="F513" t="s">
        <v>27</v>
      </c>
      <c r="G513" s="21">
        <v>1</v>
      </c>
      <c r="H513" s="21">
        <v>0</v>
      </c>
      <c r="I513" t="s">
        <v>1298</v>
      </c>
      <c r="J513" s="20" t="s">
        <v>2234</v>
      </c>
      <c r="K513" t="s">
        <v>2234</v>
      </c>
    </row>
    <row r="514" spans="2:11" x14ac:dyDescent="0.2">
      <c r="B514" s="21">
        <f t="shared" si="7"/>
        <v>1607</v>
      </c>
      <c r="C514" t="s">
        <v>235</v>
      </c>
      <c r="D514" t="s">
        <v>13</v>
      </c>
      <c r="E514" t="s">
        <v>2751</v>
      </c>
      <c r="F514" t="s">
        <v>34</v>
      </c>
      <c r="G514" s="21">
        <v>1</v>
      </c>
      <c r="H514" s="21">
        <v>0</v>
      </c>
      <c r="J514" s="20" t="s">
        <v>2235</v>
      </c>
      <c r="K514" t="s">
        <v>2234</v>
      </c>
    </row>
    <row r="515" spans="2:11" x14ac:dyDescent="0.2">
      <c r="B515" s="21">
        <f t="shared" si="7"/>
        <v>1606</v>
      </c>
      <c r="C515" t="s">
        <v>235</v>
      </c>
      <c r="D515" t="s">
        <v>13</v>
      </c>
      <c r="E515" t="s">
        <v>2751</v>
      </c>
      <c r="F515" t="s">
        <v>42</v>
      </c>
      <c r="G515" s="21">
        <v>1</v>
      </c>
      <c r="H515" s="21">
        <v>0</v>
      </c>
      <c r="J515" s="20" t="s">
        <v>2235</v>
      </c>
      <c r="K515" t="s">
        <v>2234</v>
      </c>
    </row>
    <row r="516" spans="2:11" x14ac:dyDescent="0.2">
      <c r="B516" s="21">
        <f t="shared" si="7"/>
        <v>1605</v>
      </c>
      <c r="C516" t="s">
        <v>235</v>
      </c>
      <c r="D516" t="s">
        <v>13</v>
      </c>
      <c r="E516" t="s">
        <v>2751</v>
      </c>
      <c r="F516" t="s">
        <v>43</v>
      </c>
      <c r="G516" s="21">
        <v>1</v>
      </c>
      <c r="H516" s="21">
        <v>0</v>
      </c>
      <c r="I516" t="s">
        <v>1295</v>
      </c>
      <c r="J516" s="20" t="s">
        <v>2235</v>
      </c>
      <c r="K516" t="s">
        <v>2234</v>
      </c>
    </row>
    <row r="517" spans="2:11" x14ac:dyDescent="0.2">
      <c r="B517" s="21">
        <f t="shared" ref="B517:B580" si="8">B516-1</f>
        <v>1604</v>
      </c>
      <c r="C517" t="s">
        <v>964</v>
      </c>
      <c r="D517" t="s">
        <v>13</v>
      </c>
      <c r="E517" t="s">
        <v>2751</v>
      </c>
      <c r="F517" t="s">
        <v>27</v>
      </c>
      <c r="G517" s="21">
        <v>1</v>
      </c>
      <c r="H517" s="21">
        <v>0</v>
      </c>
      <c r="J517" s="20" t="s">
        <v>2235</v>
      </c>
      <c r="K517" t="s">
        <v>2234</v>
      </c>
    </row>
    <row r="518" spans="2:11" x14ac:dyDescent="0.2">
      <c r="B518" s="21">
        <f t="shared" si="8"/>
        <v>1603</v>
      </c>
      <c r="C518" t="s">
        <v>1265</v>
      </c>
      <c r="D518" t="s">
        <v>13</v>
      </c>
      <c r="E518" t="s">
        <v>2751</v>
      </c>
      <c r="F518" t="s">
        <v>27</v>
      </c>
      <c r="G518" s="21">
        <v>1</v>
      </c>
      <c r="H518" s="21">
        <v>0</v>
      </c>
      <c r="J518" s="20" t="s">
        <v>2235</v>
      </c>
      <c r="K518" t="s">
        <v>2234</v>
      </c>
    </row>
    <row r="519" spans="2:11" x14ac:dyDescent="0.2">
      <c r="B519" s="21">
        <f t="shared" si="8"/>
        <v>1602</v>
      </c>
      <c r="C519" t="s">
        <v>1290</v>
      </c>
      <c r="D519" t="s">
        <v>13</v>
      </c>
      <c r="E519" t="s">
        <v>2751</v>
      </c>
      <c r="F519" t="s">
        <v>27</v>
      </c>
      <c r="G519" s="21">
        <v>1</v>
      </c>
      <c r="H519" s="21">
        <v>0</v>
      </c>
      <c r="J519" s="20" t="s">
        <v>2235</v>
      </c>
      <c r="K519" t="s">
        <v>2234</v>
      </c>
    </row>
    <row r="520" spans="2:11" x14ac:dyDescent="0.2">
      <c r="B520" s="21">
        <f t="shared" si="8"/>
        <v>1601</v>
      </c>
      <c r="C520" t="s">
        <v>235</v>
      </c>
      <c r="D520" t="s">
        <v>13</v>
      </c>
      <c r="E520" t="s">
        <v>2751</v>
      </c>
      <c r="F520" t="s">
        <v>34</v>
      </c>
      <c r="G520" s="21">
        <v>1</v>
      </c>
      <c r="H520" s="21">
        <v>0</v>
      </c>
      <c r="I520" t="s">
        <v>1289</v>
      </c>
      <c r="J520" s="20" t="s">
        <v>2236</v>
      </c>
      <c r="K520" t="s">
        <v>2235</v>
      </c>
    </row>
    <row r="521" spans="2:11" x14ac:dyDescent="0.2">
      <c r="B521" s="21">
        <f t="shared" si="8"/>
        <v>1600</v>
      </c>
      <c r="C521" t="s">
        <v>964</v>
      </c>
      <c r="D521" t="s">
        <v>13</v>
      </c>
      <c r="E521" t="s">
        <v>2751</v>
      </c>
      <c r="F521" t="s">
        <v>27</v>
      </c>
      <c r="G521" s="21">
        <v>1</v>
      </c>
      <c r="H521" s="21">
        <v>0</v>
      </c>
      <c r="I521" t="s">
        <v>1294</v>
      </c>
      <c r="J521" s="20" t="s">
        <v>2236</v>
      </c>
      <c r="K521" t="s">
        <v>2235</v>
      </c>
    </row>
    <row r="522" spans="2:11" x14ac:dyDescent="0.2">
      <c r="B522" s="21">
        <f t="shared" si="8"/>
        <v>1599</v>
      </c>
      <c r="C522" t="s">
        <v>1265</v>
      </c>
      <c r="D522" t="s">
        <v>13</v>
      </c>
      <c r="E522" t="s">
        <v>2751</v>
      </c>
      <c r="F522" t="s">
        <v>27</v>
      </c>
      <c r="G522" s="21">
        <v>1</v>
      </c>
      <c r="H522" s="21">
        <v>0</v>
      </c>
      <c r="J522" s="20" t="s">
        <v>2236</v>
      </c>
      <c r="K522" t="s">
        <v>2235</v>
      </c>
    </row>
    <row r="523" spans="2:11" x14ac:dyDescent="0.2">
      <c r="B523" s="21">
        <f t="shared" si="8"/>
        <v>1598</v>
      </c>
      <c r="C523" t="s">
        <v>1290</v>
      </c>
      <c r="D523" t="s">
        <v>13</v>
      </c>
      <c r="E523" t="s">
        <v>2751</v>
      </c>
      <c r="F523" t="s">
        <v>27</v>
      </c>
      <c r="G523" s="21">
        <v>1</v>
      </c>
      <c r="H523" s="21">
        <v>0</v>
      </c>
      <c r="I523" t="s">
        <v>1292</v>
      </c>
      <c r="J523" s="20" t="s">
        <v>2236</v>
      </c>
      <c r="K523" t="s">
        <v>2235</v>
      </c>
    </row>
    <row r="524" spans="2:11" x14ac:dyDescent="0.2">
      <c r="B524" s="21">
        <f t="shared" si="8"/>
        <v>1597</v>
      </c>
      <c r="C524" t="s">
        <v>235</v>
      </c>
      <c r="D524" t="s">
        <v>13</v>
      </c>
      <c r="E524" t="s">
        <v>2751</v>
      </c>
      <c r="F524" t="s">
        <v>115</v>
      </c>
      <c r="G524" s="21">
        <v>1</v>
      </c>
      <c r="H524" s="21">
        <v>0</v>
      </c>
      <c r="I524" t="s">
        <v>1293</v>
      </c>
      <c r="J524" s="20" t="s">
        <v>2236</v>
      </c>
      <c r="K524" t="s">
        <v>2236</v>
      </c>
    </row>
    <row r="525" spans="2:11" x14ac:dyDescent="0.2">
      <c r="B525" s="21">
        <f t="shared" si="8"/>
        <v>1596</v>
      </c>
      <c r="C525" t="s">
        <v>235</v>
      </c>
      <c r="D525" t="s">
        <v>13</v>
      </c>
      <c r="E525" t="s">
        <v>2751</v>
      </c>
      <c r="F525" t="s">
        <v>34</v>
      </c>
      <c r="G525" s="21">
        <v>1</v>
      </c>
      <c r="H525" s="21">
        <v>0</v>
      </c>
      <c r="I525" t="s">
        <v>1289</v>
      </c>
      <c r="J525" s="20" t="s">
        <v>2237</v>
      </c>
      <c r="K525" t="s">
        <v>2671</v>
      </c>
    </row>
    <row r="526" spans="2:11" x14ac:dyDescent="0.2">
      <c r="B526" s="21">
        <f t="shared" si="8"/>
        <v>1595</v>
      </c>
      <c r="C526" t="s">
        <v>975</v>
      </c>
      <c r="D526" t="s">
        <v>13</v>
      </c>
      <c r="E526" t="s">
        <v>2751</v>
      </c>
      <c r="F526" t="s">
        <v>27</v>
      </c>
      <c r="G526" s="21">
        <v>1</v>
      </c>
      <c r="H526" s="21">
        <v>0</v>
      </c>
      <c r="I526" t="s">
        <v>1291</v>
      </c>
      <c r="J526" s="20" t="s">
        <v>2237</v>
      </c>
      <c r="K526" t="s">
        <v>2237</v>
      </c>
    </row>
    <row r="527" spans="2:11" x14ac:dyDescent="0.2">
      <c r="B527" s="21">
        <f t="shared" si="8"/>
        <v>1594</v>
      </c>
      <c r="C527" t="s">
        <v>964</v>
      </c>
      <c r="D527" t="s">
        <v>13</v>
      </c>
      <c r="E527" t="s">
        <v>2751</v>
      </c>
      <c r="F527" t="s">
        <v>27</v>
      </c>
      <c r="G527" s="21">
        <v>1</v>
      </c>
      <c r="H527" s="21">
        <v>0</v>
      </c>
      <c r="I527" t="s">
        <v>1288</v>
      </c>
      <c r="J527" s="20" t="s">
        <v>2237</v>
      </c>
      <c r="K527" t="s">
        <v>2671</v>
      </c>
    </row>
    <row r="528" spans="2:11" x14ac:dyDescent="0.2">
      <c r="B528" s="21">
        <f t="shared" si="8"/>
        <v>1593</v>
      </c>
      <c r="C528" t="s">
        <v>1265</v>
      </c>
      <c r="D528" t="s">
        <v>13</v>
      </c>
      <c r="E528" t="s">
        <v>2751</v>
      </c>
      <c r="F528" t="s">
        <v>27</v>
      </c>
      <c r="G528" s="21">
        <v>1</v>
      </c>
      <c r="H528" s="21">
        <v>0</v>
      </c>
      <c r="J528" s="20" t="s">
        <v>2237</v>
      </c>
      <c r="K528" t="s">
        <v>2671</v>
      </c>
    </row>
    <row r="529" spans="2:11" x14ac:dyDescent="0.2">
      <c r="B529" s="21">
        <f t="shared" si="8"/>
        <v>1592</v>
      </c>
      <c r="C529" t="s">
        <v>701</v>
      </c>
      <c r="D529" t="s">
        <v>13</v>
      </c>
      <c r="E529" t="s">
        <v>2751</v>
      </c>
      <c r="F529" t="s">
        <v>34</v>
      </c>
      <c r="G529" s="21">
        <v>1</v>
      </c>
      <c r="H529" s="21">
        <v>0</v>
      </c>
      <c r="J529" s="20" t="s">
        <v>2237</v>
      </c>
      <c r="K529" t="s">
        <v>2671</v>
      </c>
    </row>
    <row r="530" spans="2:11" x14ac:dyDescent="0.2">
      <c r="B530" s="21">
        <f t="shared" si="8"/>
        <v>1591</v>
      </c>
      <c r="C530" t="s">
        <v>235</v>
      </c>
      <c r="D530" t="s">
        <v>13</v>
      </c>
      <c r="E530" t="s">
        <v>2751</v>
      </c>
      <c r="F530" t="s">
        <v>34</v>
      </c>
      <c r="G530" s="21">
        <v>1</v>
      </c>
      <c r="H530" s="21">
        <v>0</v>
      </c>
      <c r="I530" t="s">
        <v>1289</v>
      </c>
      <c r="J530" s="20" t="s">
        <v>2238</v>
      </c>
      <c r="K530" t="s">
        <v>2237</v>
      </c>
    </row>
    <row r="531" spans="2:11" x14ac:dyDescent="0.2">
      <c r="B531" s="21">
        <f t="shared" si="8"/>
        <v>1590</v>
      </c>
      <c r="C531" t="s">
        <v>975</v>
      </c>
      <c r="D531" t="s">
        <v>13</v>
      </c>
      <c r="E531" t="s">
        <v>2751</v>
      </c>
      <c r="F531" t="s">
        <v>27</v>
      </c>
      <c r="G531" s="21">
        <v>1</v>
      </c>
      <c r="H531" s="21">
        <v>0</v>
      </c>
      <c r="I531" t="s">
        <v>1284</v>
      </c>
      <c r="J531" s="20" t="s">
        <v>2238</v>
      </c>
      <c r="K531" t="s">
        <v>2238</v>
      </c>
    </row>
    <row r="532" spans="2:11" x14ac:dyDescent="0.2">
      <c r="B532" s="21">
        <f t="shared" si="8"/>
        <v>1589</v>
      </c>
      <c r="C532" t="s">
        <v>1265</v>
      </c>
      <c r="D532" t="s">
        <v>13</v>
      </c>
      <c r="E532" t="s">
        <v>2751</v>
      </c>
      <c r="F532" t="s">
        <v>28</v>
      </c>
      <c r="G532" s="21">
        <v>1</v>
      </c>
      <c r="H532" s="21">
        <v>0</v>
      </c>
      <c r="I532" t="s">
        <v>1287</v>
      </c>
      <c r="J532" s="20" t="s">
        <v>2238</v>
      </c>
      <c r="K532" t="s">
        <v>2238</v>
      </c>
    </row>
    <row r="533" spans="2:11" x14ac:dyDescent="0.2">
      <c r="B533" s="21">
        <f t="shared" si="8"/>
        <v>1588</v>
      </c>
      <c r="C533" t="s">
        <v>964</v>
      </c>
      <c r="D533" t="s">
        <v>13</v>
      </c>
      <c r="E533" t="s">
        <v>2751</v>
      </c>
      <c r="F533" t="s">
        <v>27</v>
      </c>
      <c r="G533" s="21">
        <v>1</v>
      </c>
      <c r="H533" s="21">
        <v>0</v>
      </c>
      <c r="I533" t="s">
        <v>1288</v>
      </c>
      <c r="J533" s="20" t="s">
        <v>2238</v>
      </c>
      <c r="K533" t="s">
        <v>2237</v>
      </c>
    </row>
    <row r="534" spans="2:11" x14ac:dyDescent="0.2">
      <c r="B534" s="21">
        <f t="shared" si="8"/>
        <v>1587</v>
      </c>
      <c r="C534" t="s">
        <v>235</v>
      </c>
      <c r="D534" t="s">
        <v>13</v>
      </c>
      <c r="E534" t="s">
        <v>2751</v>
      </c>
      <c r="F534" t="s">
        <v>27</v>
      </c>
      <c r="G534" s="21">
        <v>1</v>
      </c>
      <c r="H534" s="21">
        <v>0</v>
      </c>
      <c r="I534" t="s">
        <v>1285</v>
      </c>
      <c r="J534" s="20" t="s">
        <v>2238</v>
      </c>
      <c r="K534" t="s">
        <v>2238</v>
      </c>
    </row>
    <row r="535" spans="2:11" x14ac:dyDescent="0.2">
      <c r="B535" s="21">
        <f t="shared" si="8"/>
        <v>1586</v>
      </c>
      <c r="C535" t="s">
        <v>151</v>
      </c>
      <c r="D535" t="s">
        <v>13</v>
      </c>
      <c r="E535" t="s">
        <v>2751</v>
      </c>
      <c r="F535" t="s">
        <v>42</v>
      </c>
      <c r="G535" s="21">
        <v>1</v>
      </c>
      <c r="H535" s="21">
        <v>0</v>
      </c>
      <c r="I535" t="s">
        <v>1286</v>
      </c>
      <c r="J535" s="20" t="s">
        <v>2238</v>
      </c>
      <c r="K535" t="s">
        <v>2238</v>
      </c>
    </row>
    <row r="536" spans="2:11" x14ac:dyDescent="0.2">
      <c r="B536" s="21">
        <f t="shared" si="8"/>
        <v>1585</v>
      </c>
      <c r="C536" t="s">
        <v>235</v>
      </c>
      <c r="D536" t="s">
        <v>13</v>
      </c>
      <c r="E536" t="s">
        <v>2751</v>
      </c>
      <c r="F536" t="s">
        <v>34</v>
      </c>
      <c r="G536" s="21">
        <v>1</v>
      </c>
      <c r="H536" s="21">
        <v>0</v>
      </c>
      <c r="J536" s="20" t="s">
        <v>2239</v>
      </c>
      <c r="K536" t="s">
        <v>2238</v>
      </c>
    </row>
    <row r="537" spans="2:11" x14ac:dyDescent="0.2">
      <c r="B537" s="21">
        <f t="shared" si="8"/>
        <v>1584</v>
      </c>
      <c r="C537" t="s">
        <v>975</v>
      </c>
      <c r="D537" t="s">
        <v>13</v>
      </c>
      <c r="E537" t="s">
        <v>2751</v>
      </c>
      <c r="F537" t="s">
        <v>27</v>
      </c>
      <c r="G537" s="21">
        <v>1</v>
      </c>
      <c r="H537" s="21">
        <v>0</v>
      </c>
      <c r="J537" s="20" t="s">
        <v>2239</v>
      </c>
      <c r="K537" t="s">
        <v>2238</v>
      </c>
    </row>
    <row r="538" spans="2:11" x14ac:dyDescent="0.2">
      <c r="B538" s="21">
        <f t="shared" si="8"/>
        <v>1583</v>
      </c>
      <c r="C538" t="s">
        <v>1265</v>
      </c>
      <c r="D538" t="s">
        <v>13</v>
      </c>
      <c r="E538" t="s">
        <v>2751</v>
      </c>
      <c r="F538" t="s">
        <v>27</v>
      </c>
      <c r="G538" s="21">
        <v>1</v>
      </c>
      <c r="H538" s="21">
        <v>0</v>
      </c>
      <c r="J538" s="20" t="s">
        <v>2239</v>
      </c>
      <c r="K538" t="s">
        <v>2238</v>
      </c>
    </row>
    <row r="539" spans="2:11" x14ac:dyDescent="0.2">
      <c r="B539" s="21">
        <f t="shared" si="8"/>
        <v>1582</v>
      </c>
      <c r="C539" t="s">
        <v>964</v>
      </c>
      <c r="D539" t="s">
        <v>13</v>
      </c>
      <c r="E539" t="s">
        <v>2751</v>
      </c>
      <c r="F539" t="s">
        <v>27</v>
      </c>
      <c r="G539" s="21">
        <v>1</v>
      </c>
      <c r="H539" s="21">
        <v>0</v>
      </c>
      <c r="I539" t="s">
        <v>1282</v>
      </c>
      <c r="J539" s="20" t="s">
        <v>2239</v>
      </c>
      <c r="K539" t="s">
        <v>2238</v>
      </c>
    </row>
    <row r="540" spans="2:11" x14ac:dyDescent="0.2">
      <c r="B540" s="21">
        <f t="shared" si="8"/>
        <v>1581</v>
      </c>
      <c r="C540" t="s">
        <v>235</v>
      </c>
      <c r="D540" t="s">
        <v>13</v>
      </c>
      <c r="E540" t="s">
        <v>2751</v>
      </c>
      <c r="F540" t="s">
        <v>27</v>
      </c>
      <c r="G540" s="21">
        <v>1</v>
      </c>
      <c r="H540" s="21">
        <v>0</v>
      </c>
      <c r="I540" t="s">
        <v>1283</v>
      </c>
      <c r="J540" s="20" t="s">
        <v>2239</v>
      </c>
      <c r="K540" t="s">
        <v>2238</v>
      </c>
    </row>
    <row r="541" spans="2:11" x14ac:dyDescent="0.2">
      <c r="B541" s="21">
        <f t="shared" si="8"/>
        <v>1580</v>
      </c>
      <c r="C541" t="s">
        <v>151</v>
      </c>
      <c r="D541" t="s">
        <v>13</v>
      </c>
      <c r="E541" t="s">
        <v>2751</v>
      </c>
      <c r="F541" t="s">
        <v>42</v>
      </c>
      <c r="G541" s="21">
        <v>1</v>
      </c>
      <c r="H541" s="21">
        <v>0</v>
      </c>
      <c r="J541" s="20" t="s">
        <v>2239</v>
      </c>
      <c r="K541" t="s">
        <v>2238</v>
      </c>
    </row>
    <row r="542" spans="2:11" x14ac:dyDescent="0.2">
      <c r="B542" s="21">
        <f t="shared" si="8"/>
        <v>1579</v>
      </c>
      <c r="C542" t="s">
        <v>901</v>
      </c>
      <c r="D542" t="s">
        <v>13</v>
      </c>
      <c r="E542" t="s">
        <v>2751</v>
      </c>
      <c r="F542" t="s">
        <v>27</v>
      </c>
      <c r="G542" s="21">
        <v>1</v>
      </c>
      <c r="H542" s="21">
        <v>0</v>
      </c>
      <c r="I542" t="s">
        <v>1279</v>
      </c>
      <c r="J542" s="20" t="s">
        <v>2240</v>
      </c>
      <c r="K542" t="s">
        <v>2240</v>
      </c>
    </row>
    <row r="543" spans="2:11" x14ac:dyDescent="0.2">
      <c r="B543" s="21">
        <f t="shared" si="8"/>
        <v>1578</v>
      </c>
      <c r="C543" t="s">
        <v>235</v>
      </c>
      <c r="D543" t="s">
        <v>13</v>
      </c>
      <c r="E543" t="s">
        <v>2751</v>
      </c>
      <c r="F543" t="s">
        <v>34</v>
      </c>
      <c r="G543" s="21">
        <v>1</v>
      </c>
      <c r="H543" s="21">
        <v>0</v>
      </c>
      <c r="I543" t="s">
        <v>1278</v>
      </c>
      <c r="J543" s="20" t="s">
        <v>2240</v>
      </c>
      <c r="K543" t="s">
        <v>2239</v>
      </c>
    </row>
    <row r="544" spans="2:11" x14ac:dyDescent="0.2">
      <c r="B544" s="21">
        <f t="shared" si="8"/>
        <v>1577</v>
      </c>
      <c r="C544" t="s">
        <v>975</v>
      </c>
      <c r="D544" t="s">
        <v>13</v>
      </c>
      <c r="E544" t="s">
        <v>2751</v>
      </c>
      <c r="F544" t="s">
        <v>27</v>
      </c>
      <c r="G544" s="21">
        <v>1</v>
      </c>
      <c r="H544" s="21">
        <v>0</v>
      </c>
      <c r="I544" t="s">
        <v>1275</v>
      </c>
      <c r="J544" s="20" t="s">
        <v>2240</v>
      </c>
      <c r="K544" t="s">
        <v>2239</v>
      </c>
    </row>
    <row r="545" spans="2:11" x14ac:dyDescent="0.2">
      <c r="B545" s="21">
        <f t="shared" si="8"/>
        <v>1576</v>
      </c>
      <c r="C545" t="s">
        <v>616</v>
      </c>
      <c r="D545" t="s">
        <v>13</v>
      </c>
      <c r="E545" t="s">
        <v>2751</v>
      </c>
      <c r="F545" t="s">
        <v>34</v>
      </c>
      <c r="G545" s="21">
        <v>1</v>
      </c>
      <c r="H545" s="21">
        <v>0</v>
      </c>
      <c r="I545" t="s">
        <v>1276</v>
      </c>
      <c r="J545" s="20" t="s">
        <v>2240</v>
      </c>
      <c r="K545" t="s">
        <v>2240</v>
      </c>
    </row>
    <row r="546" spans="2:11" x14ac:dyDescent="0.2">
      <c r="B546" s="21">
        <f t="shared" si="8"/>
        <v>1575</v>
      </c>
      <c r="C546" t="s">
        <v>1265</v>
      </c>
      <c r="D546" t="s">
        <v>13</v>
      </c>
      <c r="E546" t="s">
        <v>2751</v>
      </c>
      <c r="F546" t="s">
        <v>27</v>
      </c>
      <c r="G546" s="21">
        <v>1</v>
      </c>
      <c r="H546" s="21">
        <v>0</v>
      </c>
      <c r="I546" t="s">
        <v>1277</v>
      </c>
      <c r="J546" s="20" t="s">
        <v>2240</v>
      </c>
      <c r="K546" t="s">
        <v>2239</v>
      </c>
    </row>
    <row r="547" spans="2:11" x14ac:dyDescent="0.2">
      <c r="B547" s="21">
        <f t="shared" si="8"/>
        <v>1574</v>
      </c>
      <c r="C547" t="s">
        <v>901</v>
      </c>
      <c r="D547" t="s">
        <v>13</v>
      </c>
      <c r="E547" t="s">
        <v>2751</v>
      </c>
      <c r="F547" t="s">
        <v>27</v>
      </c>
      <c r="G547" s="21">
        <v>1</v>
      </c>
      <c r="H547" s="21">
        <v>0</v>
      </c>
      <c r="J547" s="20" t="s">
        <v>2241</v>
      </c>
      <c r="K547" t="s">
        <v>2240</v>
      </c>
    </row>
    <row r="548" spans="2:11" x14ac:dyDescent="0.2">
      <c r="B548" s="21">
        <f t="shared" si="8"/>
        <v>1573</v>
      </c>
      <c r="C548" t="s">
        <v>901</v>
      </c>
      <c r="D548" t="s">
        <v>13</v>
      </c>
      <c r="E548" t="s">
        <v>2751</v>
      </c>
      <c r="F548" t="s">
        <v>28</v>
      </c>
      <c r="G548" s="21">
        <v>1</v>
      </c>
      <c r="H548" s="21">
        <v>0</v>
      </c>
      <c r="I548" t="s">
        <v>1272</v>
      </c>
      <c r="J548" s="20" t="s">
        <v>2241</v>
      </c>
      <c r="K548" t="s">
        <v>2241</v>
      </c>
    </row>
    <row r="549" spans="2:11" x14ac:dyDescent="0.2">
      <c r="B549" s="21">
        <f t="shared" si="8"/>
        <v>1572</v>
      </c>
      <c r="C549" t="s">
        <v>235</v>
      </c>
      <c r="D549" t="s">
        <v>13</v>
      </c>
      <c r="E549" t="s">
        <v>2751</v>
      </c>
      <c r="F549" t="s">
        <v>34</v>
      </c>
      <c r="G549" s="21">
        <v>1</v>
      </c>
      <c r="H549" s="21">
        <v>0</v>
      </c>
      <c r="I549" t="s">
        <v>1273</v>
      </c>
      <c r="J549" s="20" t="s">
        <v>2241</v>
      </c>
      <c r="K549" t="s">
        <v>2240</v>
      </c>
    </row>
    <row r="550" spans="2:11" x14ac:dyDescent="0.2">
      <c r="B550" s="21">
        <f t="shared" si="8"/>
        <v>1571</v>
      </c>
      <c r="C550" t="s">
        <v>975</v>
      </c>
      <c r="D550" t="s">
        <v>13</v>
      </c>
      <c r="E550" t="s">
        <v>2751</v>
      </c>
      <c r="F550" t="s">
        <v>27</v>
      </c>
      <c r="G550" s="21">
        <v>1</v>
      </c>
      <c r="H550" s="21">
        <v>0</v>
      </c>
      <c r="I550" t="s">
        <v>1271</v>
      </c>
      <c r="J550" s="20" t="s">
        <v>2241</v>
      </c>
      <c r="K550" t="s">
        <v>2241</v>
      </c>
    </row>
    <row r="551" spans="2:11" x14ac:dyDescent="0.2">
      <c r="B551" s="21">
        <f t="shared" si="8"/>
        <v>1570</v>
      </c>
      <c r="C551" t="s">
        <v>616</v>
      </c>
      <c r="D551" t="s">
        <v>13</v>
      </c>
      <c r="E551" t="s">
        <v>2751</v>
      </c>
      <c r="F551" t="s">
        <v>34</v>
      </c>
      <c r="G551" s="21">
        <v>1</v>
      </c>
      <c r="H551" s="21">
        <v>0</v>
      </c>
      <c r="J551" s="20" t="s">
        <v>2241</v>
      </c>
      <c r="K551" t="s">
        <v>2240</v>
      </c>
    </row>
    <row r="552" spans="2:11" x14ac:dyDescent="0.2">
      <c r="B552" s="21">
        <f t="shared" si="8"/>
        <v>1569</v>
      </c>
      <c r="C552" t="s">
        <v>235</v>
      </c>
      <c r="D552" t="s">
        <v>13</v>
      </c>
      <c r="E552" t="s">
        <v>2751</v>
      </c>
      <c r="F552" t="s">
        <v>43</v>
      </c>
      <c r="G552" s="21">
        <v>1</v>
      </c>
      <c r="H552" s="21">
        <v>0</v>
      </c>
      <c r="I552" t="s">
        <v>1274</v>
      </c>
      <c r="J552" s="20" t="s">
        <v>2241</v>
      </c>
      <c r="K552" t="s">
        <v>2241</v>
      </c>
    </row>
    <row r="553" spans="2:11" x14ac:dyDescent="0.2">
      <c r="B553" s="21">
        <f t="shared" si="8"/>
        <v>1568</v>
      </c>
      <c r="C553" t="s">
        <v>901</v>
      </c>
      <c r="D553" t="s">
        <v>13</v>
      </c>
      <c r="E553" t="s">
        <v>2751</v>
      </c>
      <c r="F553" t="s">
        <v>27</v>
      </c>
      <c r="G553" s="21">
        <v>1</v>
      </c>
      <c r="H553" s="21">
        <v>0</v>
      </c>
      <c r="J553" s="20" t="s">
        <v>2242</v>
      </c>
      <c r="K553" t="s">
        <v>2241</v>
      </c>
    </row>
    <row r="554" spans="2:11" x14ac:dyDescent="0.2">
      <c r="B554" s="21">
        <f t="shared" si="8"/>
        <v>1567</v>
      </c>
      <c r="C554" t="s">
        <v>901</v>
      </c>
      <c r="D554" t="s">
        <v>13</v>
      </c>
      <c r="E554" t="s">
        <v>2751</v>
      </c>
      <c r="F554" t="s">
        <v>28</v>
      </c>
      <c r="G554" s="21">
        <v>1</v>
      </c>
      <c r="H554" s="21">
        <v>0</v>
      </c>
      <c r="I554" t="s">
        <v>1270</v>
      </c>
      <c r="J554" s="20" t="s">
        <v>2242</v>
      </c>
      <c r="K554" t="s">
        <v>2241</v>
      </c>
    </row>
    <row r="555" spans="2:11" x14ac:dyDescent="0.2">
      <c r="B555" s="21">
        <f t="shared" si="8"/>
        <v>1566</v>
      </c>
      <c r="C555" t="s">
        <v>235</v>
      </c>
      <c r="D555" t="s">
        <v>13</v>
      </c>
      <c r="E555" t="s">
        <v>2751</v>
      </c>
      <c r="F555" t="s">
        <v>34</v>
      </c>
      <c r="G555" s="21">
        <v>1</v>
      </c>
      <c r="H555" s="21">
        <v>0</v>
      </c>
      <c r="J555" s="20" t="s">
        <v>2242</v>
      </c>
      <c r="K555" t="s">
        <v>2241</v>
      </c>
    </row>
    <row r="556" spans="2:11" x14ac:dyDescent="0.2">
      <c r="B556" s="21">
        <f t="shared" si="8"/>
        <v>1565</v>
      </c>
      <c r="C556" t="s">
        <v>901</v>
      </c>
      <c r="D556" t="s">
        <v>13</v>
      </c>
      <c r="E556" t="s">
        <v>2751</v>
      </c>
      <c r="F556" t="s">
        <v>27</v>
      </c>
      <c r="G556" s="21">
        <v>1</v>
      </c>
      <c r="H556" s="21">
        <v>0</v>
      </c>
      <c r="J556" s="20" t="s">
        <v>2243</v>
      </c>
      <c r="K556" t="s">
        <v>2672</v>
      </c>
    </row>
    <row r="557" spans="2:11" x14ac:dyDescent="0.2">
      <c r="B557" s="21">
        <f t="shared" si="8"/>
        <v>1564</v>
      </c>
      <c r="C557" t="s">
        <v>901</v>
      </c>
      <c r="D557" t="s">
        <v>13</v>
      </c>
      <c r="E557" t="s">
        <v>2751</v>
      </c>
      <c r="F557" t="s">
        <v>28</v>
      </c>
      <c r="G557" s="21">
        <v>1</v>
      </c>
      <c r="H557" s="21">
        <v>0</v>
      </c>
      <c r="I557" t="s">
        <v>1268</v>
      </c>
      <c r="J557" s="20" t="s">
        <v>2243</v>
      </c>
      <c r="K557" t="s">
        <v>2672</v>
      </c>
    </row>
    <row r="558" spans="2:11" x14ac:dyDescent="0.2">
      <c r="B558" s="21">
        <f t="shared" si="8"/>
        <v>1563</v>
      </c>
      <c r="C558" t="s">
        <v>235</v>
      </c>
      <c r="D558" t="s">
        <v>13</v>
      </c>
      <c r="E558" t="s">
        <v>2751</v>
      </c>
      <c r="F558" t="s">
        <v>34</v>
      </c>
      <c r="G558" s="21">
        <v>1</v>
      </c>
      <c r="H558" s="21">
        <v>0</v>
      </c>
      <c r="I558" t="s">
        <v>1266</v>
      </c>
      <c r="J558" s="20" t="s">
        <v>2243</v>
      </c>
      <c r="K558" t="s">
        <v>2672</v>
      </c>
    </row>
    <row r="559" spans="2:11" x14ac:dyDescent="0.2">
      <c r="B559" s="21">
        <f t="shared" si="8"/>
        <v>1562</v>
      </c>
      <c r="C559" t="s">
        <v>964</v>
      </c>
      <c r="D559" t="s">
        <v>13</v>
      </c>
      <c r="E559" t="s">
        <v>2751</v>
      </c>
      <c r="F559" t="s">
        <v>27</v>
      </c>
      <c r="G559" s="21">
        <v>1</v>
      </c>
      <c r="H559" s="21">
        <v>0</v>
      </c>
      <c r="I559" t="s">
        <v>1280</v>
      </c>
      <c r="J559" s="20" t="s">
        <v>2243</v>
      </c>
      <c r="K559" t="s">
        <v>2672</v>
      </c>
    </row>
    <row r="560" spans="2:11" x14ac:dyDescent="0.2">
      <c r="B560" s="21">
        <f t="shared" si="8"/>
        <v>1561</v>
      </c>
      <c r="C560" t="s">
        <v>1265</v>
      </c>
      <c r="D560" t="s">
        <v>13</v>
      </c>
      <c r="E560" t="s">
        <v>2751</v>
      </c>
      <c r="F560" t="s">
        <v>27</v>
      </c>
      <c r="G560" s="21">
        <v>1</v>
      </c>
      <c r="H560" s="21">
        <v>0</v>
      </c>
      <c r="I560" t="s">
        <v>1267</v>
      </c>
      <c r="J560" s="20" t="s">
        <v>2243</v>
      </c>
      <c r="K560" t="s">
        <v>2672</v>
      </c>
    </row>
    <row r="561" spans="2:11" x14ac:dyDescent="0.2">
      <c r="B561" s="21">
        <f t="shared" si="8"/>
        <v>1560</v>
      </c>
      <c r="C561" t="s">
        <v>616</v>
      </c>
      <c r="D561" t="s">
        <v>13</v>
      </c>
      <c r="E561" t="s">
        <v>2751</v>
      </c>
      <c r="F561" t="s">
        <v>27</v>
      </c>
      <c r="G561" s="21">
        <v>1</v>
      </c>
      <c r="H561" s="21">
        <v>0</v>
      </c>
      <c r="I561" t="s">
        <v>1269</v>
      </c>
      <c r="J561" s="20" t="s">
        <v>2243</v>
      </c>
      <c r="K561" t="s">
        <v>2243</v>
      </c>
    </row>
    <row r="562" spans="2:11" x14ac:dyDescent="0.2">
      <c r="B562" s="21">
        <f t="shared" si="8"/>
        <v>1559</v>
      </c>
      <c r="C562" t="s">
        <v>901</v>
      </c>
      <c r="D562" t="s">
        <v>13</v>
      </c>
      <c r="E562" t="s">
        <v>2751</v>
      </c>
      <c r="F562" t="s">
        <v>27</v>
      </c>
      <c r="G562" s="21">
        <v>1</v>
      </c>
      <c r="H562" s="21">
        <v>0</v>
      </c>
      <c r="J562" s="20" t="s">
        <v>2244</v>
      </c>
      <c r="K562" t="s">
        <v>2243</v>
      </c>
    </row>
    <row r="563" spans="2:11" x14ac:dyDescent="0.2">
      <c r="B563" s="21">
        <f t="shared" si="8"/>
        <v>1558</v>
      </c>
      <c r="C563" t="s">
        <v>235</v>
      </c>
      <c r="D563" t="s">
        <v>13</v>
      </c>
      <c r="E563" t="s">
        <v>2751</v>
      </c>
      <c r="F563" t="s">
        <v>34</v>
      </c>
      <c r="G563" s="21">
        <v>1</v>
      </c>
      <c r="H563" s="21">
        <v>0</v>
      </c>
      <c r="J563" s="20" t="s">
        <v>2244</v>
      </c>
      <c r="K563" t="s">
        <v>2243</v>
      </c>
    </row>
    <row r="564" spans="2:11" x14ac:dyDescent="0.2">
      <c r="B564" s="21">
        <f t="shared" si="8"/>
        <v>1557</v>
      </c>
      <c r="C564" t="s">
        <v>235</v>
      </c>
      <c r="D564" t="s">
        <v>13</v>
      </c>
      <c r="E564" t="s">
        <v>2751</v>
      </c>
      <c r="F564" t="s">
        <v>43</v>
      </c>
      <c r="G564" s="21">
        <v>1</v>
      </c>
      <c r="H564" s="21">
        <v>0</v>
      </c>
      <c r="I564" t="s">
        <v>1262</v>
      </c>
      <c r="J564" s="20" t="s">
        <v>2244</v>
      </c>
      <c r="K564" t="s">
        <v>2244</v>
      </c>
    </row>
    <row r="565" spans="2:11" x14ac:dyDescent="0.2">
      <c r="B565" s="21">
        <f t="shared" si="8"/>
        <v>1556</v>
      </c>
      <c r="C565" t="s">
        <v>964</v>
      </c>
      <c r="D565" t="s">
        <v>13</v>
      </c>
      <c r="E565" t="s">
        <v>2751</v>
      </c>
      <c r="F565" t="s">
        <v>27</v>
      </c>
      <c r="G565" s="21">
        <v>1</v>
      </c>
      <c r="H565" s="21">
        <v>0</v>
      </c>
      <c r="I565" t="s">
        <v>1281</v>
      </c>
      <c r="J565" s="20" t="s">
        <v>2244</v>
      </c>
      <c r="K565" t="s">
        <v>2243</v>
      </c>
    </row>
    <row r="566" spans="2:11" x14ac:dyDescent="0.2">
      <c r="B566" s="21">
        <f t="shared" si="8"/>
        <v>1555</v>
      </c>
      <c r="C566" t="s">
        <v>975</v>
      </c>
      <c r="D566" t="s">
        <v>13</v>
      </c>
      <c r="E566" t="s">
        <v>2751</v>
      </c>
      <c r="F566" t="s">
        <v>43</v>
      </c>
      <c r="G566" s="21">
        <v>1</v>
      </c>
      <c r="H566" s="21">
        <v>0</v>
      </c>
      <c r="I566" t="s">
        <v>1263</v>
      </c>
      <c r="J566" s="20" t="s">
        <v>2244</v>
      </c>
      <c r="K566" t="s">
        <v>2244</v>
      </c>
    </row>
    <row r="567" spans="2:11" x14ac:dyDescent="0.2">
      <c r="B567" s="21">
        <f t="shared" si="8"/>
        <v>1554</v>
      </c>
      <c r="C567" t="s">
        <v>901</v>
      </c>
      <c r="D567" t="s">
        <v>13</v>
      </c>
      <c r="E567" t="s">
        <v>2751</v>
      </c>
      <c r="F567" t="s">
        <v>4</v>
      </c>
      <c r="G567" s="21">
        <v>1</v>
      </c>
      <c r="H567" s="21">
        <v>0</v>
      </c>
      <c r="I567" t="s">
        <v>1264</v>
      </c>
      <c r="J567" s="20" t="s">
        <v>2244</v>
      </c>
      <c r="K567" t="s">
        <v>2244</v>
      </c>
    </row>
    <row r="568" spans="2:11" x14ac:dyDescent="0.2">
      <c r="B568" s="21">
        <f t="shared" si="8"/>
        <v>1553</v>
      </c>
      <c r="C568" t="s">
        <v>901</v>
      </c>
      <c r="D568" t="s">
        <v>13</v>
      </c>
      <c r="E568" t="s">
        <v>2751</v>
      </c>
      <c r="F568" t="s">
        <v>27</v>
      </c>
      <c r="G568" s="21">
        <v>1</v>
      </c>
      <c r="H568" s="21">
        <v>0</v>
      </c>
      <c r="J568" s="20" t="s">
        <v>2245</v>
      </c>
      <c r="K568" t="s">
        <v>2244</v>
      </c>
    </row>
    <row r="569" spans="2:11" x14ac:dyDescent="0.2">
      <c r="B569" s="21">
        <f t="shared" si="8"/>
        <v>1552</v>
      </c>
      <c r="C569" t="s">
        <v>235</v>
      </c>
      <c r="D569" t="s">
        <v>13</v>
      </c>
      <c r="E569" t="s">
        <v>2751</v>
      </c>
      <c r="F569" t="s">
        <v>34</v>
      </c>
      <c r="G569" s="21">
        <v>1</v>
      </c>
      <c r="H569" s="21">
        <v>0</v>
      </c>
      <c r="J569" s="20" t="s">
        <v>2245</v>
      </c>
      <c r="K569" t="s">
        <v>2244</v>
      </c>
    </row>
    <row r="570" spans="2:11" x14ac:dyDescent="0.2">
      <c r="B570" s="21">
        <f t="shared" si="8"/>
        <v>1551</v>
      </c>
      <c r="C570" t="s">
        <v>616</v>
      </c>
      <c r="D570" t="s">
        <v>13</v>
      </c>
      <c r="E570" t="s">
        <v>2751</v>
      </c>
      <c r="F570" t="s">
        <v>34</v>
      </c>
      <c r="G570" s="21">
        <v>1</v>
      </c>
      <c r="H570" s="21">
        <v>0</v>
      </c>
      <c r="I570" t="s">
        <v>1260</v>
      </c>
      <c r="J570" s="20" t="s">
        <v>2245</v>
      </c>
      <c r="K570" t="s">
        <v>2245</v>
      </c>
    </row>
    <row r="571" spans="2:11" x14ac:dyDescent="0.2">
      <c r="B571" s="21">
        <f t="shared" si="8"/>
        <v>1550</v>
      </c>
      <c r="C571" t="s">
        <v>220</v>
      </c>
      <c r="D571" t="s">
        <v>13</v>
      </c>
      <c r="E571" t="s">
        <v>2751</v>
      </c>
      <c r="F571" t="s">
        <v>49</v>
      </c>
      <c r="G571" s="21">
        <v>1</v>
      </c>
      <c r="H571" s="21">
        <v>0</v>
      </c>
      <c r="I571" t="s">
        <v>1258</v>
      </c>
      <c r="J571" s="20" t="s">
        <v>2245</v>
      </c>
      <c r="K571" t="s">
        <v>2245</v>
      </c>
    </row>
    <row r="572" spans="2:11" x14ac:dyDescent="0.2">
      <c r="B572" s="21">
        <f t="shared" si="8"/>
        <v>1549</v>
      </c>
      <c r="C572" t="s">
        <v>832</v>
      </c>
      <c r="D572" t="s">
        <v>13</v>
      </c>
      <c r="E572" t="s">
        <v>2751</v>
      </c>
      <c r="F572" t="s">
        <v>34</v>
      </c>
      <c r="G572" s="21">
        <v>1</v>
      </c>
      <c r="H572" s="21">
        <v>0</v>
      </c>
      <c r="I572" t="s">
        <v>1259</v>
      </c>
      <c r="J572" s="20" t="s">
        <v>2245</v>
      </c>
      <c r="K572" t="s">
        <v>2245</v>
      </c>
    </row>
    <row r="573" spans="2:11" x14ac:dyDescent="0.2">
      <c r="B573" s="21">
        <f t="shared" si="8"/>
        <v>1548</v>
      </c>
      <c r="C573" t="s">
        <v>701</v>
      </c>
      <c r="D573" t="s">
        <v>13</v>
      </c>
      <c r="E573" t="s">
        <v>2751</v>
      </c>
      <c r="F573" t="s">
        <v>34</v>
      </c>
      <c r="G573" s="21">
        <v>1</v>
      </c>
      <c r="H573" s="21">
        <v>0</v>
      </c>
      <c r="I573" t="s">
        <v>1261</v>
      </c>
      <c r="J573" s="20" t="s">
        <v>2245</v>
      </c>
      <c r="K573" t="s">
        <v>2245</v>
      </c>
    </row>
    <row r="574" spans="2:11" x14ac:dyDescent="0.2">
      <c r="B574" s="21">
        <f t="shared" si="8"/>
        <v>1547</v>
      </c>
      <c r="C574" t="s">
        <v>901</v>
      </c>
      <c r="D574" t="s">
        <v>13</v>
      </c>
      <c r="E574" t="s">
        <v>2751</v>
      </c>
      <c r="F574" t="s">
        <v>27</v>
      </c>
      <c r="G574" s="21">
        <v>1</v>
      </c>
      <c r="H574" s="21">
        <v>0</v>
      </c>
      <c r="I574" t="s">
        <v>1255</v>
      </c>
      <c r="J574" s="20" t="s">
        <v>2246</v>
      </c>
      <c r="K574" t="s">
        <v>2245</v>
      </c>
    </row>
    <row r="575" spans="2:11" x14ac:dyDescent="0.2">
      <c r="B575" s="21">
        <f t="shared" si="8"/>
        <v>1546</v>
      </c>
      <c r="C575" t="s">
        <v>235</v>
      </c>
      <c r="D575" t="s">
        <v>13</v>
      </c>
      <c r="E575" t="s">
        <v>2751</v>
      </c>
      <c r="F575" t="s">
        <v>34</v>
      </c>
      <c r="G575" s="21">
        <v>1</v>
      </c>
      <c r="H575" s="21">
        <v>0</v>
      </c>
      <c r="J575" s="20" t="s">
        <v>2246</v>
      </c>
      <c r="K575" t="s">
        <v>2245</v>
      </c>
    </row>
    <row r="576" spans="2:11" x14ac:dyDescent="0.2">
      <c r="B576" s="21">
        <f t="shared" si="8"/>
        <v>1545</v>
      </c>
      <c r="C576" t="s">
        <v>701</v>
      </c>
      <c r="D576" t="s">
        <v>13</v>
      </c>
      <c r="E576" t="s">
        <v>2751</v>
      </c>
      <c r="F576" t="s">
        <v>27</v>
      </c>
      <c r="G576" s="21">
        <v>1</v>
      </c>
      <c r="H576" s="21">
        <v>0</v>
      </c>
      <c r="I576" t="s">
        <v>1256</v>
      </c>
      <c r="J576" s="20" t="s">
        <v>2246</v>
      </c>
      <c r="K576" t="s">
        <v>2246</v>
      </c>
    </row>
    <row r="577" spans="2:11" x14ac:dyDescent="0.2">
      <c r="B577" s="21">
        <f t="shared" si="8"/>
        <v>1544</v>
      </c>
      <c r="C577" t="s">
        <v>616</v>
      </c>
      <c r="D577" t="s">
        <v>13</v>
      </c>
      <c r="E577" t="s">
        <v>2751</v>
      </c>
      <c r="F577" t="s">
        <v>34</v>
      </c>
      <c r="G577" s="21">
        <v>1</v>
      </c>
      <c r="H577" s="21">
        <v>0</v>
      </c>
      <c r="I577" t="s">
        <v>1257</v>
      </c>
      <c r="J577" s="20" t="s">
        <v>2246</v>
      </c>
      <c r="K577" t="s">
        <v>2245</v>
      </c>
    </row>
    <row r="578" spans="2:11" x14ac:dyDescent="0.2">
      <c r="B578" s="21">
        <f t="shared" si="8"/>
        <v>1543</v>
      </c>
      <c r="C578" t="s">
        <v>616</v>
      </c>
      <c r="D578" t="s">
        <v>13</v>
      </c>
      <c r="E578" t="s">
        <v>2751</v>
      </c>
      <c r="F578" t="s">
        <v>34</v>
      </c>
      <c r="G578" s="21">
        <v>1</v>
      </c>
      <c r="H578" s="21">
        <v>0</v>
      </c>
      <c r="I578" t="s">
        <v>1251</v>
      </c>
      <c r="J578" s="20" t="s">
        <v>2247</v>
      </c>
      <c r="K578" t="s">
        <v>2246</v>
      </c>
    </row>
    <row r="579" spans="2:11" x14ac:dyDescent="0.2">
      <c r="B579" s="21">
        <f t="shared" si="8"/>
        <v>1542</v>
      </c>
      <c r="C579" t="s">
        <v>901</v>
      </c>
      <c r="D579" t="s">
        <v>13</v>
      </c>
      <c r="E579" t="s">
        <v>2751</v>
      </c>
      <c r="F579" t="s">
        <v>27</v>
      </c>
      <c r="G579" s="21">
        <v>1</v>
      </c>
      <c r="H579" s="21">
        <v>0</v>
      </c>
      <c r="I579" t="s">
        <v>1252</v>
      </c>
      <c r="J579" s="20" t="s">
        <v>2247</v>
      </c>
      <c r="K579" t="s">
        <v>2246</v>
      </c>
    </row>
    <row r="580" spans="2:11" x14ac:dyDescent="0.2">
      <c r="B580" s="21">
        <f t="shared" si="8"/>
        <v>1541</v>
      </c>
      <c r="C580" t="s">
        <v>235</v>
      </c>
      <c r="D580" t="s">
        <v>13</v>
      </c>
      <c r="E580" t="s">
        <v>2751</v>
      </c>
      <c r="F580" t="s">
        <v>42</v>
      </c>
      <c r="G580" s="21">
        <v>1</v>
      </c>
      <c r="H580" s="21">
        <v>0</v>
      </c>
      <c r="I580" t="s">
        <v>1253</v>
      </c>
      <c r="J580" s="20" t="s">
        <v>2247</v>
      </c>
      <c r="K580" t="s">
        <v>2247</v>
      </c>
    </row>
    <row r="581" spans="2:11" x14ac:dyDescent="0.2">
      <c r="B581" s="21">
        <f t="shared" ref="B581:B644" si="9">B580-1</f>
        <v>1540</v>
      </c>
      <c r="C581" t="s">
        <v>235</v>
      </c>
      <c r="D581" t="s">
        <v>13</v>
      </c>
      <c r="E581" t="s">
        <v>2751</v>
      </c>
      <c r="F581" t="s">
        <v>34</v>
      </c>
      <c r="G581" s="21">
        <v>1</v>
      </c>
      <c r="H581" s="21">
        <v>0</v>
      </c>
      <c r="I581" t="s">
        <v>1254</v>
      </c>
      <c r="J581" s="20" t="s">
        <v>2247</v>
      </c>
      <c r="K581" t="s">
        <v>2246</v>
      </c>
    </row>
    <row r="582" spans="2:11" x14ac:dyDescent="0.2">
      <c r="B582" s="21">
        <f t="shared" si="9"/>
        <v>1539</v>
      </c>
      <c r="C582" t="s">
        <v>832</v>
      </c>
      <c r="D582" t="s">
        <v>13</v>
      </c>
      <c r="E582" t="s">
        <v>2751</v>
      </c>
      <c r="F582" t="s">
        <v>34</v>
      </c>
      <c r="G582" s="21">
        <v>1</v>
      </c>
      <c r="H582" s="21">
        <v>0</v>
      </c>
      <c r="I582" t="s">
        <v>1246</v>
      </c>
      <c r="J582" s="20" t="s">
        <v>2248</v>
      </c>
      <c r="K582" t="s">
        <v>2248</v>
      </c>
    </row>
    <row r="583" spans="2:11" x14ac:dyDescent="0.2">
      <c r="B583" s="21">
        <f t="shared" si="9"/>
        <v>1538</v>
      </c>
      <c r="C583" t="s">
        <v>616</v>
      </c>
      <c r="D583" t="s">
        <v>13</v>
      </c>
      <c r="E583" t="s">
        <v>2751</v>
      </c>
      <c r="F583" t="s">
        <v>34</v>
      </c>
      <c r="G583" s="21">
        <v>1</v>
      </c>
      <c r="H583" s="21">
        <v>0</v>
      </c>
      <c r="I583" t="s">
        <v>1244</v>
      </c>
      <c r="J583" s="20" t="s">
        <v>2248</v>
      </c>
      <c r="K583" t="s">
        <v>2673</v>
      </c>
    </row>
    <row r="584" spans="2:11" x14ac:dyDescent="0.2">
      <c r="B584" s="21">
        <f t="shared" si="9"/>
        <v>1537</v>
      </c>
      <c r="C584" t="s">
        <v>901</v>
      </c>
      <c r="D584" t="s">
        <v>13</v>
      </c>
      <c r="E584" t="s">
        <v>2751</v>
      </c>
      <c r="F584" t="s">
        <v>27</v>
      </c>
      <c r="G584" s="21">
        <v>1</v>
      </c>
      <c r="H584" s="21">
        <v>0</v>
      </c>
      <c r="I584" t="s">
        <v>1245</v>
      </c>
      <c r="J584" s="20" t="s">
        <v>2248</v>
      </c>
      <c r="K584" t="s">
        <v>2673</v>
      </c>
    </row>
    <row r="585" spans="2:11" x14ac:dyDescent="0.2">
      <c r="B585" s="21">
        <f t="shared" si="9"/>
        <v>1536</v>
      </c>
      <c r="C585" t="s">
        <v>235</v>
      </c>
      <c r="D585" t="s">
        <v>13</v>
      </c>
      <c r="E585" t="s">
        <v>2751</v>
      </c>
      <c r="F585" t="s">
        <v>43</v>
      </c>
      <c r="G585" s="21">
        <v>1</v>
      </c>
      <c r="H585" s="21">
        <v>0</v>
      </c>
      <c r="I585" t="s">
        <v>1248</v>
      </c>
      <c r="J585" s="20" t="s">
        <v>2248</v>
      </c>
      <c r="K585" t="s">
        <v>2248</v>
      </c>
    </row>
    <row r="586" spans="2:11" x14ac:dyDescent="0.2">
      <c r="B586" s="21">
        <f t="shared" si="9"/>
        <v>1535</v>
      </c>
      <c r="C586" t="s">
        <v>1160</v>
      </c>
      <c r="D586" t="s">
        <v>13</v>
      </c>
      <c r="E586" t="s">
        <v>2751</v>
      </c>
      <c r="F586" t="s">
        <v>34</v>
      </c>
      <c r="G586" s="21">
        <v>1</v>
      </c>
      <c r="H586" s="21">
        <v>0</v>
      </c>
      <c r="I586" t="s">
        <v>1249</v>
      </c>
      <c r="J586" s="20" t="s">
        <v>2248</v>
      </c>
      <c r="K586" t="s">
        <v>2248</v>
      </c>
    </row>
    <row r="587" spans="2:11" x14ac:dyDescent="0.2">
      <c r="B587" s="21">
        <f t="shared" si="9"/>
        <v>1534</v>
      </c>
      <c r="C587" t="s">
        <v>616</v>
      </c>
      <c r="D587" t="s">
        <v>13</v>
      </c>
      <c r="E587" t="s">
        <v>2751</v>
      </c>
      <c r="F587" t="s">
        <v>34</v>
      </c>
      <c r="G587" s="21">
        <v>1</v>
      </c>
      <c r="H587" s="21">
        <v>0</v>
      </c>
      <c r="I587" t="s">
        <v>1247</v>
      </c>
      <c r="J587" s="20" t="s">
        <v>2248</v>
      </c>
      <c r="K587" t="s">
        <v>2248</v>
      </c>
    </row>
    <row r="588" spans="2:11" x14ac:dyDescent="0.2">
      <c r="B588" s="21">
        <f t="shared" si="9"/>
        <v>1533</v>
      </c>
      <c r="C588" t="s">
        <v>235</v>
      </c>
      <c r="D588" t="s">
        <v>13</v>
      </c>
      <c r="E588" t="s">
        <v>2751</v>
      </c>
      <c r="F588" t="s">
        <v>42</v>
      </c>
      <c r="G588" s="21">
        <v>1</v>
      </c>
      <c r="H588" s="21">
        <v>0</v>
      </c>
      <c r="I588" t="s">
        <v>1250</v>
      </c>
      <c r="J588" s="20" t="s">
        <v>2248</v>
      </c>
      <c r="K588" t="s">
        <v>2248</v>
      </c>
    </row>
    <row r="589" spans="2:11" x14ac:dyDescent="0.2">
      <c r="B589" s="21">
        <f t="shared" si="9"/>
        <v>1532</v>
      </c>
      <c r="C589" t="s">
        <v>832</v>
      </c>
      <c r="D589" t="s">
        <v>13</v>
      </c>
      <c r="E589" t="s">
        <v>2751</v>
      </c>
      <c r="F589" t="s">
        <v>34</v>
      </c>
      <c r="G589" s="21">
        <v>1</v>
      </c>
      <c r="H589" s="21">
        <v>0</v>
      </c>
      <c r="I589" t="s">
        <v>1240</v>
      </c>
      <c r="J589" s="20" t="s">
        <v>2249</v>
      </c>
      <c r="K589" t="s">
        <v>2249</v>
      </c>
    </row>
    <row r="590" spans="2:11" x14ac:dyDescent="0.2">
      <c r="B590" s="21">
        <f t="shared" si="9"/>
        <v>1531</v>
      </c>
      <c r="C590" t="s">
        <v>616</v>
      </c>
      <c r="D590" t="s">
        <v>13</v>
      </c>
      <c r="E590" t="s">
        <v>2751</v>
      </c>
      <c r="F590" t="s">
        <v>34</v>
      </c>
      <c r="G590" s="21">
        <v>1</v>
      </c>
      <c r="H590" s="21">
        <v>0</v>
      </c>
      <c r="I590" t="s">
        <v>1241</v>
      </c>
      <c r="J590" s="20" t="s">
        <v>2249</v>
      </c>
      <c r="K590" t="s">
        <v>2248</v>
      </c>
    </row>
    <row r="591" spans="2:11" x14ac:dyDescent="0.2">
      <c r="B591" s="21">
        <f t="shared" si="9"/>
        <v>1530</v>
      </c>
      <c r="C591" t="s">
        <v>901</v>
      </c>
      <c r="D591" t="s">
        <v>13</v>
      </c>
      <c r="E591" t="s">
        <v>2751</v>
      </c>
      <c r="F591" t="s">
        <v>27</v>
      </c>
      <c r="G591" s="21">
        <v>1</v>
      </c>
      <c r="H591" s="21">
        <v>0</v>
      </c>
      <c r="I591" t="s">
        <v>1242</v>
      </c>
      <c r="J591" s="20" t="s">
        <v>2249</v>
      </c>
      <c r="K591" t="s">
        <v>2248</v>
      </c>
    </row>
    <row r="592" spans="2:11" x14ac:dyDescent="0.2">
      <c r="B592" s="21">
        <f t="shared" si="9"/>
        <v>1529</v>
      </c>
      <c r="C592" t="s">
        <v>235</v>
      </c>
      <c r="D592" t="s">
        <v>13</v>
      </c>
      <c r="E592" t="s">
        <v>2751</v>
      </c>
      <c r="F592" t="s">
        <v>43</v>
      </c>
      <c r="G592" s="21">
        <v>1</v>
      </c>
      <c r="H592" s="21">
        <v>0</v>
      </c>
      <c r="I592" t="s">
        <v>1243</v>
      </c>
      <c r="J592" s="20" t="s">
        <v>2249</v>
      </c>
      <c r="K592" t="s">
        <v>2248</v>
      </c>
    </row>
    <row r="593" spans="2:11" x14ac:dyDescent="0.2">
      <c r="B593" s="21">
        <f t="shared" si="9"/>
        <v>1528</v>
      </c>
      <c r="C593" t="s">
        <v>832</v>
      </c>
      <c r="D593" t="s">
        <v>13</v>
      </c>
      <c r="E593" t="s">
        <v>2751</v>
      </c>
      <c r="F593" t="s">
        <v>34</v>
      </c>
      <c r="G593" s="21">
        <v>1</v>
      </c>
      <c r="H593" s="21">
        <v>0</v>
      </c>
      <c r="I593" t="s">
        <v>1232</v>
      </c>
      <c r="J593" s="20" t="s">
        <v>2250</v>
      </c>
      <c r="K593" t="s">
        <v>2249</v>
      </c>
    </row>
    <row r="594" spans="2:11" x14ac:dyDescent="0.2">
      <c r="B594" s="21">
        <f t="shared" si="9"/>
        <v>1527</v>
      </c>
      <c r="C594" t="s">
        <v>701</v>
      </c>
      <c r="D594" t="s">
        <v>13</v>
      </c>
      <c r="E594" t="s">
        <v>2751</v>
      </c>
      <c r="F594" t="s">
        <v>34</v>
      </c>
      <c r="G594" s="21">
        <v>1</v>
      </c>
      <c r="H594" s="21">
        <v>0</v>
      </c>
      <c r="I594" t="s">
        <v>1236</v>
      </c>
      <c r="J594" s="20" t="s">
        <v>2250</v>
      </c>
      <c r="K594" t="s">
        <v>2250</v>
      </c>
    </row>
    <row r="595" spans="2:11" x14ac:dyDescent="0.2">
      <c r="B595" s="21">
        <f t="shared" si="9"/>
        <v>1526</v>
      </c>
      <c r="C595" t="s">
        <v>616</v>
      </c>
      <c r="D595" t="s">
        <v>13</v>
      </c>
      <c r="E595" t="s">
        <v>2751</v>
      </c>
      <c r="F595" t="s">
        <v>34</v>
      </c>
      <c r="G595" s="21">
        <v>1</v>
      </c>
      <c r="H595" s="21">
        <v>0</v>
      </c>
      <c r="J595" s="20" t="s">
        <v>2250</v>
      </c>
      <c r="K595" t="s">
        <v>2249</v>
      </c>
    </row>
    <row r="596" spans="2:11" x14ac:dyDescent="0.2">
      <c r="B596" s="21">
        <f t="shared" si="9"/>
        <v>1525</v>
      </c>
      <c r="C596" t="s">
        <v>345</v>
      </c>
      <c r="D596" t="s">
        <v>13</v>
      </c>
      <c r="E596" t="s">
        <v>2751</v>
      </c>
      <c r="F596" t="s">
        <v>34</v>
      </c>
      <c r="G596" s="21">
        <v>1</v>
      </c>
      <c r="H596" s="21">
        <v>0</v>
      </c>
      <c r="I596" t="s">
        <v>1237</v>
      </c>
      <c r="J596" s="20" t="s">
        <v>2250</v>
      </c>
      <c r="K596" t="s">
        <v>2250</v>
      </c>
    </row>
    <row r="597" spans="2:11" x14ac:dyDescent="0.2">
      <c r="B597" s="21">
        <f t="shared" si="9"/>
        <v>1524</v>
      </c>
      <c r="C597" t="s">
        <v>901</v>
      </c>
      <c r="D597" t="s">
        <v>13</v>
      </c>
      <c r="E597" t="s">
        <v>2751</v>
      </c>
      <c r="F597" t="s">
        <v>27</v>
      </c>
      <c r="G597" s="21">
        <v>1</v>
      </c>
      <c r="H597" s="21">
        <v>0</v>
      </c>
      <c r="I597" t="s">
        <v>1238</v>
      </c>
      <c r="J597" s="20" t="s">
        <v>2250</v>
      </c>
      <c r="K597" t="s">
        <v>2249</v>
      </c>
    </row>
    <row r="598" spans="2:11" x14ac:dyDescent="0.2">
      <c r="B598" s="21">
        <f t="shared" si="9"/>
        <v>1523</v>
      </c>
      <c r="C598" t="s">
        <v>235</v>
      </c>
      <c r="D598" t="s">
        <v>13</v>
      </c>
      <c r="E598" t="s">
        <v>2751</v>
      </c>
      <c r="F598" t="s">
        <v>42</v>
      </c>
      <c r="G598" s="21">
        <v>1</v>
      </c>
      <c r="H598" s="21">
        <v>0</v>
      </c>
      <c r="I598" t="s">
        <v>1239</v>
      </c>
      <c r="J598" s="20" t="s">
        <v>2250</v>
      </c>
      <c r="K598" t="s">
        <v>2250</v>
      </c>
    </row>
    <row r="599" spans="2:11" x14ac:dyDescent="0.2">
      <c r="B599" s="21">
        <f t="shared" si="9"/>
        <v>1522</v>
      </c>
      <c r="C599" t="s">
        <v>832</v>
      </c>
      <c r="D599" t="s">
        <v>13</v>
      </c>
      <c r="E599" t="s">
        <v>2751</v>
      </c>
      <c r="F599" t="s">
        <v>34</v>
      </c>
      <c r="G599" s="21">
        <v>1</v>
      </c>
      <c r="H599" s="21">
        <v>0</v>
      </c>
      <c r="I599" t="s">
        <v>1232</v>
      </c>
      <c r="J599" s="20" t="s">
        <v>2251</v>
      </c>
      <c r="K599" t="s">
        <v>2250</v>
      </c>
    </row>
    <row r="600" spans="2:11" x14ac:dyDescent="0.2">
      <c r="B600" s="21">
        <f t="shared" si="9"/>
        <v>1521</v>
      </c>
      <c r="C600" t="s">
        <v>701</v>
      </c>
      <c r="D600" t="s">
        <v>13</v>
      </c>
      <c r="E600" t="s">
        <v>2751</v>
      </c>
      <c r="F600" t="s">
        <v>34</v>
      </c>
      <c r="G600" s="21">
        <v>1</v>
      </c>
      <c r="H600" s="21">
        <v>0</v>
      </c>
      <c r="I600" t="s">
        <v>1233</v>
      </c>
      <c r="J600" s="20" t="s">
        <v>2251</v>
      </c>
      <c r="K600" t="s">
        <v>2251</v>
      </c>
    </row>
    <row r="601" spans="2:11" x14ac:dyDescent="0.2">
      <c r="B601" s="21">
        <f t="shared" si="9"/>
        <v>1520</v>
      </c>
      <c r="C601" t="s">
        <v>616</v>
      </c>
      <c r="D601" t="s">
        <v>13</v>
      </c>
      <c r="E601" t="s">
        <v>2751</v>
      </c>
      <c r="F601" t="s">
        <v>34</v>
      </c>
      <c r="G601" s="21">
        <v>1</v>
      </c>
      <c r="H601" s="21">
        <v>0</v>
      </c>
      <c r="J601" s="20" t="s">
        <v>2251</v>
      </c>
      <c r="K601" t="s">
        <v>2250</v>
      </c>
    </row>
    <row r="602" spans="2:11" x14ac:dyDescent="0.2">
      <c r="B602" s="21">
        <f t="shared" si="9"/>
        <v>1519</v>
      </c>
      <c r="C602" t="s">
        <v>345</v>
      </c>
      <c r="D602" t="s">
        <v>13</v>
      </c>
      <c r="E602" t="s">
        <v>2751</v>
      </c>
      <c r="F602" t="s">
        <v>34</v>
      </c>
      <c r="G602" s="21">
        <v>1</v>
      </c>
      <c r="H602" s="21">
        <v>0</v>
      </c>
      <c r="J602" s="20" t="s">
        <v>2251</v>
      </c>
      <c r="K602" t="s">
        <v>2250</v>
      </c>
    </row>
    <row r="603" spans="2:11" x14ac:dyDescent="0.2">
      <c r="B603" s="21">
        <f t="shared" si="9"/>
        <v>1518</v>
      </c>
      <c r="C603" t="s">
        <v>235</v>
      </c>
      <c r="D603" t="s">
        <v>13</v>
      </c>
      <c r="E603" t="s">
        <v>2751</v>
      </c>
      <c r="F603" t="s">
        <v>43</v>
      </c>
      <c r="G603" s="21">
        <v>1</v>
      </c>
      <c r="H603" s="21">
        <v>0</v>
      </c>
      <c r="I603" t="s">
        <v>1235</v>
      </c>
      <c r="J603" s="20" t="s">
        <v>2251</v>
      </c>
      <c r="K603" t="s">
        <v>2251</v>
      </c>
    </row>
    <row r="604" spans="2:11" x14ac:dyDescent="0.2">
      <c r="B604" s="21">
        <f t="shared" si="9"/>
        <v>1517</v>
      </c>
      <c r="C604" t="s">
        <v>832</v>
      </c>
      <c r="D604" t="s">
        <v>13</v>
      </c>
      <c r="E604" t="s">
        <v>2751</v>
      </c>
      <c r="F604" t="s">
        <v>34</v>
      </c>
      <c r="G604" s="21">
        <v>1</v>
      </c>
      <c r="H604" s="21">
        <v>0</v>
      </c>
      <c r="I604" t="s">
        <v>1232</v>
      </c>
      <c r="J604" s="20" t="s">
        <v>2252</v>
      </c>
      <c r="K604" t="s">
        <v>2251</v>
      </c>
    </row>
    <row r="605" spans="2:11" x14ac:dyDescent="0.2">
      <c r="B605" s="21">
        <f t="shared" si="9"/>
        <v>1516</v>
      </c>
      <c r="C605" t="s">
        <v>701</v>
      </c>
      <c r="D605" t="s">
        <v>13</v>
      </c>
      <c r="E605" t="s">
        <v>2751</v>
      </c>
      <c r="F605" t="s">
        <v>34</v>
      </c>
      <c r="G605" s="21">
        <v>1</v>
      </c>
      <c r="H605" s="21">
        <v>0</v>
      </c>
      <c r="I605" t="s">
        <v>1233</v>
      </c>
      <c r="J605" s="20" t="s">
        <v>2252</v>
      </c>
      <c r="K605" t="s">
        <v>2251</v>
      </c>
    </row>
    <row r="606" spans="2:11" x14ac:dyDescent="0.2">
      <c r="B606" s="21">
        <f t="shared" si="9"/>
        <v>1515</v>
      </c>
      <c r="C606" t="s">
        <v>235</v>
      </c>
      <c r="D606" t="s">
        <v>13</v>
      </c>
      <c r="E606" t="s">
        <v>2751</v>
      </c>
      <c r="F606" t="s">
        <v>42</v>
      </c>
      <c r="G606" s="21">
        <v>1</v>
      </c>
      <c r="H606" s="21">
        <v>0</v>
      </c>
      <c r="I606" t="s">
        <v>1234</v>
      </c>
      <c r="J606" s="20" t="s">
        <v>2252</v>
      </c>
      <c r="K606" t="s">
        <v>2252</v>
      </c>
    </row>
    <row r="607" spans="2:11" x14ac:dyDescent="0.2">
      <c r="B607" s="21">
        <f t="shared" si="9"/>
        <v>1514</v>
      </c>
      <c r="C607" t="s">
        <v>832</v>
      </c>
      <c r="D607" t="s">
        <v>13</v>
      </c>
      <c r="E607" t="s">
        <v>2751</v>
      </c>
      <c r="F607" t="s">
        <v>34</v>
      </c>
      <c r="G607" s="21">
        <v>1</v>
      </c>
      <c r="H607" s="21">
        <v>0</v>
      </c>
      <c r="J607" s="20" t="s">
        <v>2253</v>
      </c>
      <c r="K607" t="s">
        <v>2674</v>
      </c>
    </row>
    <row r="608" spans="2:11" x14ac:dyDescent="0.2">
      <c r="B608" s="21">
        <f t="shared" si="9"/>
        <v>1513</v>
      </c>
      <c r="C608" t="s">
        <v>701</v>
      </c>
      <c r="D608" t="s">
        <v>13</v>
      </c>
      <c r="E608" t="s">
        <v>2751</v>
      </c>
      <c r="F608" t="s">
        <v>34</v>
      </c>
      <c r="G608" s="21">
        <v>1</v>
      </c>
      <c r="H608" s="21">
        <v>0</v>
      </c>
      <c r="J608" s="20" t="s">
        <v>2253</v>
      </c>
      <c r="K608" t="s">
        <v>2674</v>
      </c>
    </row>
    <row r="609" spans="2:11" x14ac:dyDescent="0.2">
      <c r="B609" s="21">
        <f t="shared" si="9"/>
        <v>1512</v>
      </c>
      <c r="C609" t="s">
        <v>832</v>
      </c>
      <c r="D609" t="s">
        <v>13</v>
      </c>
      <c r="E609" t="s">
        <v>2751</v>
      </c>
      <c r="F609" t="s">
        <v>34</v>
      </c>
      <c r="G609" s="21">
        <v>1</v>
      </c>
      <c r="H609" s="21">
        <v>0</v>
      </c>
      <c r="J609" s="20" t="s">
        <v>2254</v>
      </c>
      <c r="K609" t="s">
        <v>2253</v>
      </c>
    </row>
    <row r="610" spans="2:11" x14ac:dyDescent="0.2">
      <c r="B610" s="21">
        <f t="shared" si="9"/>
        <v>1511</v>
      </c>
      <c r="C610" t="s">
        <v>701</v>
      </c>
      <c r="D610" t="s">
        <v>13</v>
      </c>
      <c r="E610" t="s">
        <v>2751</v>
      </c>
      <c r="F610" t="s">
        <v>34</v>
      </c>
      <c r="G610" s="21">
        <v>1</v>
      </c>
      <c r="H610" s="21">
        <v>0</v>
      </c>
      <c r="J610" s="20" t="s">
        <v>2254</v>
      </c>
      <c r="K610" t="s">
        <v>2253</v>
      </c>
    </row>
    <row r="611" spans="2:11" x14ac:dyDescent="0.2">
      <c r="B611" s="21">
        <f t="shared" si="9"/>
        <v>1510</v>
      </c>
      <c r="C611" t="s">
        <v>235</v>
      </c>
      <c r="D611" t="s">
        <v>13</v>
      </c>
      <c r="E611" t="s">
        <v>2751</v>
      </c>
      <c r="F611" t="s">
        <v>49</v>
      </c>
      <c r="G611" s="21">
        <v>1</v>
      </c>
      <c r="H611" s="21">
        <v>0</v>
      </c>
      <c r="I611" t="s">
        <v>1231</v>
      </c>
      <c r="J611" s="20" t="s">
        <v>2254</v>
      </c>
      <c r="K611" t="s">
        <v>2253</v>
      </c>
    </row>
    <row r="612" spans="2:11" x14ac:dyDescent="0.2">
      <c r="B612" s="21">
        <f t="shared" si="9"/>
        <v>1509</v>
      </c>
      <c r="C612" t="s">
        <v>832</v>
      </c>
      <c r="D612" t="s">
        <v>13</v>
      </c>
      <c r="E612" t="s">
        <v>2751</v>
      </c>
      <c r="F612" t="s">
        <v>34</v>
      </c>
      <c r="G612" s="21">
        <v>1</v>
      </c>
      <c r="H612" s="21">
        <v>0</v>
      </c>
      <c r="I612" t="s">
        <v>1226</v>
      </c>
      <c r="J612" s="20" t="s">
        <v>2255</v>
      </c>
      <c r="K612" t="s">
        <v>2254</v>
      </c>
    </row>
    <row r="613" spans="2:11" x14ac:dyDescent="0.2">
      <c r="B613" s="21">
        <f t="shared" si="9"/>
        <v>1508</v>
      </c>
      <c r="C613" t="s">
        <v>235</v>
      </c>
      <c r="D613" t="s">
        <v>13</v>
      </c>
      <c r="E613" t="s">
        <v>2751</v>
      </c>
      <c r="F613" t="s">
        <v>42</v>
      </c>
      <c r="G613" s="21">
        <v>1</v>
      </c>
      <c r="H613" s="21">
        <v>0</v>
      </c>
      <c r="I613" t="s">
        <v>1227</v>
      </c>
      <c r="J613" s="20" t="s">
        <v>2255</v>
      </c>
      <c r="K613" t="s">
        <v>2255</v>
      </c>
    </row>
    <row r="614" spans="2:11" x14ac:dyDescent="0.2">
      <c r="B614" s="21">
        <f t="shared" si="9"/>
        <v>1507</v>
      </c>
      <c r="C614" t="s">
        <v>345</v>
      </c>
      <c r="D614" t="s">
        <v>13</v>
      </c>
      <c r="E614" t="s">
        <v>2751</v>
      </c>
      <c r="F614" t="s">
        <v>34</v>
      </c>
      <c r="G614" s="21">
        <v>1</v>
      </c>
      <c r="H614" s="21">
        <v>0</v>
      </c>
      <c r="I614" t="s">
        <v>1228</v>
      </c>
      <c r="J614" s="20" t="s">
        <v>2255</v>
      </c>
      <c r="K614" t="s">
        <v>2255</v>
      </c>
    </row>
    <row r="615" spans="2:11" x14ac:dyDescent="0.2">
      <c r="B615" s="21">
        <f t="shared" si="9"/>
        <v>1506</v>
      </c>
      <c r="C615" t="s">
        <v>235</v>
      </c>
      <c r="D615" t="s">
        <v>13</v>
      </c>
      <c r="E615" t="s">
        <v>2751</v>
      </c>
      <c r="F615" t="s">
        <v>34</v>
      </c>
      <c r="G615" s="21">
        <v>1</v>
      </c>
      <c r="H615" s="21">
        <v>0</v>
      </c>
      <c r="I615" t="s">
        <v>1229</v>
      </c>
      <c r="J615" s="20" t="s">
        <v>2255</v>
      </c>
      <c r="K615" t="s">
        <v>2255</v>
      </c>
    </row>
    <row r="616" spans="2:11" x14ac:dyDescent="0.2">
      <c r="B616" s="21">
        <f t="shared" si="9"/>
        <v>1505</v>
      </c>
      <c r="C616" t="s">
        <v>701</v>
      </c>
      <c r="D616" t="s">
        <v>13</v>
      </c>
      <c r="E616" t="s">
        <v>2751</v>
      </c>
      <c r="F616" t="s">
        <v>115</v>
      </c>
      <c r="G616" s="21">
        <v>1</v>
      </c>
      <c r="H616" s="21">
        <v>0</v>
      </c>
      <c r="I616" t="s">
        <v>1230</v>
      </c>
      <c r="J616" s="20" t="s">
        <v>2255</v>
      </c>
      <c r="K616" t="s">
        <v>2254</v>
      </c>
    </row>
    <row r="617" spans="2:11" x14ac:dyDescent="0.2">
      <c r="B617" s="21">
        <f t="shared" si="9"/>
        <v>1504</v>
      </c>
      <c r="C617" t="s">
        <v>1160</v>
      </c>
      <c r="D617" t="s">
        <v>13</v>
      </c>
      <c r="E617" t="s">
        <v>2751</v>
      </c>
      <c r="F617" t="s">
        <v>8</v>
      </c>
      <c r="G617" s="21">
        <v>1</v>
      </c>
      <c r="H617" s="21">
        <v>0</v>
      </c>
      <c r="I617" t="s">
        <v>1223</v>
      </c>
      <c r="J617" s="20" t="s">
        <v>2256</v>
      </c>
      <c r="K617" t="s">
        <v>2256</v>
      </c>
    </row>
    <row r="618" spans="2:11" x14ac:dyDescent="0.2">
      <c r="B618" s="21">
        <f t="shared" si="9"/>
        <v>1503</v>
      </c>
      <c r="C618" t="s">
        <v>1064</v>
      </c>
      <c r="D618" t="s">
        <v>13</v>
      </c>
      <c r="E618" t="s">
        <v>2751</v>
      </c>
      <c r="F618" t="s">
        <v>8</v>
      </c>
      <c r="G618" s="21">
        <v>1</v>
      </c>
      <c r="H618" s="21">
        <v>0</v>
      </c>
      <c r="I618" t="s">
        <v>1224</v>
      </c>
      <c r="J618" s="20" t="s">
        <v>2256</v>
      </c>
      <c r="K618" t="s">
        <v>2256</v>
      </c>
    </row>
    <row r="619" spans="2:11" x14ac:dyDescent="0.2">
      <c r="B619" s="21">
        <f t="shared" si="9"/>
        <v>1502</v>
      </c>
      <c r="C619" t="s">
        <v>756</v>
      </c>
      <c r="D619" t="s">
        <v>13</v>
      </c>
      <c r="E619" t="s">
        <v>2751</v>
      </c>
      <c r="F619" t="s">
        <v>28</v>
      </c>
      <c r="G619" s="21">
        <v>1</v>
      </c>
      <c r="H619" s="21">
        <v>0</v>
      </c>
      <c r="I619" t="s">
        <v>1222</v>
      </c>
      <c r="J619" s="20" t="s">
        <v>2256</v>
      </c>
      <c r="K619" t="s">
        <v>2256</v>
      </c>
    </row>
    <row r="620" spans="2:11" x14ac:dyDescent="0.2">
      <c r="B620" s="21">
        <f t="shared" si="9"/>
        <v>1501</v>
      </c>
      <c r="C620" t="s">
        <v>832</v>
      </c>
      <c r="D620" t="s">
        <v>13</v>
      </c>
      <c r="E620" t="s">
        <v>2751</v>
      </c>
      <c r="F620" t="s">
        <v>34</v>
      </c>
      <c r="G620" s="21">
        <v>1</v>
      </c>
      <c r="H620" s="21">
        <v>0</v>
      </c>
      <c r="J620" s="20" t="s">
        <v>2256</v>
      </c>
      <c r="K620" t="s">
        <v>2255</v>
      </c>
    </row>
    <row r="621" spans="2:11" x14ac:dyDescent="0.2">
      <c r="B621" s="21">
        <f t="shared" si="9"/>
        <v>1500</v>
      </c>
      <c r="C621" t="s">
        <v>235</v>
      </c>
      <c r="D621" t="s">
        <v>13</v>
      </c>
      <c r="E621" t="s">
        <v>2751</v>
      </c>
      <c r="F621" t="s">
        <v>43</v>
      </c>
      <c r="G621" s="21">
        <v>1</v>
      </c>
      <c r="H621" s="21">
        <v>0</v>
      </c>
      <c r="I621" t="s">
        <v>1225</v>
      </c>
      <c r="J621" s="20" t="s">
        <v>2256</v>
      </c>
      <c r="K621" t="s">
        <v>2256</v>
      </c>
    </row>
    <row r="622" spans="2:11" x14ac:dyDescent="0.2">
      <c r="B622" s="21">
        <f t="shared" si="9"/>
        <v>1499</v>
      </c>
      <c r="C622" t="s">
        <v>235</v>
      </c>
      <c r="D622" t="s">
        <v>13</v>
      </c>
      <c r="E622" t="s">
        <v>2751</v>
      </c>
      <c r="F622" t="s">
        <v>8</v>
      </c>
      <c r="G622" s="21">
        <v>1</v>
      </c>
      <c r="H622" s="21">
        <v>0</v>
      </c>
      <c r="J622" s="20" t="s">
        <v>2256</v>
      </c>
      <c r="K622" t="s">
        <v>2255</v>
      </c>
    </row>
    <row r="623" spans="2:11" x14ac:dyDescent="0.2">
      <c r="B623" s="21">
        <f t="shared" si="9"/>
        <v>1498</v>
      </c>
      <c r="C623" t="s">
        <v>1160</v>
      </c>
      <c r="D623" t="s">
        <v>13</v>
      </c>
      <c r="E623" t="s">
        <v>2751</v>
      </c>
      <c r="F623" t="s">
        <v>8</v>
      </c>
      <c r="G623" s="21">
        <v>1</v>
      </c>
      <c r="H623" s="21">
        <v>0</v>
      </c>
      <c r="I623" t="s">
        <v>1221</v>
      </c>
      <c r="J623" s="20" t="s">
        <v>2257</v>
      </c>
      <c r="K623" t="s">
        <v>2257</v>
      </c>
    </row>
    <row r="624" spans="2:11" x14ac:dyDescent="0.2">
      <c r="B624" s="21">
        <f t="shared" si="9"/>
        <v>1497</v>
      </c>
      <c r="C624" t="s">
        <v>235</v>
      </c>
      <c r="D624" t="s">
        <v>13</v>
      </c>
      <c r="E624" t="s">
        <v>2751</v>
      </c>
      <c r="F624" t="s">
        <v>8</v>
      </c>
      <c r="G624" s="21">
        <v>1</v>
      </c>
      <c r="H624" s="21">
        <v>0</v>
      </c>
      <c r="I624" t="s">
        <v>1220</v>
      </c>
      <c r="J624" s="20" t="s">
        <v>2257</v>
      </c>
      <c r="K624" t="s">
        <v>2257</v>
      </c>
    </row>
    <row r="625" spans="2:11" x14ac:dyDescent="0.2">
      <c r="B625" s="21">
        <f t="shared" si="9"/>
        <v>1496</v>
      </c>
      <c r="C625" t="s">
        <v>832</v>
      </c>
      <c r="D625" t="s">
        <v>13</v>
      </c>
      <c r="E625" t="s">
        <v>2751</v>
      </c>
      <c r="F625" t="s">
        <v>8</v>
      </c>
      <c r="G625" s="21">
        <v>1</v>
      </c>
      <c r="H625" s="21">
        <v>0</v>
      </c>
      <c r="I625" t="s">
        <v>1219</v>
      </c>
      <c r="J625" s="20" t="s">
        <v>2257</v>
      </c>
      <c r="K625" t="s">
        <v>2257</v>
      </c>
    </row>
    <row r="626" spans="2:11" x14ac:dyDescent="0.2">
      <c r="B626" s="21">
        <f t="shared" si="9"/>
        <v>1495</v>
      </c>
      <c r="C626" t="s">
        <v>1064</v>
      </c>
      <c r="D626" t="s">
        <v>13</v>
      </c>
      <c r="E626" t="s">
        <v>2751</v>
      </c>
      <c r="F626" t="s">
        <v>8</v>
      </c>
      <c r="G626" s="21">
        <v>1</v>
      </c>
      <c r="H626" s="21">
        <v>0</v>
      </c>
      <c r="J626" s="20" t="s">
        <v>2257</v>
      </c>
      <c r="K626" t="s">
        <v>2256</v>
      </c>
    </row>
    <row r="627" spans="2:11" x14ac:dyDescent="0.2">
      <c r="B627" s="21">
        <f t="shared" si="9"/>
        <v>1494</v>
      </c>
      <c r="C627" t="s">
        <v>38</v>
      </c>
      <c r="D627" t="s">
        <v>13</v>
      </c>
      <c r="E627" t="s">
        <v>2751</v>
      </c>
      <c r="F627" t="s">
        <v>34</v>
      </c>
      <c r="G627" s="21">
        <v>1</v>
      </c>
      <c r="H627" s="21">
        <v>0</v>
      </c>
      <c r="I627" t="s">
        <v>1218</v>
      </c>
      <c r="J627" s="20" t="s">
        <v>2258</v>
      </c>
      <c r="K627" t="s">
        <v>2258</v>
      </c>
    </row>
    <row r="628" spans="2:11" x14ac:dyDescent="0.2">
      <c r="B628" s="21">
        <f t="shared" si="9"/>
        <v>1493</v>
      </c>
      <c r="C628" t="s">
        <v>832</v>
      </c>
      <c r="D628" t="s">
        <v>13</v>
      </c>
      <c r="E628" t="s">
        <v>2751</v>
      </c>
      <c r="F628" t="s">
        <v>34</v>
      </c>
      <c r="G628" s="21">
        <v>1</v>
      </c>
      <c r="H628" s="21">
        <v>0</v>
      </c>
      <c r="I628" t="s">
        <v>1217</v>
      </c>
      <c r="J628" s="20" t="s">
        <v>2258</v>
      </c>
      <c r="K628" t="s">
        <v>2258</v>
      </c>
    </row>
    <row r="629" spans="2:11" x14ac:dyDescent="0.2">
      <c r="B629" s="21">
        <f t="shared" si="9"/>
        <v>1492</v>
      </c>
      <c r="C629" t="s">
        <v>1160</v>
      </c>
      <c r="D629" t="s">
        <v>13</v>
      </c>
      <c r="E629" t="s">
        <v>2751</v>
      </c>
      <c r="F629" t="s">
        <v>8</v>
      </c>
      <c r="G629" s="21">
        <v>1</v>
      </c>
      <c r="H629" s="21">
        <v>0</v>
      </c>
      <c r="J629" s="20" t="s">
        <v>2258</v>
      </c>
      <c r="K629" t="s">
        <v>2675</v>
      </c>
    </row>
    <row r="630" spans="2:11" x14ac:dyDescent="0.2">
      <c r="B630" s="21">
        <f t="shared" si="9"/>
        <v>1491</v>
      </c>
      <c r="C630" t="s">
        <v>235</v>
      </c>
      <c r="D630" t="s">
        <v>13</v>
      </c>
      <c r="E630" t="s">
        <v>2751</v>
      </c>
      <c r="F630" t="s">
        <v>43</v>
      </c>
      <c r="G630" s="21">
        <v>1</v>
      </c>
      <c r="H630" s="21">
        <v>0</v>
      </c>
      <c r="I630" t="s">
        <v>1214</v>
      </c>
      <c r="J630" s="20" t="s">
        <v>2259</v>
      </c>
      <c r="K630" t="s">
        <v>2259</v>
      </c>
    </row>
    <row r="631" spans="2:11" x14ac:dyDescent="0.2">
      <c r="B631" s="21">
        <f t="shared" si="9"/>
        <v>1490</v>
      </c>
      <c r="C631" t="s">
        <v>235</v>
      </c>
      <c r="D631" t="s">
        <v>13</v>
      </c>
      <c r="E631" t="s">
        <v>2751</v>
      </c>
      <c r="F631" t="s">
        <v>115</v>
      </c>
      <c r="G631" s="21">
        <v>1</v>
      </c>
      <c r="H631" s="21">
        <v>0</v>
      </c>
      <c r="I631" t="s">
        <v>1213</v>
      </c>
      <c r="J631" s="20" t="s">
        <v>2259</v>
      </c>
      <c r="K631" t="s">
        <v>2259</v>
      </c>
    </row>
    <row r="632" spans="2:11" x14ac:dyDescent="0.2">
      <c r="B632" s="21">
        <f t="shared" si="9"/>
        <v>1489</v>
      </c>
      <c r="C632" t="s">
        <v>38</v>
      </c>
      <c r="D632" t="s">
        <v>13</v>
      </c>
      <c r="E632" t="s">
        <v>2751</v>
      </c>
      <c r="F632" t="s">
        <v>34</v>
      </c>
      <c r="G632" s="21">
        <v>1</v>
      </c>
      <c r="H632" s="21">
        <v>0</v>
      </c>
      <c r="I632" t="s">
        <v>1216</v>
      </c>
      <c r="J632" s="20" t="s">
        <v>2259</v>
      </c>
      <c r="K632" t="s">
        <v>2258</v>
      </c>
    </row>
    <row r="633" spans="2:11" x14ac:dyDescent="0.2">
      <c r="B633" s="21">
        <f t="shared" si="9"/>
        <v>1488</v>
      </c>
      <c r="C633" t="s">
        <v>1197</v>
      </c>
      <c r="D633" t="s">
        <v>13</v>
      </c>
      <c r="E633" t="s">
        <v>2751</v>
      </c>
      <c r="F633" t="s">
        <v>8</v>
      </c>
      <c r="G633" s="21">
        <v>1</v>
      </c>
      <c r="H633" s="21">
        <v>0</v>
      </c>
      <c r="I633" t="s">
        <v>1215</v>
      </c>
      <c r="J633" s="20" t="s">
        <v>2259</v>
      </c>
      <c r="K633" t="s">
        <v>2259</v>
      </c>
    </row>
    <row r="634" spans="2:11" x14ac:dyDescent="0.2">
      <c r="B634" s="21">
        <f t="shared" si="9"/>
        <v>1487</v>
      </c>
      <c r="C634" t="s">
        <v>832</v>
      </c>
      <c r="D634" t="s">
        <v>13</v>
      </c>
      <c r="E634" t="s">
        <v>2751</v>
      </c>
      <c r="F634" t="s">
        <v>34</v>
      </c>
      <c r="G634" s="21">
        <v>1</v>
      </c>
      <c r="H634" s="21">
        <v>0</v>
      </c>
      <c r="I634" t="s">
        <v>1210</v>
      </c>
      <c r="J634" s="20" t="s">
        <v>2260</v>
      </c>
      <c r="K634" t="s">
        <v>2260</v>
      </c>
    </row>
    <row r="635" spans="2:11" x14ac:dyDescent="0.2">
      <c r="B635" s="21">
        <f t="shared" si="9"/>
        <v>1486</v>
      </c>
      <c r="C635" t="s">
        <v>345</v>
      </c>
      <c r="D635" t="s">
        <v>13</v>
      </c>
      <c r="E635" t="s">
        <v>2751</v>
      </c>
      <c r="F635" t="s">
        <v>34</v>
      </c>
      <c r="G635" s="21">
        <v>1</v>
      </c>
      <c r="H635" s="21">
        <v>0</v>
      </c>
      <c r="I635" t="s">
        <v>1212</v>
      </c>
      <c r="J635" s="20" t="s">
        <v>2260</v>
      </c>
      <c r="K635" t="s">
        <v>2260</v>
      </c>
    </row>
    <row r="636" spans="2:11" x14ac:dyDescent="0.2">
      <c r="B636" s="21">
        <f t="shared" si="9"/>
        <v>1485</v>
      </c>
      <c r="C636" t="s">
        <v>701</v>
      </c>
      <c r="D636" t="s">
        <v>13</v>
      </c>
      <c r="E636" t="s">
        <v>2751</v>
      </c>
      <c r="F636" t="s">
        <v>8</v>
      </c>
      <c r="G636" s="21">
        <v>1</v>
      </c>
      <c r="H636" s="21">
        <v>0</v>
      </c>
      <c r="I636" t="s">
        <v>1211</v>
      </c>
      <c r="J636" s="20" t="s">
        <v>2260</v>
      </c>
      <c r="K636" t="s">
        <v>2260</v>
      </c>
    </row>
    <row r="637" spans="2:11" x14ac:dyDescent="0.2">
      <c r="B637" s="21">
        <f t="shared" si="9"/>
        <v>1484</v>
      </c>
      <c r="C637" t="s">
        <v>235</v>
      </c>
      <c r="D637" t="s">
        <v>13</v>
      </c>
      <c r="E637" t="s">
        <v>2751</v>
      </c>
      <c r="F637" t="s">
        <v>49</v>
      </c>
      <c r="G637" s="21">
        <v>1</v>
      </c>
      <c r="H637" s="21">
        <v>0</v>
      </c>
      <c r="I637" t="s">
        <v>1209</v>
      </c>
      <c r="J637" s="20" t="s">
        <v>2261</v>
      </c>
      <c r="K637" t="s">
        <v>2261</v>
      </c>
    </row>
    <row r="638" spans="2:11" x14ac:dyDescent="0.2">
      <c r="B638" s="21">
        <f t="shared" si="9"/>
        <v>1483</v>
      </c>
      <c r="C638" t="s">
        <v>975</v>
      </c>
      <c r="D638" t="s">
        <v>13</v>
      </c>
      <c r="E638" t="s">
        <v>2751</v>
      </c>
      <c r="F638" t="s">
        <v>27</v>
      </c>
      <c r="G638" s="21">
        <v>1</v>
      </c>
      <c r="H638" s="21">
        <v>0</v>
      </c>
      <c r="I638" t="s">
        <v>1208</v>
      </c>
      <c r="J638" s="20" t="s">
        <v>2261</v>
      </c>
      <c r="K638" t="s">
        <v>2261</v>
      </c>
    </row>
    <row r="639" spans="2:11" x14ac:dyDescent="0.2">
      <c r="B639" s="21">
        <f t="shared" si="9"/>
        <v>1482</v>
      </c>
      <c r="C639" t="s">
        <v>1160</v>
      </c>
      <c r="D639" t="s">
        <v>13</v>
      </c>
      <c r="E639" t="s">
        <v>2751</v>
      </c>
      <c r="F639" t="s">
        <v>8</v>
      </c>
      <c r="G639" s="21">
        <v>1</v>
      </c>
      <c r="H639" s="21">
        <v>0</v>
      </c>
      <c r="I639" t="s">
        <v>1206</v>
      </c>
      <c r="J639" s="20" t="s">
        <v>2261</v>
      </c>
      <c r="K639" t="s">
        <v>2261</v>
      </c>
    </row>
    <row r="640" spans="2:11" x14ac:dyDescent="0.2">
      <c r="B640" s="21">
        <f t="shared" si="9"/>
        <v>1481</v>
      </c>
      <c r="C640" t="s">
        <v>151</v>
      </c>
      <c r="D640" t="s">
        <v>13</v>
      </c>
      <c r="E640" t="s">
        <v>2751</v>
      </c>
      <c r="F640" t="s">
        <v>42</v>
      </c>
      <c r="G640" s="21">
        <v>1</v>
      </c>
      <c r="H640" s="21">
        <v>0</v>
      </c>
      <c r="I640" t="s">
        <v>1207</v>
      </c>
      <c r="J640" s="20" t="s">
        <v>2261</v>
      </c>
      <c r="K640" t="s">
        <v>2261</v>
      </c>
    </row>
    <row r="641" spans="2:11" x14ac:dyDescent="0.2">
      <c r="B641" s="21">
        <f t="shared" si="9"/>
        <v>1480</v>
      </c>
      <c r="C641" t="s">
        <v>12</v>
      </c>
      <c r="D641" t="s">
        <v>13</v>
      </c>
      <c r="E641" t="s">
        <v>2751</v>
      </c>
      <c r="F641" t="s">
        <v>49</v>
      </c>
      <c r="G641" s="21">
        <v>1</v>
      </c>
      <c r="H641" s="21">
        <v>0</v>
      </c>
      <c r="I641" t="s">
        <v>1205</v>
      </c>
      <c r="J641" s="20" t="s">
        <v>2262</v>
      </c>
      <c r="K641" t="s">
        <v>2261</v>
      </c>
    </row>
    <row r="642" spans="2:11" x14ac:dyDescent="0.2">
      <c r="B642" s="21">
        <f t="shared" si="9"/>
        <v>1479</v>
      </c>
      <c r="C642" t="s">
        <v>235</v>
      </c>
      <c r="D642" t="s">
        <v>13</v>
      </c>
      <c r="E642" t="s">
        <v>2751</v>
      </c>
      <c r="F642" t="s">
        <v>49</v>
      </c>
      <c r="G642" s="21">
        <v>1</v>
      </c>
      <c r="H642" s="21">
        <v>0</v>
      </c>
      <c r="J642" s="20" t="s">
        <v>2262</v>
      </c>
      <c r="K642" t="s">
        <v>2261</v>
      </c>
    </row>
    <row r="643" spans="2:11" x14ac:dyDescent="0.2">
      <c r="B643" s="21">
        <f t="shared" si="9"/>
        <v>1478</v>
      </c>
      <c r="C643" t="s">
        <v>756</v>
      </c>
      <c r="D643" t="s">
        <v>13</v>
      </c>
      <c r="E643" t="s">
        <v>2751</v>
      </c>
      <c r="F643" t="s">
        <v>8</v>
      </c>
      <c r="G643" s="21">
        <v>1</v>
      </c>
      <c r="H643" s="21">
        <v>0</v>
      </c>
      <c r="I643" t="s">
        <v>1200</v>
      </c>
      <c r="J643" s="20" t="s">
        <v>2262</v>
      </c>
      <c r="K643" t="s">
        <v>2262</v>
      </c>
    </row>
    <row r="644" spans="2:11" x14ac:dyDescent="0.2">
      <c r="B644" s="21">
        <f t="shared" si="9"/>
        <v>1477</v>
      </c>
      <c r="C644" t="s">
        <v>975</v>
      </c>
      <c r="D644" t="s">
        <v>13</v>
      </c>
      <c r="E644" t="s">
        <v>2751</v>
      </c>
      <c r="F644" t="s">
        <v>27</v>
      </c>
      <c r="G644" s="21">
        <v>1</v>
      </c>
      <c r="H644" s="21">
        <v>0</v>
      </c>
      <c r="I644" t="s">
        <v>1201</v>
      </c>
      <c r="J644" s="20" t="s">
        <v>2262</v>
      </c>
      <c r="K644" t="s">
        <v>2261</v>
      </c>
    </row>
    <row r="645" spans="2:11" x14ac:dyDescent="0.2">
      <c r="B645" s="21">
        <f t="shared" ref="B645:B708" si="10">B644-1</f>
        <v>1476</v>
      </c>
      <c r="C645" t="s">
        <v>832</v>
      </c>
      <c r="D645" t="s">
        <v>13</v>
      </c>
      <c r="E645" t="s">
        <v>2751</v>
      </c>
      <c r="F645" t="s">
        <v>34</v>
      </c>
      <c r="G645" s="21">
        <v>1</v>
      </c>
      <c r="H645" s="21">
        <v>0</v>
      </c>
      <c r="I645" t="s">
        <v>1203</v>
      </c>
      <c r="J645" s="20" t="s">
        <v>2262</v>
      </c>
      <c r="K645" t="s">
        <v>2262</v>
      </c>
    </row>
    <row r="646" spans="2:11" x14ac:dyDescent="0.2">
      <c r="B646" s="21">
        <f t="shared" si="10"/>
        <v>1475</v>
      </c>
      <c r="C646" t="s">
        <v>65</v>
      </c>
      <c r="D646" t="s">
        <v>13</v>
      </c>
      <c r="E646" t="s">
        <v>2751</v>
      </c>
      <c r="F646" t="s">
        <v>27</v>
      </c>
      <c r="G646" s="21">
        <v>1</v>
      </c>
      <c r="H646" s="21">
        <v>0</v>
      </c>
      <c r="I646" t="s">
        <v>1202</v>
      </c>
      <c r="J646" s="20" t="s">
        <v>2262</v>
      </c>
      <c r="K646" t="s">
        <v>2261</v>
      </c>
    </row>
    <row r="647" spans="2:11" x14ac:dyDescent="0.2">
      <c r="B647" s="21">
        <f t="shared" si="10"/>
        <v>1474</v>
      </c>
      <c r="C647" t="s">
        <v>1160</v>
      </c>
      <c r="D647" t="s">
        <v>13</v>
      </c>
      <c r="E647" t="s">
        <v>2751</v>
      </c>
      <c r="F647" t="s">
        <v>34</v>
      </c>
      <c r="G647" s="21">
        <v>1</v>
      </c>
      <c r="H647" s="21">
        <v>0</v>
      </c>
      <c r="I647" t="s">
        <v>1204</v>
      </c>
      <c r="J647" s="20" t="s">
        <v>2262</v>
      </c>
      <c r="K647" t="s">
        <v>2262</v>
      </c>
    </row>
    <row r="648" spans="2:11" x14ac:dyDescent="0.2">
      <c r="B648" s="21">
        <f t="shared" si="10"/>
        <v>1473</v>
      </c>
      <c r="C648" t="s">
        <v>12</v>
      </c>
      <c r="D648" t="s">
        <v>13</v>
      </c>
      <c r="E648" t="s">
        <v>2751</v>
      </c>
      <c r="F648" t="s">
        <v>49</v>
      </c>
      <c r="G648" s="21">
        <v>1</v>
      </c>
      <c r="H648" s="21">
        <v>0</v>
      </c>
      <c r="J648" s="20" t="s">
        <v>2263</v>
      </c>
      <c r="K648" t="s">
        <v>2676</v>
      </c>
    </row>
    <row r="649" spans="2:11" x14ac:dyDescent="0.2">
      <c r="B649" s="21">
        <f t="shared" si="10"/>
        <v>1472</v>
      </c>
      <c r="C649" t="s">
        <v>756</v>
      </c>
      <c r="D649" t="s">
        <v>13</v>
      </c>
      <c r="E649" t="s">
        <v>2751</v>
      </c>
      <c r="F649" t="s">
        <v>31</v>
      </c>
      <c r="G649" s="21">
        <v>1</v>
      </c>
      <c r="H649" s="21">
        <v>0</v>
      </c>
      <c r="I649" t="s">
        <v>1199</v>
      </c>
      <c r="J649" s="20" t="s">
        <v>2263</v>
      </c>
      <c r="K649" t="s">
        <v>2263</v>
      </c>
    </row>
    <row r="650" spans="2:11" x14ac:dyDescent="0.2">
      <c r="B650" s="21">
        <f t="shared" si="10"/>
        <v>1471</v>
      </c>
      <c r="C650" t="s">
        <v>235</v>
      </c>
      <c r="D650" t="s">
        <v>13</v>
      </c>
      <c r="E650" t="s">
        <v>2751</v>
      </c>
      <c r="F650" t="s">
        <v>49</v>
      </c>
      <c r="G650" s="21">
        <v>1</v>
      </c>
      <c r="H650" s="21">
        <v>0</v>
      </c>
      <c r="I650" t="s">
        <v>1196</v>
      </c>
      <c r="J650" s="20" t="s">
        <v>2263</v>
      </c>
      <c r="K650" t="s">
        <v>2263</v>
      </c>
    </row>
    <row r="651" spans="2:11" x14ac:dyDescent="0.2">
      <c r="B651" s="21">
        <f t="shared" si="10"/>
        <v>1470</v>
      </c>
      <c r="C651" t="s">
        <v>701</v>
      </c>
      <c r="D651" t="s">
        <v>13</v>
      </c>
      <c r="E651" t="s">
        <v>2751</v>
      </c>
      <c r="F651" t="s">
        <v>8</v>
      </c>
      <c r="G651" s="21">
        <v>1</v>
      </c>
      <c r="H651" s="21">
        <v>0</v>
      </c>
      <c r="I651" t="s">
        <v>1195</v>
      </c>
      <c r="J651" s="20" t="s">
        <v>2263</v>
      </c>
      <c r="K651" t="s">
        <v>2263</v>
      </c>
    </row>
    <row r="652" spans="2:11" x14ac:dyDescent="0.2">
      <c r="B652" s="21">
        <f t="shared" si="10"/>
        <v>1469</v>
      </c>
      <c r="C652" t="s">
        <v>1197</v>
      </c>
      <c r="D652" t="s">
        <v>13</v>
      </c>
      <c r="E652" t="s">
        <v>2751</v>
      </c>
      <c r="F652" t="s">
        <v>27</v>
      </c>
      <c r="G652" s="21">
        <v>1</v>
      </c>
      <c r="H652" s="21">
        <v>0</v>
      </c>
      <c r="I652" t="s">
        <v>1198</v>
      </c>
      <c r="J652" s="20" t="s">
        <v>2263</v>
      </c>
      <c r="K652" t="s">
        <v>2263</v>
      </c>
    </row>
    <row r="653" spans="2:11" x14ac:dyDescent="0.2">
      <c r="B653" s="21">
        <f t="shared" si="10"/>
        <v>1468</v>
      </c>
      <c r="C653" t="s">
        <v>235</v>
      </c>
      <c r="D653" t="s">
        <v>13</v>
      </c>
      <c r="E653" t="s">
        <v>2751</v>
      </c>
      <c r="F653" t="s">
        <v>42</v>
      </c>
      <c r="G653" s="21">
        <v>1</v>
      </c>
      <c r="H653" s="21">
        <v>0</v>
      </c>
      <c r="I653" t="s">
        <v>1193</v>
      </c>
      <c r="J653" s="20" t="s">
        <v>2264</v>
      </c>
      <c r="K653" t="s">
        <v>2264</v>
      </c>
    </row>
    <row r="654" spans="2:11" x14ac:dyDescent="0.2">
      <c r="B654" s="21">
        <f t="shared" si="10"/>
        <v>1467</v>
      </c>
      <c r="C654" t="s">
        <v>12</v>
      </c>
      <c r="D654" t="s">
        <v>13</v>
      </c>
      <c r="E654" t="s">
        <v>2751</v>
      </c>
      <c r="F654" t="s">
        <v>49</v>
      </c>
      <c r="G654" s="21">
        <v>1</v>
      </c>
      <c r="H654" s="21">
        <v>0</v>
      </c>
      <c r="J654" s="20" t="s">
        <v>2264</v>
      </c>
      <c r="K654" t="s">
        <v>2263</v>
      </c>
    </row>
    <row r="655" spans="2:11" x14ac:dyDescent="0.2">
      <c r="B655" s="21">
        <f t="shared" si="10"/>
        <v>1466</v>
      </c>
      <c r="C655" t="s">
        <v>1192</v>
      </c>
      <c r="D655" t="s">
        <v>13</v>
      </c>
      <c r="E655" t="s">
        <v>2751</v>
      </c>
      <c r="F655" t="s">
        <v>27</v>
      </c>
      <c r="G655" s="21">
        <v>1</v>
      </c>
      <c r="H655" s="21">
        <v>0</v>
      </c>
      <c r="I655" t="s">
        <v>1194</v>
      </c>
      <c r="J655" s="20" t="s">
        <v>2264</v>
      </c>
      <c r="K655" t="s">
        <v>2264</v>
      </c>
    </row>
    <row r="656" spans="2:11" x14ac:dyDescent="0.2">
      <c r="B656" s="21">
        <f t="shared" si="10"/>
        <v>1465</v>
      </c>
      <c r="C656" t="s">
        <v>756</v>
      </c>
      <c r="D656" t="s">
        <v>13</v>
      </c>
      <c r="E656" t="s">
        <v>2751</v>
      </c>
      <c r="F656" t="s">
        <v>31</v>
      </c>
      <c r="G656" s="21">
        <v>1</v>
      </c>
      <c r="H656" s="21">
        <v>0</v>
      </c>
      <c r="J656" s="20" t="s">
        <v>2264</v>
      </c>
      <c r="K656" t="s">
        <v>2263</v>
      </c>
    </row>
    <row r="657" spans="2:11" x14ac:dyDescent="0.2">
      <c r="B657" s="21">
        <f t="shared" si="10"/>
        <v>1464</v>
      </c>
      <c r="C657" t="s">
        <v>616</v>
      </c>
      <c r="D657" t="s">
        <v>13</v>
      </c>
      <c r="E657" t="s">
        <v>2751</v>
      </c>
      <c r="F657" t="s">
        <v>34</v>
      </c>
      <c r="G657" s="21">
        <v>1</v>
      </c>
      <c r="H657" s="21">
        <v>0</v>
      </c>
      <c r="I657" t="s">
        <v>1191</v>
      </c>
      <c r="J657" s="20" t="s">
        <v>2265</v>
      </c>
      <c r="K657" t="s">
        <v>2265</v>
      </c>
    </row>
    <row r="658" spans="2:11" x14ac:dyDescent="0.2">
      <c r="B658" s="21">
        <f t="shared" si="10"/>
        <v>1463</v>
      </c>
      <c r="C658" t="s">
        <v>12</v>
      </c>
      <c r="D658" t="s">
        <v>13</v>
      </c>
      <c r="E658" t="s">
        <v>2751</v>
      </c>
      <c r="F658" t="s">
        <v>49</v>
      </c>
      <c r="G658" s="21">
        <v>1</v>
      </c>
      <c r="H658" s="21">
        <v>0</v>
      </c>
      <c r="I658" t="s">
        <v>1187</v>
      </c>
      <c r="J658" s="20" t="s">
        <v>2265</v>
      </c>
      <c r="K658" t="s">
        <v>2264</v>
      </c>
    </row>
    <row r="659" spans="2:11" x14ac:dyDescent="0.2">
      <c r="B659" s="21">
        <f t="shared" si="10"/>
        <v>1462</v>
      </c>
      <c r="C659" t="s">
        <v>756</v>
      </c>
      <c r="D659" t="s">
        <v>13</v>
      </c>
      <c r="E659" t="s">
        <v>2751</v>
      </c>
      <c r="F659" t="s">
        <v>43</v>
      </c>
      <c r="G659" s="21">
        <v>1</v>
      </c>
      <c r="H659" s="21">
        <v>0</v>
      </c>
      <c r="I659" t="s">
        <v>1189</v>
      </c>
      <c r="J659" s="20" t="s">
        <v>2265</v>
      </c>
      <c r="K659" t="s">
        <v>2265</v>
      </c>
    </row>
    <row r="660" spans="2:11" x14ac:dyDescent="0.2">
      <c r="B660" s="21">
        <f t="shared" si="10"/>
        <v>1461</v>
      </c>
      <c r="C660" t="s">
        <v>235</v>
      </c>
      <c r="D660" t="s">
        <v>13</v>
      </c>
      <c r="E660" t="s">
        <v>2751</v>
      </c>
      <c r="F660" t="s">
        <v>42</v>
      </c>
      <c r="G660" s="21">
        <v>1</v>
      </c>
      <c r="H660" s="21">
        <v>0</v>
      </c>
      <c r="I660" t="s">
        <v>1190</v>
      </c>
      <c r="J660" s="20" t="s">
        <v>2265</v>
      </c>
      <c r="K660" t="s">
        <v>2265</v>
      </c>
    </row>
    <row r="661" spans="2:11" x14ac:dyDescent="0.2">
      <c r="B661" s="21">
        <f t="shared" si="10"/>
        <v>1460</v>
      </c>
      <c r="C661" t="s">
        <v>616</v>
      </c>
      <c r="D661" t="s">
        <v>13</v>
      </c>
      <c r="E661" t="s">
        <v>2751</v>
      </c>
      <c r="F661" t="s">
        <v>34</v>
      </c>
      <c r="G661" s="21">
        <v>1</v>
      </c>
      <c r="H661" s="21">
        <v>0</v>
      </c>
      <c r="I661" t="s">
        <v>1186</v>
      </c>
      <c r="J661" s="20" t="s">
        <v>2266</v>
      </c>
      <c r="K661" t="s">
        <v>2265</v>
      </c>
    </row>
    <row r="662" spans="2:11" x14ac:dyDescent="0.2">
      <c r="B662" s="21">
        <f t="shared" si="10"/>
        <v>1459</v>
      </c>
      <c r="C662" t="s">
        <v>12</v>
      </c>
      <c r="D662" t="s">
        <v>13</v>
      </c>
      <c r="E662" t="s">
        <v>2751</v>
      </c>
      <c r="F662" t="s">
        <v>49</v>
      </c>
      <c r="G662" s="21">
        <v>1</v>
      </c>
      <c r="H662" s="21">
        <v>0</v>
      </c>
      <c r="I662" t="s">
        <v>1187</v>
      </c>
      <c r="J662" s="20" t="s">
        <v>2266</v>
      </c>
      <c r="K662" t="s">
        <v>2265</v>
      </c>
    </row>
    <row r="663" spans="2:11" x14ac:dyDescent="0.2">
      <c r="B663" s="21">
        <f t="shared" si="10"/>
        <v>1458</v>
      </c>
      <c r="C663" t="s">
        <v>756</v>
      </c>
      <c r="D663" t="s">
        <v>13</v>
      </c>
      <c r="E663" t="s">
        <v>2751</v>
      </c>
      <c r="F663" t="s">
        <v>43</v>
      </c>
      <c r="G663" s="21">
        <v>1</v>
      </c>
      <c r="H663" s="21">
        <v>0</v>
      </c>
      <c r="J663" s="20" t="s">
        <v>2266</v>
      </c>
      <c r="K663" t="s">
        <v>2265</v>
      </c>
    </row>
    <row r="664" spans="2:11" x14ac:dyDescent="0.2">
      <c r="B664" s="21">
        <f t="shared" si="10"/>
        <v>1457</v>
      </c>
      <c r="C664" t="s">
        <v>235</v>
      </c>
      <c r="D664" t="s">
        <v>13</v>
      </c>
      <c r="E664" t="s">
        <v>2751</v>
      </c>
      <c r="F664" t="s">
        <v>8</v>
      </c>
      <c r="G664" s="21">
        <v>1</v>
      </c>
      <c r="H664" s="21">
        <v>0</v>
      </c>
      <c r="I664" t="s">
        <v>1188</v>
      </c>
      <c r="J664" s="20" t="s">
        <v>2266</v>
      </c>
      <c r="K664" t="s">
        <v>2266</v>
      </c>
    </row>
    <row r="665" spans="2:11" x14ac:dyDescent="0.2">
      <c r="B665" s="21">
        <f t="shared" si="10"/>
        <v>1456</v>
      </c>
      <c r="C665" t="s">
        <v>235</v>
      </c>
      <c r="D665" t="s">
        <v>13</v>
      </c>
      <c r="E665" t="s">
        <v>2751</v>
      </c>
      <c r="F665" t="s">
        <v>42</v>
      </c>
      <c r="G665" s="21">
        <v>1</v>
      </c>
      <c r="H665" s="21">
        <v>0</v>
      </c>
      <c r="J665" s="20" t="s">
        <v>2266</v>
      </c>
      <c r="K665" t="s">
        <v>2265</v>
      </c>
    </row>
    <row r="666" spans="2:11" x14ac:dyDescent="0.2">
      <c r="B666" s="21">
        <f t="shared" si="10"/>
        <v>1455</v>
      </c>
      <c r="C666" t="s">
        <v>616</v>
      </c>
      <c r="D666" t="s">
        <v>13</v>
      </c>
      <c r="E666" t="s">
        <v>2751</v>
      </c>
      <c r="F666" t="s">
        <v>34</v>
      </c>
      <c r="G666" s="21">
        <v>1</v>
      </c>
      <c r="H666" s="21">
        <v>0</v>
      </c>
      <c r="I666" t="s">
        <v>1182</v>
      </c>
      <c r="J666" s="20" t="s">
        <v>2267</v>
      </c>
      <c r="K666" t="s">
        <v>2266</v>
      </c>
    </row>
    <row r="667" spans="2:11" x14ac:dyDescent="0.2">
      <c r="B667" s="21">
        <f t="shared" si="10"/>
        <v>1454</v>
      </c>
      <c r="C667" t="s">
        <v>12</v>
      </c>
      <c r="D667" t="s">
        <v>13</v>
      </c>
      <c r="E667" t="s">
        <v>2751</v>
      </c>
      <c r="F667" t="s">
        <v>49</v>
      </c>
      <c r="G667" s="21">
        <v>1</v>
      </c>
      <c r="H667" s="21">
        <v>0</v>
      </c>
      <c r="I667" t="s">
        <v>1185</v>
      </c>
      <c r="J667" s="20" t="s">
        <v>2267</v>
      </c>
      <c r="K667" t="s">
        <v>2266</v>
      </c>
    </row>
    <row r="668" spans="2:11" x14ac:dyDescent="0.2">
      <c r="B668" s="21">
        <f t="shared" si="10"/>
        <v>1453</v>
      </c>
      <c r="C668" t="s">
        <v>235</v>
      </c>
      <c r="D668" t="s">
        <v>13</v>
      </c>
      <c r="E668" t="s">
        <v>2751</v>
      </c>
      <c r="F668" t="s">
        <v>27</v>
      </c>
      <c r="G668" s="21">
        <v>1</v>
      </c>
      <c r="H668" s="21">
        <v>0</v>
      </c>
      <c r="I668" t="s">
        <v>1181</v>
      </c>
      <c r="J668" s="20" t="s">
        <v>2267</v>
      </c>
      <c r="K668" t="s">
        <v>2267</v>
      </c>
    </row>
    <row r="669" spans="2:11" x14ac:dyDescent="0.2">
      <c r="B669" s="21">
        <f t="shared" si="10"/>
        <v>1452</v>
      </c>
      <c r="C669" t="s">
        <v>701</v>
      </c>
      <c r="D669" t="s">
        <v>13</v>
      </c>
      <c r="E669" t="s">
        <v>2751</v>
      </c>
      <c r="F669" t="s">
        <v>8</v>
      </c>
      <c r="G669" s="21">
        <v>1</v>
      </c>
      <c r="H669" s="21">
        <v>0</v>
      </c>
      <c r="I669" t="s">
        <v>1183</v>
      </c>
      <c r="J669" s="20" t="s">
        <v>2267</v>
      </c>
      <c r="K669" t="s">
        <v>2267</v>
      </c>
    </row>
    <row r="670" spans="2:11" x14ac:dyDescent="0.2">
      <c r="B670" s="21">
        <f t="shared" si="10"/>
        <v>1451</v>
      </c>
      <c r="C670" t="s">
        <v>975</v>
      </c>
      <c r="D670" t="s">
        <v>13</v>
      </c>
      <c r="E670" t="s">
        <v>2751</v>
      </c>
      <c r="F670" t="s">
        <v>27</v>
      </c>
      <c r="G670" s="21">
        <v>1</v>
      </c>
      <c r="H670" s="21">
        <v>0</v>
      </c>
      <c r="I670" t="s">
        <v>1184</v>
      </c>
      <c r="J670" s="20" t="s">
        <v>2267</v>
      </c>
      <c r="K670" t="s">
        <v>2267</v>
      </c>
    </row>
    <row r="671" spans="2:11" x14ac:dyDescent="0.2">
      <c r="B671" s="21">
        <f t="shared" si="10"/>
        <v>1450</v>
      </c>
      <c r="C671" t="s">
        <v>616</v>
      </c>
      <c r="D671" t="s">
        <v>13</v>
      </c>
      <c r="E671" t="s">
        <v>2751</v>
      </c>
      <c r="F671" t="s">
        <v>34</v>
      </c>
      <c r="G671" s="21">
        <v>1</v>
      </c>
      <c r="H671" s="21">
        <v>0</v>
      </c>
      <c r="J671" s="20" t="s">
        <v>2268</v>
      </c>
      <c r="K671" t="s">
        <v>2677</v>
      </c>
    </row>
    <row r="672" spans="2:11" x14ac:dyDescent="0.2">
      <c r="B672" s="21">
        <f t="shared" si="10"/>
        <v>1449</v>
      </c>
      <c r="C672" t="s">
        <v>12</v>
      </c>
      <c r="D672" t="s">
        <v>13</v>
      </c>
      <c r="E672" t="s">
        <v>2751</v>
      </c>
      <c r="F672" t="s">
        <v>49</v>
      </c>
      <c r="G672" s="21">
        <v>1</v>
      </c>
      <c r="H672" s="21">
        <v>0</v>
      </c>
      <c r="J672" s="20" t="s">
        <v>2268</v>
      </c>
      <c r="K672" t="s">
        <v>2677</v>
      </c>
    </row>
    <row r="673" spans="2:11" x14ac:dyDescent="0.2">
      <c r="B673" s="21">
        <f t="shared" si="10"/>
        <v>1448</v>
      </c>
      <c r="C673" t="s">
        <v>235</v>
      </c>
      <c r="D673" t="s">
        <v>13</v>
      </c>
      <c r="E673" t="s">
        <v>2751</v>
      </c>
      <c r="F673" t="s">
        <v>27</v>
      </c>
      <c r="G673" s="21">
        <v>1</v>
      </c>
      <c r="H673" s="21">
        <v>0</v>
      </c>
      <c r="I673" t="s">
        <v>1179</v>
      </c>
      <c r="J673" s="20" t="s">
        <v>2268</v>
      </c>
      <c r="K673" t="s">
        <v>2268</v>
      </c>
    </row>
    <row r="674" spans="2:11" x14ac:dyDescent="0.2">
      <c r="B674" s="21">
        <f t="shared" si="10"/>
        <v>1447</v>
      </c>
      <c r="C674" t="s">
        <v>1034</v>
      </c>
      <c r="D674" t="s">
        <v>13</v>
      </c>
      <c r="E674" t="s">
        <v>2751</v>
      </c>
      <c r="F674" t="s">
        <v>27</v>
      </c>
      <c r="G674" s="21">
        <v>1</v>
      </c>
      <c r="H674" s="21">
        <v>0</v>
      </c>
      <c r="I674" t="s">
        <v>1180</v>
      </c>
      <c r="J674" s="20" t="s">
        <v>2268</v>
      </c>
      <c r="K674" t="s">
        <v>2268</v>
      </c>
    </row>
    <row r="675" spans="2:11" x14ac:dyDescent="0.2">
      <c r="B675" s="21">
        <f t="shared" si="10"/>
        <v>1446</v>
      </c>
      <c r="C675" t="s">
        <v>235</v>
      </c>
      <c r="D675" t="s">
        <v>13</v>
      </c>
      <c r="E675" t="s">
        <v>2751</v>
      </c>
      <c r="F675" t="s">
        <v>34</v>
      </c>
      <c r="G675" s="21">
        <v>1</v>
      </c>
      <c r="H675" s="21">
        <v>0</v>
      </c>
      <c r="I675" t="s">
        <v>1177</v>
      </c>
      <c r="J675" s="20" t="s">
        <v>2268</v>
      </c>
      <c r="K675" t="s">
        <v>2268</v>
      </c>
    </row>
    <row r="676" spans="2:11" x14ac:dyDescent="0.2">
      <c r="B676" s="21">
        <f t="shared" si="10"/>
        <v>1445</v>
      </c>
      <c r="C676" t="s">
        <v>756</v>
      </c>
      <c r="D676" t="s">
        <v>13</v>
      </c>
      <c r="E676" t="s">
        <v>2751</v>
      </c>
      <c r="F676" t="s">
        <v>49</v>
      </c>
      <c r="G676" s="21">
        <v>1</v>
      </c>
      <c r="H676" s="21">
        <v>0</v>
      </c>
      <c r="I676" t="s">
        <v>1178</v>
      </c>
      <c r="J676" s="20" t="s">
        <v>2268</v>
      </c>
      <c r="K676" t="s">
        <v>2268</v>
      </c>
    </row>
    <row r="677" spans="2:11" x14ac:dyDescent="0.2">
      <c r="B677" s="21">
        <f t="shared" si="10"/>
        <v>1444</v>
      </c>
      <c r="C677" t="s">
        <v>616</v>
      </c>
      <c r="D677" t="s">
        <v>13</v>
      </c>
      <c r="E677" t="s">
        <v>2751</v>
      </c>
      <c r="F677" t="s">
        <v>34</v>
      </c>
      <c r="G677" s="21">
        <v>1</v>
      </c>
      <c r="H677" s="21">
        <v>0</v>
      </c>
      <c r="I677" t="s">
        <v>1170</v>
      </c>
      <c r="J677" s="20" t="s">
        <v>2269</v>
      </c>
      <c r="K677" t="s">
        <v>2268</v>
      </c>
    </row>
    <row r="678" spans="2:11" x14ac:dyDescent="0.2">
      <c r="B678" s="21">
        <f t="shared" si="10"/>
        <v>1443</v>
      </c>
      <c r="C678" t="s">
        <v>12</v>
      </c>
      <c r="D678" t="s">
        <v>13</v>
      </c>
      <c r="E678" t="s">
        <v>2751</v>
      </c>
      <c r="F678" t="s">
        <v>49</v>
      </c>
      <c r="G678" s="21">
        <v>1</v>
      </c>
      <c r="H678" s="21">
        <v>0</v>
      </c>
      <c r="I678" t="s">
        <v>1175</v>
      </c>
      <c r="J678" s="20" t="s">
        <v>2269</v>
      </c>
      <c r="K678" t="s">
        <v>2268</v>
      </c>
    </row>
    <row r="679" spans="2:11" x14ac:dyDescent="0.2">
      <c r="B679" s="21">
        <f t="shared" si="10"/>
        <v>1442</v>
      </c>
      <c r="C679" t="s">
        <v>1160</v>
      </c>
      <c r="D679" t="s">
        <v>13</v>
      </c>
      <c r="E679" t="s">
        <v>2751</v>
      </c>
      <c r="F679" t="s">
        <v>34</v>
      </c>
      <c r="G679" s="21">
        <v>1</v>
      </c>
      <c r="H679" s="21">
        <v>0</v>
      </c>
      <c r="I679" t="s">
        <v>1174</v>
      </c>
      <c r="J679" s="20" t="s">
        <v>2269</v>
      </c>
      <c r="K679" t="s">
        <v>2269</v>
      </c>
    </row>
    <row r="680" spans="2:11" x14ac:dyDescent="0.2">
      <c r="B680" s="21">
        <f t="shared" si="10"/>
        <v>1441</v>
      </c>
      <c r="C680" t="s">
        <v>235</v>
      </c>
      <c r="D680" t="s">
        <v>13</v>
      </c>
      <c r="E680" t="s">
        <v>2751</v>
      </c>
      <c r="F680" t="s">
        <v>43</v>
      </c>
      <c r="G680" s="21">
        <v>1</v>
      </c>
      <c r="H680" s="21">
        <v>0</v>
      </c>
      <c r="I680" t="s">
        <v>1173</v>
      </c>
      <c r="J680" s="20" t="s">
        <v>2269</v>
      </c>
      <c r="K680" t="s">
        <v>2269</v>
      </c>
    </row>
    <row r="681" spans="2:11" x14ac:dyDescent="0.2">
      <c r="B681" s="21">
        <f t="shared" si="10"/>
        <v>1440</v>
      </c>
      <c r="C681" t="s">
        <v>616</v>
      </c>
      <c r="D681" t="s">
        <v>13</v>
      </c>
      <c r="E681" t="s">
        <v>2751</v>
      </c>
      <c r="F681" t="s">
        <v>34</v>
      </c>
      <c r="G681" s="21">
        <v>1</v>
      </c>
      <c r="H681" s="21">
        <v>0</v>
      </c>
      <c r="I681" t="s">
        <v>1170</v>
      </c>
      <c r="J681" s="20" t="s">
        <v>2270</v>
      </c>
      <c r="K681" t="s">
        <v>2269</v>
      </c>
    </row>
    <row r="682" spans="2:11" x14ac:dyDescent="0.2">
      <c r="B682" s="21">
        <f t="shared" si="10"/>
        <v>1439</v>
      </c>
      <c r="C682" t="s">
        <v>832</v>
      </c>
      <c r="D682" t="s">
        <v>13</v>
      </c>
      <c r="E682" t="s">
        <v>2751</v>
      </c>
      <c r="F682" t="s">
        <v>34</v>
      </c>
      <c r="G682" s="21">
        <v>1</v>
      </c>
      <c r="H682" s="21">
        <v>0</v>
      </c>
      <c r="J682" s="20" t="s">
        <v>2270</v>
      </c>
      <c r="K682" t="s">
        <v>2269</v>
      </c>
    </row>
    <row r="683" spans="2:11" x14ac:dyDescent="0.2">
      <c r="B683" s="21">
        <f t="shared" si="10"/>
        <v>1438</v>
      </c>
      <c r="C683" t="s">
        <v>65</v>
      </c>
      <c r="D683" t="s">
        <v>13</v>
      </c>
      <c r="E683" t="s">
        <v>2751</v>
      </c>
      <c r="F683" t="s">
        <v>115</v>
      </c>
      <c r="G683" s="21">
        <v>1</v>
      </c>
      <c r="H683" s="21">
        <v>0</v>
      </c>
      <c r="I683" t="s">
        <v>1176</v>
      </c>
      <c r="J683" s="20" t="s">
        <v>2270</v>
      </c>
      <c r="K683" t="s">
        <v>2270</v>
      </c>
    </row>
    <row r="684" spans="2:11" x14ac:dyDescent="0.2">
      <c r="B684" s="21">
        <f t="shared" si="10"/>
        <v>1437</v>
      </c>
      <c r="C684" t="s">
        <v>616</v>
      </c>
      <c r="D684" t="s">
        <v>13</v>
      </c>
      <c r="E684" t="s">
        <v>2751</v>
      </c>
      <c r="F684" t="s">
        <v>34</v>
      </c>
      <c r="G684" s="21">
        <v>1</v>
      </c>
      <c r="H684" s="21">
        <v>0</v>
      </c>
      <c r="I684" t="s">
        <v>1170</v>
      </c>
      <c r="J684" s="20" t="s">
        <v>2271</v>
      </c>
      <c r="K684" t="s">
        <v>2270</v>
      </c>
    </row>
    <row r="685" spans="2:11" x14ac:dyDescent="0.2">
      <c r="B685" s="21">
        <f t="shared" si="10"/>
        <v>1436</v>
      </c>
      <c r="C685" t="s">
        <v>235</v>
      </c>
      <c r="D685" t="s">
        <v>13</v>
      </c>
      <c r="E685" t="s">
        <v>2751</v>
      </c>
      <c r="F685" t="s">
        <v>42</v>
      </c>
      <c r="G685" s="21">
        <v>1</v>
      </c>
      <c r="H685" s="21">
        <v>0</v>
      </c>
      <c r="I685" t="s">
        <v>1169</v>
      </c>
      <c r="J685" s="20" t="s">
        <v>2271</v>
      </c>
      <c r="K685" t="s">
        <v>2271</v>
      </c>
    </row>
    <row r="686" spans="2:11" x14ac:dyDescent="0.2">
      <c r="B686" s="21">
        <f t="shared" si="10"/>
        <v>1435</v>
      </c>
      <c r="C686" t="s">
        <v>832</v>
      </c>
      <c r="D686" t="s">
        <v>13</v>
      </c>
      <c r="E686" t="s">
        <v>2751</v>
      </c>
      <c r="F686" t="s">
        <v>34</v>
      </c>
      <c r="G686" s="21">
        <v>1</v>
      </c>
      <c r="H686" s="21">
        <v>0</v>
      </c>
      <c r="J686" s="20" t="s">
        <v>2271</v>
      </c>
      <c r="K686" t="s">
        <v>2270</v>
      </c>
    </row>
    <row r="687" spans="2:11" x14ac:dyDescent="0.2">
      <c r="B687" s="21">
        <f t="shared" si="10"/>
        <v>1434</v>
      </c>
      <c r="C687" t="s">
        <v>1160</v>
      </c>
      <c r="D687" t="s">
        <v>13</v>
      </c>
      <c r="E687" t="s">
        <v>2751</v>
      </c>
      <c r="F687" t="s">
        <v>34</v>
      </c>
      <c r="G687" s="21">
        <v>1</v>
      </c>
      <c r="H687" s="21">
        <v>0</v>
      </c>
      <c r="I687" t="s">
        <v>1171</v>
      </c>
      <c r="J687" s="20" t="s">
        <v>2271</v>
      </c>
      <c r="K687" t="s">
        <v>2271</v>
      </c>
    </row>
    <row r="688" spans="2:11" x14ac:dyDescent="0.2">
      <c r="B688" s="21">
        <f t="shared" si="10"/>
        <v>1433</v>
      </c>
      <c r="C688" t="s">
        <v>701</v>
      </c>
      <c r="D688" t="s">
        <v>13</v>
      </c>
      <c r="E688" t="s">
        <v>2751</v>
      </c>
      <c r="F688" t="s">
        <v>8</v>
      </c>
      <c r="G688" s="21">
        <v>1</v>
      </c>
      <c r="H688" s="21">
        <v>0</v>
      </c>
      <c r="I688" t="s">
        <v>1172</v>
      </c>
      <c r="J688" s="20" t="s">
        <v>2271</v>
      </c>
      <c r="K688" t="s">
        <v>2271</v>
      </c>
    </row>
    <row r="689" spans="2:11" x14ac:dyDescent="0.2">
      <c r="B689" s="21">
        <f t="shared" si="10"/>
        <v>1432</v>
      </c>
      <c r="C689" t="s">
        <v>616</v>
      </c>
      <c r="D689" t="s">
        <v>13</v>
      </c>
      <c r="E689" t="s">
        <v>2751</v>
      </c>
      <c r="F689" t="s">
        <v>34</v>
      </c>
      <c r="G689" s="21">
        <v>1</v>
      </c>
      <c r="H689" s="21">
        <v>0</v>
      </c>
      <c r="I689" t="s">
        <v>1164</v>
      </c>
      <c r="J689" s="20" t="s">
        <v>2272</v>
      </c>
      <c r="K689" t="s">
        <v>2271</v>
      </c>
    </row>
    <row r="690" spans="2:11" x14ac:dyDescent="0.2">
      <c r="B690" s="21">
        <f t="shared" si="10"/>
        <v>1431</v>
      </c>
      <c r="C690" t="s">
        <v>235</v>
      </c>
      <c r="D690" t="s">
        <v>13</v>
      </c>
      <c r="E690" t="s">
        <v>2751</v>
      </c>
      <c r="F690" t="s">
        <v>42</v>
      </c>
      <c r="G690" s="21">
        <v>1</v>
      </c>
      <c r="H690" s="21">
        <v>0</v>
      </c>
      <c r="I690" t="s">
        <v>1166</v>
      </c>
      <c r="J690" s="20" t="s">
        <v>2272</v>
      </c>
      <c r="K690" t="s">
        <v>2272</v>
      </c>
    </row>
    <row r="691" spans="2:11" x14ac:dyDescent="0.2">
      <c r="B691" s="21">
        <f t="shared" si="10"/>
        <v>1430</v>
      </c>
      <c r="C691" t="s">
        <v>832</v>
      </c>
      <c r="D691" t="s">
        <v>13</v>
      </c>
      <c r="E691" t="s">
        <v>2751</v>
      </c>
      <c r="F691" t="s">
        <v>34</v>
      </c>
      <c r="G691" s="21">
        <v>1</v>
      </c>
      <c r="H691" s="21">
        <v>0</v>
      </c>
      <c r="J691" s="20" t="s">
        <v>2272</v>
      </c>
      <c r="K691" t="s">
        <v>2271</v>
      </c>
    </row>
    <row r="692" spans="2:11" x14ac:dyDescent="0.2">
      <c r="B692" s="21">
        <f t="shared" si="10"/>
        <v>1429</v>
      </c>
      <c r="C692" t="s">
        <v>1160</v>
      </c>
      <c r="D692" t="s">
        <v>13</v>
      </c>
      <c r="E692" t="s">
        <v>2751</v>
      </c>
      <c r="F692" t="s">
        <v>34</v>
      </c>
      <c r="G692" s="21">
        <v>1</v>
      </c>
      <c r="H692" s="21">
        <v>0</v>
      </c>
      <c r="I692" t="s">
        <v>1165</v>
      </c>
      <c r="J692" s="20" t="s">
        <v>2272</v>
      </c>
      <c r="K692" t="s">
        <v>2271</v>
      </c>
    </row>
    <row r="693" spans="2:11" x14ac:dyDescent="0.2">
      <c r="B693" s="21">
        <f t="shared" si="10"/>
        <v>1428</v>
      </c>
      <c r="C693" t="s">
        <v>701</v>
      </c>
      <c r="D693" t="s">
        <v>13</v>
      </c>
      <c r="E693" t="s">
        <v>2751</v>
      </c>
      <c r="F693" t="s">
        <v>8</v>
      </c>
      <c r="G693" s="21">
        <v>1</v>
      </c>
      <c r="H693" s="21">
        <v>0</v>
      </c>
      <c r="J693" s="20" t="s">
        <v>2272</v>
      </c>
      <c r="K693" t="s">
        <v>2271</v>
      </c>
    </row>
    <row r="694" spans="2:11" x14ac:dyDescent="0.2">
      <c r="B694" s="21">
        <f t="shared" si="10"/>
        <v>1427</v>
      </c>
      <c r="C694" t="s">
        <v>756</v>
      </c>
      <c r="D694" t="s">
        <v>13</v>
      </c>
      <c r="E694" t="s">
        <v>2751</v>
      </c>
      <c r="F694" t="s">
        <v>49</v>
      </c>
      <c r="G694" s="21">
        <v>1</v>
      </c>
      <c r="H694" s="21">
        <v>0</v>
      </c>
      <c r="I694" t="s">
        <v>1167</v>
      </c>
      <c r="J694" s="20" t="s">
        <v>2272</v>
      </c>
      <c r="K694" t="s">
        <v>2272</v>
      </c>
    </row>
    <row r="695" spans="2:11" x14ac:dyDescent="0.2">
      <c r="B695" s="21">
        <f t="shared" si="10"/>
        <v>1426</v>
      </c>
      <c r="C695" t="s">
        <v>65</v>
      </c>
      <c r="D695" t="s">
        <v>13</v>
      </c>
      <c r="E695" t="s">
        <v>2751</v>
      </c>
      <c r="F695" t="s">
        <v>115</v>
      </c>
      <c r="G695" s="21">
        <v>1</v>
      </c>
      <c r="H695" s="21">
        <v>0</v>
      </c>
      <c r="I695" t="s">
        <v>1168</v>
      </c>
      <c r="J695" s="20" t="s">
        <v>2272</v>
      </c>
      <c r="K695" t="s">
        <v>2272</v>
      </c>
    </row>
    <row r="696" spans="2:11" x14ac:dyDescent="0.2">
      <c r="B696" s="21">
        <f t="shared" si="10"/>
        <v>1425</v>
      </c>
      <c r="C696" t="s">
        <v>616</v>
      </c>
      <c r="D696" t="s">
        <v>13</v>
      </c>
      <c r="E696" t="s">
        <v>2751</v>
      </c>
      <c r="F696" t="s">
        <v>34</v>
      </c>
      <c r="G696" s="21">
        <v>1</v>
      </c>
      <c r="H696" s="21">
        <v>0</v>
      </c>
      <c r="J696" s="20" t="s">
        <v>2273</v>
      </c>
      <c r="K696" t="s">
        <v>2678</v>
      </c>
    </row>
    <row r="697" spans="2:11" x14ac:dyDescent="0.2">
      <c r="B697" s="21">
        <f t="shared" si="10"/>
        <v>1424</v>
      </c>
      <c r="C697" t="s">
        <v>235</v>
      </c>
      <c r="D697" t="s">
        <v>13</v>
      </c>
      <c r="E697" t="s">
        <v>2751</v>
      </c>
      <c r="F697" t="s">
        <v>42</v>
      </c>
      <c r="G697" s="21">
        <v>1</v>
      </c>
      <c r="H697" s="21">
        <v>0</v>
      </c>
      <c r="J697" s="20" t="s">
        <v>2273</v>
      </c>
      <c r="K697" t="s">
        <v>2678</v>
      </c>
    </row>
    <row r="698" spans="2:11" x14ac:dyDescent="0.2">
      <c r="B698" s="21">
        <f t="shared" si="10"/>
        <v>1423</v>
      </c>
      <c r="C698" t="s">
        <v>1153</v>
      </c>
      <c r="D698" t="s">
        <v>13</v>
      </c>
      <c r="E698" t="s">
        <v>2751</v>
      </c>
      <c r="F698" t="s">
        <v>27</v>
      </c>
      <c r="G698" s="21">
        <v>1</v>
      </c>
      <c r="H698" s="21">
        <v>0</v>
      </c>
      <c r="I698" t="s">
        <v>1163</v>
      </c>
      <c r="J698" s="20" t="s">
        <v>2273</v>
      </c>
      <c r="K698" t="s">
        <v>2678</v>
      </c>
    </row>
    <row r="699" spans="2:11" x14ac:dyDescent="0.2">
      <c r="B699" s="21">
        <f t="shared" si="10"/>
        <v>1422</v>
      </c>
      <c r="C699" t="s">
        <v>1160</v>
      </c>
      <c r="D699" t="s">
        <v>13</v>
      </c>
      <c r="E699" t="s">
        <v>2751</v>
      </c>
      <c r="F699" t="s">
        <v>27</v>
      </c>
      <c r="G699" s="21">
        <v>1</v>
      </c>
      <c r="H699" s="21">
        <v>0</v>
      </c>
      <c r="I699" t="s">
        <v>1162</v>
      </c>
      <c r="J699" s="20" t="s">
        <v>2273</v>
      </c>
      <c r="K699" t="s">
        <v>2273</v>
      </c>
    </row>
    <row r="700" spans="2:11" x14ac:dyDescent="0.2">
      <c r="B700" s="21">
        <f t="shared" si="10"/>
        <v>1421</v>
      </c>
      <c r="C700" t="s">
        <v>701</v>
      </c>
      <c r="D700" t="s">
        <v>13</v>
      </c>
      <c r="E700" t="s">
        <v>2751</v>
      </c>
      <c r="F700" t="s">
        <v>8</v>
      </c>
      <c r="G700" s="21">
        <v>1</v>
      </c>
      <c r="H700" s="21">
        <v>0</v>
      </c>
      <c r="J700" s="20" t="s">
        <v>2273</v>
      </c>
      <c r="K700" t="s">
        <v>2678</v>
      </c>
    </row>
    <row r="701" spans="2:11" x14ac:dyDescent="0.2">
      <c r="B701" s="21">
        <f t="shared" si="10"/>
        <v>1420</v>
      </c>
      <c r="C701" t="s">
        <v>616</v>
      </c>
      <c r="D701" t="s">
        <v>13</v>
      </c>
      <c r="E701" t="s">
        <v>2751</v>
      </c>
      <c r="F701" t="s">
        <v>34</v>
      </c>
      <c r="G701" s="21">
        <v>1</v>
      </c>
      <c r="H701" s="21">
        <v>0</v>
      </c>
      <c r="J701" s="20" t="s">
        <v>2274</v>
      </c>
      <c r="K701" t="s">
        <v>2273</v>
      </c>
    </row>
    <row r="702" spans="2:11" x14ac:dyDescent="0.2">
      <c r="B702" s="21">
        <f t="shared" si="10"/>
        <v>1419</v>
      </c>
      <c r="C702" t="s">
        <v>235</v>
      </c>
      <c r="D702" t="s">
        <v>13</v>
      </c>
      <c r="E702" t="s">
        <v>2751</v>
      </c>
      <c r="F702" t="s">
        <v>42</v>
      </c>
      <c r="G702" s="21">
        <v>1</v>
      </c>
      <c r="H702" s="21">
        <v>0</v>
      </c>
      <c r="I702" t="s">
        <v>1159</v>
      </c>
      <c r="J702" s="20" t="s">
        <v>2274</v>
      </c>
      <c r="K702" t="s">
        <v>2273</v>
      </c>
    </row>
    <row r="703" spans="2:11" x14ac:dyDescent="0.2">
      <c r="B703" s="21">
        <f t="shared" si="10"/>
        <v>1418</v>
      </c>
      <c r="C703" t="s">
        <v>1153</v>
      </c>
      <c r="D703" t="s">
        <v>13</v>
      </c>
      <c r="E703" t="s">
        <v>2751</v>
      </c>
      <c r="F703" t="s">
        <v>27</v>
      </c>
      <c r="G703" s="21">
        <v>1</v>
      </c>
      <c r="H703" s="21">
        <v>0</v>
      </c>
      <c r="I703" t="s">
        <v>1158</v>
      </c>
      <c r="J703" s="20" t="s">
        <v>2274</v>
      </c>
      <c r="K703" t="s">
        <v>2273</v>
      </c>
    </row>
    <row r="704" spans="2:11" x14ac:dyDescent="0.2">
      <c r="B704" s="21">
        <f t="shared" si="10"/>
        <v>1417</v>
      </c>
      <c r="C704" t="s">
        <v>756</v>
      </c>
      <c r="D704" t="s">
        <v>13</v>
      </c>
      <c r="E704" t="s">
        <v>2751</v>
      </c>
      <c r="F704" t="s">
        <v>34</v>
      </c>
      <c r="G704" s="21">
        <v>1</v>
      </c>
      <c r="H704" s="21">
        <v>0</v>
      </c>
      <c r="I704" t="s">
        <v>1157</v>
      </c>
      <c r="J704" s="20" t="s">
        <v>2274</v>
      </c>
      <c r="K704" t="s">
        <v>2274</v>
      </c>
    </row>
    <row r="705" spans="2:11" x14ac:dyDescent="0.2">
      <c r="B705" s="21">
        <f t="shared" si="10"/>
        <v>1416</v>
      </c>
      <c r="C705" t="s">
        <v>832</v>
      </c>
      <c r="D705" t="s">
        <v>13</v>
      </c>
      <c r="E705" t="s">
        <v>2751</v>
      </c>
      <c r="F705" t="s">
        <v>34</v>
      </c>
      <c r="G705" s="21">
        <v>1</v>
      </c>
      <c r="H705" s="21">
        <v>0</v>
      </c>
      <c r="I705" t="s">
        <v>1161</v>
      </c>
      <c r="J705" s="20" t="s">
        <v>2274</v>
      </c>
      <c r="K705" t="s">
        <v>2273</v>
      </c>
    </row>
    <row r="706" spans="2:11" x14ac:dyDescent="0.2">
      <c r="B706" s="21">
        <f t="shared" si="10"/>
        <v>1415</v>
      </c>
      <c r="C706" t="s">
        <v>616</v>
      </c>
      <c r="D706" t="s">
        <v>13</v>
      </c>
      <c r="E706" t="s">
        <v>2751</v>
      </c>
      <c r="F706" t="s">
        <v>34</v>
      </c>
      <c r="G706" s="21">
        <v>1</v>
      </c>
      <c r="H706" s="21">
        <v>0</v>
      </c>
      <c r="J706" s="20" t="s">
        <v>2275</v>
      </c>
      <c r="K706" t="s">
        <v>2274</v>
      </c>
    </row>
    <row r="707" spans="2:11" x14ac:dyDescent="0.2">
      <c r="B707" s="21">
        <f t="shared" si="10"/>
        <v>1414</v>
      </c>
      <c r="C707" t="s">
        <v>235</v>
      </c>
      <c r="D707" t="s">
        <v>13</v>
      </c>
      <c r="E707" t="s">
        <v>2751</v>
      </c>
      <c r="F707" t="s">
        <v>42</v>
      </c>
      <c r="G707" s="21">
        <v>1</v>
      </c>
      <c r="H707" s="21">
        <v>0</v>
      </c>
      <c r="J707" s="20" t="s">
        <v>2275</v>
      </c>
      <c r="K707" t="s">
        <v>2274</v>
      </c>
    </row>
    <row r="708" spans="2:11" x14ac:dyDescent="0.2">
      <c r="B708" s="21">
        <f t="shared" si="10"/>
        <v>1413</v>
      </c>
      <c r="C708" t="s">
        <v>1153</v>
      </c>
      <c r="D708" t="s">
        <v>13</v>
      </c>
      <c r="E708" t="s">
        <v>2751</v>
      </c>
      <c r="F708" t="s">
        <v>27</v>
      </c>
      <c r="G708" s="21">
        <v>1</v>
      </c>
      <c r="H708" s="21">
        <v>0</v>
      </c>
      <c r="I708" t="s">
        <v>1154</v>
      </c>
      <c r="J708" s="20" t="s">
        <v>2275</v>
      </c>
      <c r="K708" t="s">
        <v>2274</v>
      </c>
    </row>
    <row r="709" spans="2:11" x14ac:dyDescent="0.2">
      <c r="B709" s="21">
        <f t="shared" ref="B709:B772" si="11">B708-1</f>
        <v>1412</v>
      </c>
      <c r="C709" t="s">
        <v>756</v>
      </c>
      <c r="D709" t="s">
        <v>13</v>
      </c>
      <c r="E709" t="s">
        <v>2751</v>
      </c>
      <c r="F709" t="s">
        <v>34</v>
      </c>
      <c r="G709" s="21">
        <v>1</v>
      </c>
      <c r="H709" s="21">
        <v>0</v>
      </c>
      <c r="I709" t="s">
        <v>1156</v>
      </c>
      <c r="J709" s="20" t="s">
        <v>2275</v>
      </c>
      <c r="K709" t="s">
        <v>2274</v>
      </c>
    </row>
    <row r="710" spans="2:11" x14ac:dyDescent="0.2">
      <c r="B710" s="21">
        <f t="shared" si="11"/>
        <v>1411</v>
      </c>
      <c r="C710" t="s">
        <v>832</v>
      </c>
      <c r="D710" t="s">
        <v>13</v>
      </c>
      <c r="E710" t="s">
        <v>2751</v>
      </c>
      <c r="F710" t="s">
        <v>34</v>
      </c>
      <c r="G710" s="21">
        <v>1</v>
      </c>
      <c r="H710" s="21">
        <v>0</v>
      </c>
      <c r="I710" t="s">
        <v>1155</v>
      </c>
      <c r="J710" s="20" t="s">
        <v>2275</v>
      </c>
      <c r="K710" t="s">
        <v>2274</v>
      </c>
    </row>
    <row r="711" spans="2:11" x14ac:dyDescent="0.2">
      <c r="B711" s="21">
        <f t="shared" si="11"/>
        <v>1410</v>
      </c>
      <c r="C711" t="s">
        <v>616</v>
      </c>
      <c r="D711" t="s">
        <v>13</v>
      </c>
      <c r="E711" t="s">
        <v>2751</v>
      </c>
      <c r="F711" t="s">
        <v>34</v>
      </c>
      <c r="G711" s="21">
        <v>1</v>
      </c>
      <c r="H711" s="21">
        <v>0</v>
      </c>
      <c r="J711" s="20" t="s">
        <v>2276</v>
      </c>
      <c r="K711" t="s">
        <v>2275</v>
      </c>
    </row>
    <row r="712" spans="2:11" x14ac:dyDescent="0.2">
      <c r="B712" s="21">
        <f t="shared" si="11"/>
        <v>1409</v>
      </c>
      <c r="C712" t="s">
        <v>235</v>
      </c>
      <c r="D712" t="s">
        <v>13</v>
      </c>
      <c r="E712" t="s">
        <v>2751</v>
      </c>
      <c r="F712" t="s">
        <v>42</v>
      </c>
      <c r="G712" s="21">
        <v>1</v>
      </c>
      <c r="H712" s="21">
        <v>0</v>
      </c>
      <c r="J712" s="20" t="s">
        <v>2276</v>
      </c>
      <c r="K712" t="s">
        <v>2275</v>
      </c>
    </row>
    <row r="713" spans="2:11" x14ac:dyDescent="0.2">
      <c r="B713" s="21">
        <f t="shared" si="11"/>
        <v>1408</v>
      </c>
      <c r="C713" t="s">
        <v>616</v>
      </c>
      <c r="D713" t="s">
        <v>13</v>
      </c>
      <c r="E713" t="s">
        <v>2751</v>
      </c>
      <c r="F713" t="s">
        <v>8</v>
      </c>
      <c r="G713" s="21">
        <v>1</v>
      </c>
      <c r="H713" s="21">
        <v>0</v>
      </c>
      <c r="I713" t="s">
        <v>1152</v>
      </c>
      <c r="J713" s="20" t="s">
        <v>2276</v>
      </c>
      <c r="K713" t="s">
        <v>2276</v>
      </c>
    </row>
    <row r="714" spans="2:11" x14ac:dyDescent="0.2">
      <c r="B714" s="21">
        <f t="shared" si="11"/>
        <v>1407</v>
      </c>
      <c r="C714" t="s">
        <v>1034</v>
      </c>
      <c r="D714" t="s">
        <v>13</v>
      </c>
      <c r="E714" t="s">
        <v>2751</v>
      </c>
      <c r="F714" t="s">
        <v>27</v>
      </c>
      <c r="G714" s="21">
        <v>1</v>
      </c>
      <c r="H714" s="21">
        <v>0</v>
      </c>
      <c r="J714" s="20" t="s">
        <v>2277</v>
      </c>
      <c r="K714" t="s">
        <v>2276</v>
      </c>
    </row>
    <row r="715" spans="2:11" x14ac:dyDescent="0.2">
      <c r="B715" s="21">
        <f t="shared" si="11"/>
        <v>1406</v>
      </c>
      <c r="C715" t="s">
        <v>616</v>
      </c>
      <c r="D715" t="s">
        <v>13</v>
      </c>
      <c r="E715" t="s">
        <v>2751</v>
      </c>
      <c r="F715" t="s">
        <v>34</v>
      </c>
      <c r="G715" s="21">
        <v>1</v>
      </c>
      <c r="H715" s="21">
        <v>0</v>
      </c>
      <c r="J715" s="20" t="s">
        <v>2277</v>
      </c>
      <c r="K715" t="s">
        <v>2276</v>
      </c>
    </row>
    <row r="716" spans="2:11" x14ac:dyDescent="0.2">
      <c r="B716" s="21">
        <f t="shared" si="11"/>
        <v>1405</v>
      </c>
      <c r="C716" t="s">
        <v>235</v>
      </c>
      <c r="D716" t="s">
        <v>13</v>
      </c>
      <c r="E716" t="s">
        <v>2751</v>
      </c>
      <c r="F716" t="s">
        <v>42</v>
      </c>
      <c r="G716" s="21">
        <v>1</v>
      </c>
      <c r="H716" s="21">
        <v>0</v>
      </c>
      <c r="I716" t="s">
        <v>1151</v>
      </c>
      <c r="J716" s="20" t="s">
        <v>2277</v>
      </c>
      <c r="K716" t="s">
        <v>2277</v>
      </c>
    </row>
    <row r="717" spans="2:11" x14ac:dyDescent="0.2">
      <c r="B717" s="21">
        <f t="shared" si="11"/>
        <v>1404</v>
      </c>
      <c r="C717" t="s">
        <v>1034</v>
      </c>
      <c r="D717" t="s">
        <v>13</v>
      </c>
      <c r="E717" t="s">
        <v>2751</v>
      </c>
      <c r="F717" t="s">
        <v>27</v>
      </c>
      <c r="G717" s="21">
        <v>1</v>
      </c>
      <c r="H717" s="21">
        <v>0</v>
      </c>
      <c r="J717" s="20" t="s">
        <v>2278</v>
      </c>
      <c r="K717" t="s">
        <v>2679</v>
      </c>
    </row>
    <row r="718" spans="2:11" x14ac:dyDescent="0.2">
      <c r="B718" s="21">
        <f t="shared" si="11"/>
        <v>1403</v>
      </c>
      <c r="C718" t="s">
        <v>616</v>
      </c>
      <c r="D718" t="s">
        <v>13</v>
      </c>
      <c r="E718" t="s">
        <v>2751</v>
      </c>
      <c r="F718" t="s">
        <v>34</v>
      </c>
      <c r="G718" s="21">
        <v>1</v>
      </c>
      <c r="H718" s="21">
        <v>0</v>
      </c>
      <c r="I718" t="s">
        <v>1149</v>
      </c>
      <c r="J718" s="20" t="s">
        <v>2278</v>
      </c>
      <c r="K718" t="s">
        <v>2679</v>
      </c>
    </row>
    <row r="719" spans="2:11" x14ac:dyDescent="0.2">
      <c r="B719" s="21">
        <f t="shared" si="11"/>
        <v>1402</v>
      </c>
      <c r="C719" t="s">
        <v>235</v>
      </c>
      <c r="D719" t="s">
        <v>13</v>
      </c>
      <c r="E719" t="s">
        <v>2751</v>
      </c>
      <c r="F719" t="s">
        <v>34</v>
      </c>
      <c r="G719" s="21">
        <v>1</v>
      </c>
      <c r="H719" s="21">
        <v>0</v>
      </c>
      <c r="I719" t="s">
        <v>1147</v>
      </c>
      <c r="J719" s="20" t="s">
        <v>2278</v>
      </c>
      <c r="K719" t="s">
        <v>2278</v>
      </c>
    </row>
    <row r="720" spans="2:11" x14ac:dyDescent="0.2">
      <c r="B720" s="21">
        <f t="shared" si="11"/>
        <v>1401</v>
      </c>
      <c r="C720" t="s">
        <v>235</v>
      </c>
      <c r="D720" t="s">
        <v>13</v>
      </c>
      <c r="E720" t="s">
        <v>2751</v>
      </c>
      <c r="F720" t="s">
        <v>115</v>
      </c>
      <c r="G720" s="21">
        <v>1</v>
      </c>
      <c r="H720" s="21">
        <v>0</v>
      </c>
      <c r="I720" t="s">
        <v>1148</v>
      </c>
      <c r="J720" s="20" t="s">
        <v>2278</v>
      </c>
      <c r="K720" t="s">
        <v>2278</v>
      </c>
    </row>
    <row r="721" spans="2:11" x14ac:dyDescent="0.2">
      <c r="B721" s="21">
        <f t="shared" si="11"/>
        <v>1400</v>
      </c>
      <c r="C721" t="s">
        <v>235</v>
      </c>
      <c r="D721" t="s">
        <v>13</v>
      </c>
      <c r="E721" t="s">
        <v>2751</v>
      </c>
      <c r="F721" t="s">
        <v>27</v>
      </c>
      <c r="G721" s="21">
        <v>1</v>
      </c>
      <c r="H721" s="21">
        <v>0</v>
      </c>
      <c r="I721" t="s">
        <v>1150</v>
      </c>
      <c r="J721" s="20" t="s">
        <v>2278</v>
      </c>
      <c r="K721" t="s">
        <v>2278</v>
      </c>
    </row>
    <row r="722" spans="2:11" x14ac:dyDescent="0.2">
      <c r="B722" s="21">
        <f t="shared" si="11"/>
        <v>1399</v>
      </c>
      <c r="C722" t="s">
        <v>1034</v>
      </c>
      <c r="D722" t="s">
        <v>13</v>
      </c>
      <c r="E722" t="s">
        <v>2751</v>
      </c>
      <c r="F722" t="s">
        <v>27</v>
      </c>
      <c r="G722" s="21">
        <v>1</v>
      </c>
      <c r="H722" s="21">
        <v>0</v>
      </c>
      <c r="J722" s="20" t="s">
        <v>2279</v>
      </c>
      <c r="K722" t="s">
        <v>2278</v>
      </c>
    </row>
    <row r="723" spans="2:11" x14ac:dyDescent="0.2">
      <c r="B723" s="21">
        <f t="shared" si="11"/>
        <v>1398</v>
      </c>
      <c r="C723" t="s">
        <v>616</v>
      </c>
      <c r="D723" t="s">
        <v>13</v>
      </c>
      <c r="E723" t="s">
        <v>2751</v>
      </c>
      <c r="F723" t="s">
        <v>34</v>
      </c>
      <c r="G723" s="21">
        <v>1</v>
      </c>
      <c r="H723" s="21">
        <v>0</v>
      </c>
      <c r="J723" s="20" t="s">
        <v>2279</v>
      </c>
      <c r="K723" t="s">
        <v>2278</v>
      </c>
    </row>
    <row r="724" spans="2:11" x14ac:dyDescent="0.2">
      <c r="B724" s="21">
        <f t="shared" si="11"/>
        <v>1397</v>
      </c>
      <c r="C724" t="s">
        <v>1034</v>
      </c>
      <c r="D724" t="s">
        <v>13</v>
      </c>
      <c r="E724" t="s">
        <v>2751</v>
      </c>
      <c r="F724" t="s">
        <v>27</v>
      </c>
      <c r="G724" s="21">
        <v>1</v>
      </c>
      <c r="H724" s="21">
        <v>0</v>
      </c>
      <c r="J724" s="20" t="s">
        <v>2280</v>
      </c>
      <c r="K724" t="s">
        <v>2279</v>
      </c>
    </row>
    <row r="725" spans="2:11" x14ac:dyDescent="0.2">
      <c r="B725" s="21">
        <f t="shared" si="11"/>
        <v>1396</v>
      </c>
      <c r="C725" t="s">
        <v>235</v>
      </c>
      <c r="D725" t="s">
        <v>13</v>
      </c>
      <c r="E725" t="s">
        <v>2751</v>
      </c>
      <c r="F725" t="s">
        <v>115</v>
      </c>
      <c r="G725" s="21">
        <v>1</v>
      </c>
      <c r="H725" s="21">
        <v>0</v>
      </c>
      <c r="I725" t="s">
        <v>1146</v>
      </c>
      <c r="J725" s="20" t="s">
        <v>2280</v>
      </c>
      <c r="K725" t="s">
        <v>2280</v>
      </c>
    </row>
    <row r="726" spans="2:11" x14ac:dyDescent="0.2">
      <c r="B726" s="21">
        <f t="shared" si="11"/>
        <v>1395</v>
      </c>
      <c r="C726" t="s">
        <v>616</v>
      </c>
      <c r="D726" t="s">
        <v>13</v>
      </c>
      <c r="E726" t="s">
        <v>2751</v>
      </c>
      <c r="F726" t="s">
        <v>8</v>
      </c>
      <c r="G726" s="21">
        <v>1</v>
      </c>
      <c r="H726" s="21">
        <v>0</v>
      </c>
      <c r="I726" t="s">
        <v>1145</v>
      </c>
      <c r="J726" s="20" t="s">
        <v>2280</v>
      </c>
      <c r="K726" t="s">
        <v>2279</v>
      </c>
    </row>
    <row r="727" spans="2:11" x14ac:dyDescent="0.2">
      <c r="B727" s="21">
        <f t="shared" si="11"/>
        <v>1394</v>
      </c>
      <c r="C727" t="s">
        <v>975</v>
      </c>
      <c r="D727" t="s">
        <v>13</v>
      </c>
      <c r="E727" t="s">
        <v>2751</v>
      </c>
      <c r="F727" t="s">
        <v>27</v>
      </c>
      <c r="G727" s="21">
        <v>1</v>
      </c>
      <c r="H727" s="21">
        <v>0</v>
      </c>
      <c r="I727" t="s">
        <v>1144</v>
      </c>
      <c r="J727" s="20" t="s">
        <v>2281</v>
      </c>
      <c r="K727" t="s">
        <v>2281</v>
      </c>
    </row>
    <row r="728" spans="2:11" x14ac:dyDescent="0.2">
      <c r="B728" s="21">
        <f t="shared" si="11"/>
        <v>1393</v>
      </c>
      <c r="C728" t="s">
        <v>1078</v>
      </c>
      <c r="D728" t="s">
        <v>13</v>
      </c>
      <c r="E728" t="s">
        <v>2751</v>
      </c>
      <c r="F728" t="s">
        <v>8</v>
      </c>
      <c r="G728" s="21">
        <v>1</v>
      </c>
      <c r="H728" s="21">
        <v>0</v>
      </c>
      <c r="J728" s="20" t="s">
        <v>2281</v>
      </c>
      <c r="K728" t="s">
        <v>2680</v>
      </c>
    </row>
    <row r="729" spans="2:11" x14ac:dyDescent="0.2">
      <c r="B729" s="21">
        <f t="shared" si="11"/>
        <v>1392</v>
      </c>
      <c r="C729" t="s">
        <v>1034</v>
      </c>
      <c r="D729" t="s">
        <v>13</v>
      </c>
      <c r="E729" t="s">
        <v>2751</v>
      </c>
      <c r="F729" t="s">
        <v>27</v>
      </c>
      <c r="G729" s="21">
        <v>1</v>
      </c>
      <c r="H729" s="21">
        <v>0</v>
      </c>
      <c r="I729" t="s">
        <v>1143</v>
      </c>
      <c r="J729" s="20" t="s">
        <v>2281</v>
      </c>
      <c r="K729" t="s">
        <v>2680</v>
      </c>
    </row>
    <row r="730" spans="2:11" x14ac:dyDescent="0.2">
      <c r="B730" s="21">
        <f t="shared" si="11"/>
        <v>1391</v>
      </c>
      <c r="C730" t="s">
        <v>975</v>
      </c>
      <c r="D730" t="s">
        <v>13</v>
      </c>
      <c r="E730" t="s">
        <v>2751</v>
      </c>
      <c r="F730" t="s">
        <v>43</v>
      </c>
      <c r="G730" s="21">
        <v>1</v>
      </c>
      <c r="H730" s="21">
        <v>0</v>
      </c>
      <c r="I730" t="s">
        <v>1142</v>
      </c>
      <c r="J730" s="20" t="s">
        <v>2282</v>
      </c>
      <c r="K730" t="s">
        <v>2281</v>
      </c>
    </row>
    <row r="731" spans="2:11" x14ac:dyDescent="0.2">
      <c r="B731" s="21">
        <f t="shared" si="11"/>
        <v>1390</v>
      </c>
      <c r="C731" t="s">
        <v>1078</v>
      </c>
      <c r="D731" t="s">
        <v>13</v>
      </c>
      <c r="E731" t="s">
        <v>2751</v>
      </c>
      <c r="F731" t="s">
        <v>8</v>
      </c>
      <c r="G731" s="21">
        <v>1</v>
      </c>
      <c r="H731" s="21">
        <v>0</v>
      </c>
      <c r="J731" s="20" t="s">
        <v>2282</v>
      </c>
      <c r="K731" t="s">
        <v>2281</v>
      </c>
    </row>
    <row r="732" spans="2:11" x14ac:dyDescent="0.2">
      <c r="B732" s="21">
        <f t="shared" si="11"/>
        <v>1389</v>
      </c>
      <c r="C732" t="s">
        <v>1034</v>
      </c>
      <c r="D732" t="s">
        <v>13</v>
      </c>
      <c r="E732" t="s">
        <v>2751</v>
      </c>
      <c r="F732" t="s">
        <v>27</v>
      </c>
      <c r="G732" s="21">
        <v>1</v>
      </c>
      <c r="H732" s="21">
        <v>0</v>
      </c>
      <c r="J732" s="20" t="s">
        <v>2282</v>
      </c>
      <c r="K732" t="s">
        <v>2281</v>
      </c>
    </row>
    <row r="733" spans="2:11" x14ac:dyDescent="0.2">
      <c r="B733" s="21">
        <f t="shared" si="11"/>
        <v>1388</v>
      </c>
      <c r="C733" t="s">
        <v>975</v>
      </c>
      <c r="D733" t="s">
        <v>13</v>
      </c>
      <c r="E733" t="s">
        <v>2751</v>
      </c>
      <c r="F733" t="s">
        <v>43</v>
      </c>
      <c r="G733" s="21">
        <v>1</v>
      </c>
      <c r="H733" s="21">
        <v>0</v>
      </c>
      <c r="J733" s="20" t="s">
        <v>2283</v>
      </c>
      <c r="K733" t="s">
        <v>2282</v>
      </c>
    </row>
    <row r="734" spans="2:11" x14ac:dyDescent="0.2">
      <c r="B734" s="21">
        <f t="shared" si="11"/>
        <v>1387</v>
      </c>
      <c r="C734" t="s">
        <v>1078</v>
      </c>
      <c r="D734" t="s">
        <v>13</v>
      </c>
      <c r="E734" t="s">
        <v>2751</v>
      </c>
      <c r="F734" t="s">
        <v>8</v>
      </c>
      <c r="G734" s="21">
        <v>1</v>
      </c>
      <c r="H734" s="21">
        <v>0</v>
      </c>
      <c r="J734" s="20" t="s">
        <v>2283</v>
      </c>
      <c r="K734" t="s">
        <v>2282</v>
      </c>
    </row>
    <row r="735" spans="2:11" x14ac:dyDescent="0.2">
      <c r="B735" s="21">
        <f t="shared" si="11"/>
        <v>1386</v>
      </c>
      <c r="C735" t="s">
        <v>1034</v>
      </c>
      <c r="D735" t="s">
        <v>13</v>
      </c>
      <c r="E735" t="s">
        <v>2751</v>
      </c>
      <c r="F735" t="s">
        <v>27</v>
      </c>
      <c r="G735" s="21">
        <v>1</v>
      </c>
      <c r="H735" s="21">
        <v>0</v>
      </c>
      <c r="J735" s="20" t="s">
        <v>2283</v>
      </c>
      <c r="K735" t="s">
        <v>2282</v>
      </c>
    </row>
    <row r="736" spans="2:11" x14ac:dyDescent="0.2">
      <c r="B736" s="21">
        <f t="shared" si="11"/>
        <v>1385</v>
      </c>
      <c r="C736" t="s">
        <v>975</v>
      </c>
      <c r="D736" t="s">
        <v>13</v>
      </c>
      <c r="E736" t="s">
        <v>2751</v>
      </c>
      <c r="F736" t="s">
        <v>43</v>
      </c>
      <c r="G736" s="21">
        <v>1</v>
      </c>
      <c r="H736" s="21">
        <v>0</v>
      </c>
      <c r="J736" s="20" t="s">
        <v>2284</v>
      </c>
      <c r="K736" t="s">
        <v>2283</v>
      </c>
    </row>
    <row r="737" spans="2:11" x14ac:dyDescent="0.2">
      <c r="B737" s="21">
        <f t="shared" si="11"/>
        <v>1384</v>
      </c>
      <c r="C737" t="s">
        <v>1078</v>
      </c>
      <c r="D737" t="s">
        <v>13</v>
      </c>
      <c r="E737" t="s">
        <v>2751</v>
      </c>
      <c r="F737" t="s">
        <v>8</v>
      </c>
      <c r="G737" s="21">
        <v>1</v>
      </c>
      <c r="H737" s="21">
        <v>0</v>
      </c>
      <c r="J737" s="20" t="s">
        <v>2284</v>
      </c>
      <c r="K737" t="s">
        <v>2283</v>
      </c>
    </row>
    <row r="738" spans="2:11" x14ac:dyDescent="0.2">
      <c r="B738" s="21">
        <f t="shared" si="11"/>
        <v>1383</v>
      </c>
      <c r="C738" t="s">
        <v>1064</v>
      </c>
      <c r="D738" t="s">
        <v>13</v>
      </c>
      <c r="E738" t="s">
        <v>2751</v>
      </c>
      <c r="F738" t="s">
        <v>28</v>
      </c>
      <c r="G738" s="21">
        <v>1</v>
      </c>
      <c r="H738" s="21">
        <v>0</v>
      </c>
      <c r="I738" t="s">
        <v>1141</v>
      </c>
      <c r="J738" s="20" t="s">
        <v>2284</v>
      </c>
      <c r="K738" t="s">
        <v>2284</v>
      </c>
    </row>
    <row r="739" spans="2:11" x14ac:dyDescent="0.2">
      <c r="B739" s="21">
        <f t="shared" si="11"/>
        <v>1382</v>
      </c>
      <c r="C739" t="s">
        <v>1034</v>
      </c>
      <c r="D739" t="s">
        <v>13</v>
      </c>
      <c r="E739" t="s">
        <v>2751</v>
      </c>
      <c r="F739" t="s">
        <v>27</v>
      </c>
      <c r="G739" s="21">
        <v>1</v>
      </c>
      <c r="H739" s="21">
        <v>0</v>
      </c>
      <c r="J739" s="20" t="s">
        <v>2284</v>
      </c>
      <c r="K739" t="s">
        <v>2283</v>
      </c>
    </row>
    <row r="740" spans="2:11" x14ac:dyDescent="0.2">
      <c r="B740" s="21">
        <f t="shared" si="11"/>
        <v>1381</v>
      </c>
      <c r="C740" t="s">
        <v>235</v>
      </c>
      <c r="D740" t="s">
        <v>13</v>
      </c>
      <c r="E740" t="s">
        <v>2751</v>
      </c>
      <c r="F740" t="s">
        <v>8</v>
      </c>
      <c r="G740" s="21">
        <v>1</v>
      </c>
      <c r="H740" s="21">
        <v>0</v>
      </c>
      <c r="I740" t="s">
        <v>1138</v>
      </c>
      <c r="J740" s="20" t="s">
        <v>2285</v>
      </c>
      <c r="K740" t="s">
        <v>2285</v>
      </c>
    </row>
    <row r="741" spans="2:11" x14ac:dyDescent="0.2">
      <c r="B741" s="21">
        <f t="shared" si="11"/>
        <v>1380</v>
      </c>
      <c r="C741" t="s">
        <v>975</v>
      </c>
      <c r="D741" t="s">
        <v>13</v>
      </c>
      <c r="E741" t="s">
        <v>2751</v>
      </c>
      <c r="F741" t="s">
        <v>43</v>
      </c>
      <c r="G741" s="21">
        <v>1</v>
      </c>
      <c r="H741" s="21">
        <v>0</v>
      </c>
      <c r="J741" s="20" t="s">
        <v>2285</v>
      </c>
      <c r="K741" t="s">
        <v>2284</v>
      </c>
    </row>
    <row r="742" spans="2:11" x14ac:dyDescent="0.2">
      <c r="B742" s="21">
        <f t="shared" si="11"/>
        <v>1379</v>
      </c>
      <c r="C742" t="s">
        <v>1078</v>
      </c>
      <c r="D742" t="s">
        <v>13</v>
      </c>
      <c r="E742" t="s">
        <v>2751</v>
      </c>
      <c r="F742" t="s">
        <v>8</v>
      </c>
      <c r="G742" s="21">
        <v>1</v>
      </c>
      <c r="H742" s="21">
        <v>0</v>
      </c>
      <c r="I742" t="s">
        <v>1140</v>
      </c>
      <c r="J742" s="20" t="s">
        <v>2285</v>
      </c>
      <c r="K742" t="s">
        <v>2284</v>
      </c>
    </row>
    <row r="743" spans="2:11" x14ac:dyDescent="0.2">
      <c r="B743" s="21">
        <f t="shared" si="11"/>
        <v>1378</v>
      </c>
      <c r="C743" t="s">
        <v>1064</v>
      </c>
      <c r="D743" t="s">
        <v>13</v>
      </c>
      <c r="E743" t="s">
        <v>2751</v>
      </c>
      <c r="F743" t="s">
        <v>9</v>
      </c>
      <c r="G743" s="21">
        <v>1</v>
      </c>
      <c r="H743" s="21">
        <v>0</v>
      </c>
      <c r="I743" t="s">
        <v>1139</v>
      </c>
      <c r="J743" s="20" t="s">
        <v>2285</v>
      </c>
      <c r="K743" t="s">
        <v>2285</v>
      </c>
    </row>
    <row r="744" spans="2:11" x14ac:dyDescent="0.2">
      <c r="B744" s="21">
        <f t="shared" si="11"/>
        <v>1377</v>
      </c>
      <c r="C744" t="s">
        <v>235</v>
      </c>
      <c r="D744" t="s">
        <v>13</v>
      </c>
      <c r="E744" t="s">
        <v>2751</v>
      </c>
      <c r="F744" t="s">
        <v>34</v>
      </c>
      <c r="G744" s="21">
        <v>1</v>
      </c>
      <c r="H744" s="21">
        <v>0</v>
      </c>
      <c r="I744" t="s">
        <v>1136</v>
      </c>
      <c r="J744" s="20" t="s">
        <v>2286</v>
      </c>
      <c r="K744" t="s">
        <v>2286</v>
      </c>
    </row>
    <row r="745" spans="2:11" x14ac:dyDescent="0.2">
      <c r="B745" s="21">
        <f t="shared" si="11"/>
        <v>1376</v>
      </c>
      <c r="C745" t="s">
        <v>975</v>
      </c>
      <c r="D745" t="s">
        <v>13</v>
      </c>
      <c r="E745" t="s">
        <v>2751</v>
      </c>
      <c r="F745" t="s">
        <v>43</v>
      </c>
      <c r="G745" s="21">
        <v>1</v>
      </c>
      <c r="H745" s="21">
        <v>0</v>
      </c>
      <c r="I745" t="s">
        <v>1137</v>
      </c>
      <c r="J745" s="20" t="s">
        <v>2286</v>
      </c>
      <c r="K745" t="s">
        <v>2681</v>
      </c>
    </row>
    <row r="746" spans="2:11" x14ac:dyDescent="0.2">
      <c r="B746" s="21">
        <f t="shared" si="11"/>
        <v>1375</v>
      </c>
      <c r="C746" t="s">
        <v>65</v>
      </c>
      <c r="D746" t="s">
        <v>13</v>
      </c>
      <c r="E746" t="s">
        <v>2751</v>
      </c>
      <c r="F746" t="s">
        <v>64</v>
      </c>
      <c r="G746" s="21">
        <v>1</v>
      </c>
      <c r="H746" s="21">
        <v>0</v>
      </c>
      <c r="J746" s="20" t="s">
        <v>2286</v>
      </c>
      <c r="K746" t="s">
        <v>2681</v>
      </c>
    </row>
    <row r="747" spans="2:11" x14ac:dyDescent="0.2">
      <c r="B747" s="21">
        <f t="shared" si="11"/>
        <v>1374</v>
      </c>
      <c r="C747" t="s">
        <v>235</v>
      </c>
      <c r="D747" t="s">
        <v>13</v>
      </c>
      <c r="E747" t="s">
        <v>2751</v>
      </c>
      <c r="F747" t="s">
        <v>34</v>
      </c>
      <c r="G747" s="21">
        <v>1</v>
      </c>
      <c r="H747" s="21">
        <v>0</v>
      </c>
      <c r="I747" t="s">
        <v>1134</v>
      </c>
      <c r="J747" s="20" t="s">
        <v>2287</v>
      </c>
      <c r="K747" t="s">
        <v>2286</v>
      </c>
    </row>
    <row r="748" spans="2:11" x14ac:dyDescent="0.2">
      <c r="B748" s="21">
        <f t="shared" si="11"/>
        <v>1373</v>
      </c>
      <c r="C748" t="s">
        <v>1064</v>
      </c>
      <c r="D748" t="s">
        <v>13</v>
      </c>
      <c r="E748" t="s">
        <v>2751</v>
      </c>
      <c r="F748" t="s">
        <v>9</v>
      </c>
      <c r="G748" s="21">
        <v>1</v>
      </c>
      <c r="H748" s="21">
        <v>0</v>
      </c>
      <c r="I748" t="s">
        <v>1132</v>
      </c>
      <c r="J748" s="20" t="s">
        <v>2287</v>
      </c>
      <c r="K748" t="s">
        <v>2287</v>
      </c>
    </row>
    <row r="749" spans="2:11" x14ac:dyDescent="0.2">
      <c r="B749" s="21">
        <f t="shared" si="11"/>
        <v>1372</v>
      </c>
      <c r="C749" t="s">
        <v>975</v>
      </c>
      <c r="D749" t="s">
        <v>13</v>
      </c>
      <c r="E749" t="s">
        <v>2751</v>
      </c>
      <c r="F749" t="s">
        <v>43</v>
      </c>
      <c r="G749" s="21">
        <v>1</v>
      </c>
      <c r="H749" s="21">
        <v>0</v>
      </c>
      <c r="J749" s="20" t="s">
        <v>2287</v>
      </c>
      <c r="K749" t="s">
        <v>2286</v>
      </c>
    </row>
    <row r="750" spans="2:11" x14ac:dyDescent="0.2">
      <c r="B750" s="21">
        <f t="shared" si="11"/>
        <v>1371</v>
      </c>
      <c r="C750" t="s">
        <v>1113</v>
      </c>
      <c r="D750" t="s">
        <v>13</v>
      </c>
      <c r="E750" t="s">
        <v>2751</v>
      </c>
      <c r="F750" t="s">
        <v>27</v>
      </c>
      <c r="G750" s="21">
        <v>1</v>
      </c>
      <c r="H750" s="21">
        <v>0</v>
      </c>
      <c r="I750" t="s">
        <v>1135</v>
      </c>
      <c r="J750" s="20" t="s">
        <v>2287</v>
      </c>
      <c r="K750" t="s">
        <v>2287</v>
      </c>
    </row>
    <row r="751" spans="2:11" x14ac:dyDescent="0.2">
      <c r="B751" s="21">
        <f t="shared" si="11"/>
        <v>1370</v>
      </c>
      <c r="C751" t="s">
        <v>65</v>
      </c>
      <c r="D751" t="s">
        <v>13</v>
      </c>
      <c r="E751" t="s">
        <v>2751</v>
      </c>
      <c r="F751" t="s">
        <v>64</v>
      </c>
      <c r="G751" s="21">
        <v>1</v>
      </c>
      <c r="H751" s="21">
        <v>0</v>
      </c>
      <c r="I751" t="s">
        <v>1133</v>
      </c>
      <c r="J751" s="20" t="s">
        <v>2287</v>
      </c>
      <c r="K751" t="s">
        <v>2287</v>
      </c>
    </row>
    <row r="752" spans="2:11" x14ac:dyDescent="0.2">
      <c r="B752" s="21">
        <f t="shared" si="11"/>
        <v>1369</v>
      </c>
      <c r="C752" t="s">
        <v>235</v>
      </c>
      <c r="D752" t="s">
        <v>13</v>
      </c>
      <c r="E752" t="s">
        <v>2751</v>
      </c>
      <c r="F752" t="s">
        <v>34</v>
      </c>
      <c r="G752" s="21">
        <v>1</v>
      </c>
      <c r="H752" s="21">
        <v>0</v>
      </c>
      <c r="I752" t="s">
        <v>1130</v>
      </c>
      <c r="J752" s="20" t="s">
        <v>2288</v>
      </c>
      <c r="K752" t="s">
        <v>2287</v>
      </c>
    </row>
    <row r="753" spans="2:11" x14ac:dyDescent="0.2">
      <c r="B753" s="21">
        <f t="shared" si="11"/>
        <v>1368</v>
      </c>
      <c r="C753" t="s">
        <v>1064</v>
      </c>
      <c r="D753" t="s">
        <v>13</v>
      </c>
      <c r="E753" t="s">
        <v>2751</v>
      </c>
      <c r="F753" t="s">
        <v>9</v>
      </c>
      <c r="G753" s="21">
        <v>1</v>
      </c>
      <c r="H753" s="21">
        <v>0</v>
      </c>
      <c r="I753" t="s">
        <v>1126</v>
      </c>
      <c r="J753" s="20" t="s">
        <v>2288</v>
      </c>
      <c r="K753" t="s">
        <v>2287</v>
      </c>
    </row>
    <row r="754" spans="2:11" x14ac:dyDescent="0.2">
      <c r="B754" s="21">
        <f t="shared" si="11"/>
        <v>1367</v>
      </c>
      <c r="C754" t="s">
        <v>975</v>
      </c>
      <c r="D754" t="s">
        <v>13</v>
      </c>
      <c r="E754" t="s">
        <v>2751</v>
      </c>
      <c r="F754" t="s">
        <v>43</v>
      </c>
      <c r="G754" s="21">
        <v>1</v>
      </c>
      <c r="H754" s="21">
        <v>0</v>
      </c>
      <c r="I754" t="s">
        <v>1128</v>
      </c>
      <c r="J754" s="20" t="s">
        <v>2288</v>
      </c>
      <c r="K754" t="s">
        <v>2287</v>
      </c>
    </row>
    <row r="755" spans="2:11" x14ac:dyDescent="0.2">
      <c r="B755" s="21">
        <f t="shared" si="11"/>
        <v>1366</v>
      </c>
      <c r="C755" t="s">
        <v>1113</v>
      </c>
      <c r="D755" t="s">
        <v>13</v>
      </c>
      <c r="E755" t="s">
        <v>2751</v>
      </c>
      <c r="F755" t="s">
        <v>27</v>
      </c>
      <c r="G755" s="21">
        <v>1</v>
      </c>
      <c r="H755" s="21">
        <v>0</v>
      </c>
      <c r="I755" t="s">
        <v>1127</v>
      </c>
      <c r="J755" s="20" t="s">
        <v>2288</v>
      </c>
      <c r="K755" t="s">
        <v>2287</v>
      </c>
    </row>
    <row r="756" spans="2:11" x14ac:dyDescent="0.2">
      <c r="B756" s="21">
        <f t="shared" si="11"/>
        <v>1365</v>
      </c>
      <c r="C756" t="s">
        <v>65</v>
      </c>
      <c r="D756" t="s">
        <v>13</v>
      </c>
      <c r="E756" t="s">
        <v>2751</v>
      </c>
      <c r="F756" t="s">
        <v>64</v>
      </c>
      <c r="G756" s="21">
        <v>1</v>
      </c>
      <c r="H756" s="21">
        <v>0</v>
      </c>
      <c r="I756" t="s">
        <v>1131</v>
      </c>
      <c r="J756" s="20" t="s">
        <v>2288</v>
      </c>
      <c r="K756" t="s">
        <v>2287</v>
      </c>
    </row>
    <row r="757" spans="2:11" x14ac:dyDescent="0.2">
      <c r="B757" s="21">
        <f t="shared" si="11"/>
        <v>1364</v>
      </c>
      <c r="C757" t="s">
        <v>235</v>
      </c>
      <c r="D757" t="s">
        <v>13</v>
      </c>
      <c r="E757" t="s">
        <v>2751</v>
      </c>
      <c r="F757" t="s">
        <v>34</v>
      </c>
      <c r="G757" s="21">
        <v>1</v>
      </c>
      <c r="H757" s="21">
        <v>0</v>
      </c>
      <c r="J757" s="20" t="s">
        <v>2289</v>
      </c>
      <c r="K757" t="s">
        <v>2288</v>
      </c>
    </row>
    <row r="758" spans="2:11" x14ac:dyDescent="0.2">
      <c r="B758" s="21">
        <f t="shared" si="11"/>
        <v>1363</v>
      </c>
      <c r="C758" t="s">
        <v>65</v>
      </c>
      <c r="D758" t="s">
        <v>13</v>
      </c>
      <c r="E758" t="s">
        <v>2751</v>
      </c>
      <c r="F758" t="s">
        <v>64</v>
      </c>
      <c r="G758" s="21">
        <v>1</v>
      </c>
      <c r="H758" s="21">
        <v>0</v>
      </c>
      <c r="I758" t="s">
        <v>1123</v>
      </c>
      <c r="J758" s="20" t="s">
        <v>2289</v>
      </c>
      <c r="K758" t="s">
        <v>2289</v>
      </c>
    </row>
    <row r="759" spans="2:11" x14ac:dyDescent="0.2">
      <c r="B759" s="21">
        <f t="shared" si="11"/>
        <v>1362</v>
      </c>
      <c r="C759" t="s">
        <v>1064</v>
      </c>
      <c r="D759" t="s">
        <v>13</v>
      </c>
      <c r="E759" t="s">
        <v>2751</v>
      </c>
      <c r="F759" t="s">
        <v>43</v>
      </c>
      <c r="G759" s="21">
        <v>1</v>
      </c>
      <c r="H759" s="21">
        <v>0</v>
      </c>
      <c r="J759" s="20" t="s">
        <v>2289</v>
      </c>
      <c r="K759" t="s">
        <v>2289</v>
      </c>
    </row>
    <row r="760" spans="2:11" x14ac:dyDescent="0.2">
      <c r="B760" s="21">
        <f t="shared" si="11"/>
        <v>1361</v>
      </c>
      <c r="C760" t="s">
        <v>1125</v>
      </c>
      <c r="D760" t="s">
        <v>13</v>
      </c>
      <c r="E760" t="s">
        <v>2751</v>
      </c>
      <c r="F760" t="s">
        <v>27</v>
      </c>
      <c r="G760" s="21">
        <v>1</v>
      </c>
      <c r="H760" s="21">
        <v>0</v>
      </c>
      <c r="I760" t="s">
        <v>1129</v>
      </c>
      <c r="J760" s="20" t="s">
        <v>2289</v>
      </c>
      <c r="K760" t="s">
        <v>2289</v>
      </c>
    </row>
    <row r="761" spans="2:11" x14ac:dyDescent="0.2">
      <c r="B761" s="21">
        <f t="shared" si="11"/>
        <v>1360</v>
      </c>
      <c r="C761" t="s">
        <v>975</v>
      </c>
      <c r="D761" t="s">
        <v>13</v>
      </c>
      <c r="E761" t="s">
        <v>2751</v>
      </c>
      <c r="F761" t="s">
        <v>43</v>
      </c>
      <c r="G761" s="21">
        <v>1</v>
      </c>
      <c r="H761" s="21">
        <v>0</v>
      </c>
      <c r="J761" s="20" t="s">
        <v>2289</v>
      </c>
      <c r="K761" t="s">
        <v>2288</v>
      </c>
    </row>
    <row r="762" spans="2:11" x14ac:dyDescent="0.2">
      <c r="B762" s="21">
        <f t="shared" si="11"/>
        <v>1359</v>
      </c>
      <c r="C762" t="s">
        <v>235</v>
      </c>
      <c r="D762" t="s">
        <v>13</v>
      </c>
      <c r="E762" t="s">
        <v>2751</v>
      </c>
      <c r="F762" t="s">
        <v>43</v>
      </c>
      <c r="G762" s="21">
        <v>1</v>
      </c>
      <c r="H762" s="21">
        <v>0</v>
      </c>
      <c r="I762" t="s">
        <v>1124</v>
      </c>
      <c r="J762" s="20" t="s">
        <v>2290</v>
      </c>
      <c r="K762" t="s">
        <v>2290</v>
      </c>
    </row>
    <row r="763" spans="2:11" x14ac:dyDescent="0.2">
      <c r="B763" s="21">
        <f t="shared" si="11"/>
        <v>1358</v>
      </c>
      <c r="C763" t="s">
        <v>235</v>
      </c>
      <c r="D763" t="s">
        <v>13</v>
      </c>
      <c r="E763" t="s">
        <v>2751</v>
      </c>
      <c r="F763" t="s">
        <v>31</v>
      </c>
      <c r="G763" s="21">
        <v>1</v>
      </c>
      <c r="H763" s="21">
        <v>0</v>
      </c>
      <c r="I763" t="s">
        <v>1120</v>
      </c>
      <c r="J763" s="20" t="s">
        <v>2290</v>
      </c>
      <c r="K763" t="s">
        <v>2290</v>
      </c>
    </row>
    <row r="764" spans="2:11" x14ac:dyDescent="0.2">
      <c r="B764" s="21">
        <f t="shared" si="11"/>
        <v>1357</v>
      </c>
      <c r="C764" t="s">
        <v>65</v>
      </c>
      <c r="D764" t="s">
        <v>13</v>
      </c>
      <c r="E764" t="s">
        <v>2751</v>
      </c>
      <c r="F764" t="s">
        <v>64</v>
      </c>
      <c r="G764" s="21">
        <v>1</v>
      </c>
      <c r="H764" s="21">
        <v>0</v>
      </c>
      <c r="J764" s="20" t="s">
        <v>2290</v>
      </c>
      <c r="K764" t="s">
        <v>2289</v>
      </c>
    </row>
    <row r="765" spans="2:11" x14ac:dyDescent="0.2">
      <c r="B765" s="21">
        <f t="shared" si="11"/>
        <v>1356</v>
      </c>
      <c r="C765" t="s">
        <v>1064</v>
      </c>
      <c r="D765" t="s">
        <v>13</v>
      </c>
      <c r="E765" t="s">
        <v>2751</v>
      </c>
      <c r="F765" t="s">
        <v>43</v>
      </c>
      <c r="G765" s="21">
        <v>1</v>
      </c>
      <c r="H765" s="21">
        <v>0</v>
      </c>
      <c r="I765" t="s">
        <v>1122</v>
      </c>
      <c r="J765" s="20" t="s">
        <v>2290</v>
      </c>
      <c r="K765" t="s">
        <v>2290</v>
      </c>
    </row>
    <row r="766" spans="2:11" x14ac:dyDescent="0.2">
      <c r="B766" s="21">
        <f t="shared" si="11"/>
        <v>1355</v>
      </c>
      <c r="C766" t="s">
        <v>235</v>
      </c>
      <c r="D766" t="s">
        <v>13</v>
      </c>
      <c r="E766" t="s">
        <v>2751</v>
      </c>
      <c r="F766" t="s">
        <v>43</v>
      </c>
      <c r="G766" s="21">
        <v>1</v>
      </c>
      <c r="H766" s="21">
        <v>0</v>
      </c>
      <c r="J766" s="20" t="s">
        <v>2291</v>
      </c>
      <c r="K766" t="s">
        <v>2682</v>
      </c>
    </row>
    <row r="767" spans="2:11" x14ac:dyDescent="0.2">
      <c r="B767" s="21">
        <f t="shared" si="11"/>
        <v>1354</v>
      </c>
      <c r="C767" t="s">
        <v>65</v>
      </c>
      <c r="D767" t="s">
        <v>13</v>
      </c>
      <c r="E767" t="s">
        <v>2751</v>
      </c>
      <c r="F767" t="s">
        <v>64</v>
      </c>
      <c r="G767" s="21">
        <v>1</v>
      </c>
      <c r="H767" s="21">
        <v>0</v>
      </c>
      <c r="I767" t="s">
        <v>1121</v>
      </c>
      <c r="J767" s="20" t="s">
        <v>2291</v>
      </c>
      <c r="K767" t="s">
        <v>2291</v>
      </c>
    </row>
    <row r="768" spans="2:11" x14ac:dyDescent="0.2">
      <c r="B768" s="21">
        <f t="shared" si="11"/>
        <v>1353</v>
      </c>
      <c r="C768" t="s">
        <v>1064</v>
      </c>
      <c r="D768" t="s">
        <v>13</v>
      </c>
      <c r="E768" t="s">
        <v>2751</v>
      </c>
      <c r="F768" t="s">
        <v>64</v>
      </c>
      <c r="G768" s="21">
        <v>1</v>
      </c>
      <c r="H768" s="21">
        <v>0</v>
      </c>
      <c r="I768" t="s">
        <v>1117</v>
      </c>
      <c r="J768" s="20" t="s">
        <v>2291</v>
      </c>
      <c r="K768" t="s">
        <v>2291</v>
      </c>
    </row>
    <row r="769" spans="2:11" x14ac:dyDescent="0.2">
      <c r="B769" s="21">
        <f t="shared" si="11"/>
        <v>1352</v>
      </c>
      <c r="C769" t="s">
        <v>756</v>
      </c>
      <c r="D769" t="s">
        <v>13</v>
      </c>
      <c r="E769" t="s">
        <v>2751</v>
      </c>
      <c r="F769" t="s">
        <v>28</v>
      </c>
      <c r="G769" s="21">
        <v>1</v>
      </c>
      <c r="H769" s="21">
        <v>0</v>
      </c>
      <c r="I769" t="s">
        <v>1119</v>
      </c>
      <c r="J769" s="20" t="s">
        <v>2291</v>
      </c>
      <c r="K769" t="s">
        <v>2291</v>
      </c>
    </row>
    <row r="770" spans="2:11" x14ac:dyDescent="0.2">
      <c r="B770" s="21">
        <f t="shared" si="11"/>
        <v>1351</v>
      </c>
      <c r="C770" t="s">
        <v>235</v>
      </c>
      <c r="D770" t="s">
        <v>13</v>
      </c>
      <c r="E770" t="s">
        <v>2751</v>
      </c>
      <c r="F770" t="s">
        <v>43</v>
      </c>
      <c r="G770" s="21">
        <v>1</v>
      </c>
      <c r="H770" s="21">
        <v>0</v>
      </c>
      <c r="J770" s="20" t="s">
        <v>2292</v>
      </c>
      <c r="K770" t="s">
        <v>2291</v>
      </c>
    </row>
    <row r="771" spans="2:11" x14ac:dyDescent="0.2">
      <c r="B771" s="21">
        <f t="shared" si="11"/>
        <v>1350</v>
      </c>
      <c r="C771" t="s">
        <v>65</v>
      </c>
      <c r="D771" t="s">
        <v>13</v>
      </c>
      <c r="E771" t="s">
        <v>2751</v>
      </c>
      <c r="F771" t="s">
        <v>64</v>
      </c>
      <c r="G771" s="21">
        <v>1</v>
      </c>
      <c r="H771" s="21">
        <v>0</v>
      </c>
      <c r="J771" s="20" t="s">
        <v>2292</v>
      </c>
      <c r="K771" t="s">
        <v>2291</v>
      </c>
    </row>
    <row r="772" spans="2:11" x14ac:dyDescent="0.2">
      <c r="B772" s="21">
        <f t="shared" si="11"/>
        <v>1349</v>
      </c>
      <c r="C772" t="s">
        <v>1113</v>
      </c>
      <c r="D772" t="s">
        <v>13</v>
      </c>
      <c r="E772" t="s">
        <v>2751</v>
      </c>
      <c r="F772" t="s">
        <v>27</v>
      </c>
      <c r="G772" s="21">
        <v>1</v>
      </c>
      <c r="H772" s="21">
        <v>0</v>
      </c>
      <c r="I772" t="s">
        <v>1118</v>
      </c>
      <c r="J772" s="20" t="s">
        <v>2292</v>
      </c>
      <c r="K772" t="s">
        <v>2292</v>
      </c>
    </row>
    <row r="773" spans="2:11" x14ac:dyDescent="0.2">
      <c r="B773" s="21">
        <f t="shared" ref="B773:B836" si="12">B772-1</f>
        <v>1348</v>
      </c>
      <c r="C773" t="s">
        <v>1064</v>
      </c>
      <c r="D773" t="s">
        <v>13</v>
      </c>
      <c r="E773" t="s">
        <v>2751</v>
      </c>
      <c r="F773" t="s">
        <v>4</v>
      </c>
      <c r="G773" s="21">
        <v>1</v>
      </c>
      <c r="H773" s="21">
        <v>0</v>
      </c>
      <c r="I773" t="s">
        <v>1116</v>
      </c>
      <c r="J773" s="20" t="s">
        <v>2292</v>
      </c>
      <c r="K773" t="s">
        <v>2292</v>
      </c>
    </row>
    <row r="774" spans="2:11" x14ac:dyDescent="0.2">
      <c r="B774" s="21">
        <f t="shared" si="12"/>
        <v>1347</v>
      </c>
      <c r="C774" t="s">
        <v>235</v>
      </c>
      <c r="D774" t="s">
        <v>13</v>
      </c>
      <c r="E774" t="s">
        <v>2751</v>
      </c>
      <c r="F774" t="s">
        <v>43</v>
      </c>
      <c r="G774" s="21">
        <v>1</v>
      </c>
      <c r="H774" s="21">
        <v>0</v>
      </c>
      <c r="J774" s="20" t="s">
        <v>2293</v>
      </c>
      <c r="K774" t="s">
        <v>2292</v>
      </c>
    </row>
    <row r="775" spans="2:11" x14ac:dyDescent="0.2">
      <c r="B775" s="21">
        <f t="shared" si="12"/>
        <v>1346</v>
      </c>
      <c r="C775" t="s">
        <v>65</v>
      </c>
      <c r="D775" t="s">
        <v>13</v>
      </c>
      <c r="E775" t="s">
        <v>2751</v>
      </c>
      <c r="F775" t="s">
        <v>64</v>
      </c>
      <c r="G775" s="21">
        <v>1</v>
      </c>
      <c r="H775" s="21">
        <v>0</v>
      </c>
      <c r="J775" s="20" t="s">
        <v>2293</v>
      </c>
      <c r="K775" t="s">
        <v>2292</v>
      </c>
    </row>
    <row r="776" spans="2:11" x14ac:dyDescent="0.2">
      <c r="B776" s="21">
        <f t="shared" si="12"/>
        <v>1345</v>
      </c>
      <c r="C776" t="s">
        <v>1113</v>
      </c>
      <c r="D776" t="s">
        <v>13</v>
      </c>
      <c r="E776" t="s">
        <v>2751</v>
      </c>
      <c r="F776" t="s">
        <v>28</v>
      </c>
      <c r="G776" s="21">
        <v>1</v>
      </c>
      <c r="H776" s="21">
        <v>0</v>
      </c>
      <c r="I776" t="s">
        <v>1114</v>
      </c>
      <c r="J776" s="20" t="s">
        <v>2293</v>
      </c>
      <c r="K776" t="s">
        <v>2293</v>
      </c>
    </row>
    <row r="777" spans="2:11" x14ac:dyDescent="0.2">
      <c r="B777" s="21">
        <f t="shared" si="12"/>
        <v>1344</v>
      </c>
      <c r="C777" t="s">
        <v>1113</v>
      </c>
      <c r="D777" t="s">
        <v>13</v>
      </c>
      <c r="E777" t="s">
        <v>2751</v>
      </c>
      <c r="F777" t="s">
        <v>27</v>
      </c>
      <c r="G777" s="21">
        <v>1</v>
      </c>
      <c r="H777" s="21">
        <v>0</v>
      </c>
      <c r="J777" s="20" t="s">
        <v>2293</v>
      </c>
      <c r="K777" t="s">
        <v>2292</v>
      </c>
    </row>
    <row r="778" spans="2:11" x14ac:dyDescent="0.2">
      <c r="B778" s="21">
        <f t="shared" si="12"/>
        <v>1343</v>
      </c>
      <c r="C778" t="s">
        <v>1064</v>
      </c>
      <c r="D778" t="s">
        <v>13</v>
      </c>
      <c r="E778" t="s">
        <v>2751</v>
      </c>
      <c r="F778" t="s">
        <v>34</v>
      </c>
      <c r="G778" s="21">
        <v>1</v>
      </c>
      <c r="H778" s="21">
        <v>0</v>
      </c>
      <c r="I778" t="s">
        <v>1115</v>
      </c>
      <c r="J778" s="20" t="s">
        <v>2293</v>
      </c>
      <c r="K778" t="s">
        <v>2293</v>
      </c>
    </row>
    <row r="779" spans="2:11" x14ac:dyDescent="0.2">
      <c r="B779" s="21">
        <f t="shared" si="12"/>
        <v>1342</v>
      </c>
      <c r="C779" t="s">
        <v>756</v>
      </c>
      <c r="D779" t="s">
        <v>13</v>
      </c>
      <c r="E779" t="s">
        <v>2751</v>
      </c>
      <c r="F779" t="s">
        <v>34</v>
      </c>
      <c r="G779" s="21">
        <v>1</v>
      </c>
      <c r="H779" s="21">
        <v>0</v>
      </c>
      <c r="J779" s="20" t="s">
        <v>2294</v>
      </c>
      <c r="K779" t="s">
        <v>2293</v>
      </c>
    </row>
    <row r="780" spans="2:11" x14ac:dyDescent="0.2">
      <c r="B780" s="21">
        <f t="shared" si="12"/>
        <v>1341</v>
      </c>
      <c r="C780" t="s">
        <v>235</v>
      </c>
      <c r="D780" t="s">
        <v>13</v>
      </c>
      <c r="E780" t="s">
        <v>2751</v>
      </c>
      <c r="F780" t="s">
        <v>43</v>
      </c>
      <c r="G780" s="21">
        <v>1</v>
      </c>
      <c r="H780" s="21">
        <v>0</v>
      </c>
      <c r="I780" t="s">
        <v>1112</v>
      </c>
      <c r="J780" s="20" t="s">
        <v>2294</v>
      </c>
      <c r="K780" t="s">
        <v>2293</v>
      </c>
    </row>
    <row r="781" spans="2:11" x14ac:dyDescent="0.2">
      <c r="B781" s="21">
        <f t="shared" si="12"/>
        <v>1340</v>
      </c>
      <c r="C781" t="s">
        <v>65</v>
      </c>
      <c r="D781" t="s">
        <v>13</v>
      </c>
      <c r="E781" t="s">
        <v>2751</v>
      </c>
      <c r="F781" t="s">
        <v>64</v>
      </c>
      <c r="G781" s="21">
        <v>1</v>
      </c>
      <c r="H781" s="21">
        <v>0</v>
      </c>
      <c r="I781" t="s">
        <v>1111</v>
      </c>
      <c r="J781" s="20" t="s">
        <v>2294</v>
      </c>
      <c r="K781" t="s">
        <v>2293</v>
      </c>
    </row>
    <row r="782" spans="2:11" x14ac:dyDescent="0.2">
      <c r="B782" s="21">
        <f t="shared" si="12"/>
        <v>1339</v>
      </c>
      <c r="C782" t="s">
        <v>1064</v>
      </c>
      <c r="D782" t="s">
        <v>13</v>
      </c>
      <c r="E782" t="s">
        <v>2751</v>
      </c>
      <c r="F782" t="s">
        <v>34</v>
      </c>
      <c r="G782" s="21">
        <v>1</v>
      </c>
      <c r="H782" s="21">
        <v>0</v>
      </c>
      <c r="I782" t="s">
        <v>1110</v>
      </c>
      <c r="J782" s="20" t="s">
        <v>2294</v>
      </c>
      <c r="K782" t="s">
        <v>2293</v>
      </c>
    </row>
    <row r="783" spans="2:11" x14ac:dyDescent="0.2">
      <c r="B783" s="21">
        <f t="shared" si="12"/>
        <v>1338</v>
      </c>
      <c r="C783" t="s">
        <v>756</v>
      </c>
      <c r="D783" t="s">
        <v>13</v>
      </c>
      <c r="E783" t="s">
        <v>2751</v>
      </c>
      <c r="F783" t="s">
        <v>34</v>
      </c>
      <c r="G783" s="21">
        <v>1</v>
      </c>
      <c r="H783" s="21">
        <v>0</v>
      </c>
      <c r="J783" s="20" t="s">
        <v>2295</v>
      </c>
      <c r="K783" t="s">
        <v>2294</v>
      </c>
    </row>
    <row r="784" spans="2:11" x14ac:dyDescent="0.2">
      <c r="B784" s="21">
        <f t="shared" si="12"/>
        <v>1337</v>
      </c>
      <c r="C784" t="s">
        <v>235</v>
      </c>
      <c r="D784" t="s">
        <v>13</v>
      </c>
      <c r="E784" t="s">
        <v>2751</v>
      </c>
      <c r="F784" t="s">
        <v>43</v>
      </c>
      <c r="G784" s="21">
        <v>1</v>
      </c>
      <c r="H784" s="21">
        <v>0</v>
      </c>
      <c r="I784" t="s">
        <v>1109</v>
      </c>
      <c r="J784" s="20" t="s">
        <v>2295</v>
      </c>
      <c r="K784" t="s">
        <v>2294</v>
      </c>
    </row>
    <row r="785" spans="2:11" x14ac:dyDescent="0.2">
      <c r="B785" s="21">
        <f t="shared" si="12"/>
        <v>1336</v>
      </c>
      <c r="C785" t="s">
        <v>1064</v>
      </c>
      <c r="D785" t="s">
        <v>13</v>
      </c>
      <c r="E785" t="s">
        <v>2751</v>
      </c>
      <c r="F785" t="s">
        <v>27</v>
      </c>
      <c r="G785" s="21">
        <v>1</v>
      </c>
      <c r="H785" s="21">
        <v>0</v>
      </c>
      <c r="I785" t="s">
        <v>1108</v>
      </c>
      <c r="J785" s="20" t="s">
        <v>2295</v>
      </c>
      <c r="K785" t="s">
        <v>2295</v>
      </c>
    </row>
    <row r="786" spans="2:11" x14ac:dyDescent="0.2">
      <c r="B786" s="21">
        <f t="shared" si="12"/>
        <v>1335</v>
      </c>
      <c r="C786" t="s">
        <v>65</v>
      </c>
      <c r="D786" t="s">
        <v>13</v>
      </c>
      <c r="E786" t="s">
        <v>2751</v>
      </c>
      <c r="F786" t="s">
        <v>64</v>
      </c>
      <c r="G786" s="21">
        <v>1</v>
      </c>
      <c r="H786" s="21">
        <v>0</v>
      </c>
      <c r="J786" s="20" t="s">
        <v>2295</v>
      </c>
      <c r="K786" t="s">
        <v>2294</v>
      </c>
    </row>
    <row r="787" spans="2:11" x14ac:dyDescent="0.2">
      <c r="B787" s="21">
        <f t="shared" si="12"/>
        <v>1334</v>
      </c>
      <c r="C787" t="s">
        <v>756</v>
      </c>
      <c r="D787" t="s">
        <v>13</v>
      </c>
      <c r="E787" t="s">
        <v>2751</v>
      </c>
      <c r="F787" t="s">
        <v>34</v>
      </c>
      <c r="G787" s="21">
        <v>1</v>
      </c>
      <c r="H787" s="21">
        <v>0</v>
      </c>
      <c r="J787" s="20" t="s">
        <v>2296</v>
      </c>
      <c r="K787" t="s">
        <v>2683</v>
      </c>
    </row>
    <row r="788" spans="2:11" x14ac:dyDescent="0.2">
      <c r="B788" s="21">
        <f t="shared" si="12"/>
        <v>1333</v>
      </c>
      <c r="C788" t="s">
        <v>235</v>
      </c>
      <c r="D788" t="s">
        <v>13</v>
      </c>
      <c r="E788" t="s">
        <v>2751</v>
      </c>
      <c r="F788" t="s">
        <v>28</v>
      </c>
      <c r="G788" s="21">
        <v>1</v>
      </c>
      <c r="H788" s="21">
        <v>0</v>
      </c>
      <c r="I788" t="s">
        <v>1107</v>
      </c>
      <c r="J788" s="20" t="s">
        <v>2296</v>
      </c>
      <c r="K788" t="s">
        <v>2296</v>
      </c>
    </row>
    <row r="789" spans="2:11" x14ac:dyDescent="0.2">
      <c r="B789" s="21">
        <f t="shared" si="12"/>
        <v>1332</v>
      </c>
      <c r="C789" t="s">
        <v>756</v>
      </c>
      <c r="D789" t="s">
        <v>13</v>
      </c>
      <c r="E789" t="s">
        <v>2751</v>
      </c>
      <c r="F789" t="s">
        <v>8</v>
      </c>
      <c r="G789" s="21">
        <v>1</v>
      </c>
      <c r="H789" s="21">
        <v>0</v>
      </c>
      <c r="I789" t="s">
        <v>1104</v>
      </c>
      <c r="J789" s="20" t="s">
        <v>2296</v>
      </c>
      <c r="K789" t="s">
        <v>2296</v>
      </c>
    </row>
    <row r="790" spans="2:11" x14ac:dyDescent="0.2">
      <c r="B790" s="21">
        <f t="shared" si="12"/>
        <v>1331</v>
      </c>
      <c r="C790" t="s">
        <v>1101</v>
      </c>
      <c r="D790" t="s">
        <v>13</v>
      </c>
      <c r="E790" t="s">
        <v>2751</v>
      </c>
      <c r="F790" t="s">
        <v>27</v>
      </c>
      <c r="G790" s="21">
        <v>1</v>
      </c>
      <c r="H790" s="21">
        <v>0</v>
      </c>
      <c r="I790" t="s">
        <v>1105</v>
      </c>
      <c r="J790" s="20" t="s">
        <v>2296</v>
      </c>
      <c r="K790" t="s">
        <v>2296</v>
      </c>
    </row>
    <row r="791" spans="2:11" x14ac:dyDescent="0.2">
      <c r="B791" s="21">
        <f t="shared" si="12"/>
        <v>1330</v>
      </c>
      <c r="C791" t="s">
        <v>235</v>
      </c>
      <c r="D791" t="s">
        <v>13</v>
      </c>
      <c r="E791" t="s">
        <v>2751</v>
      </c>
      <c r="F791" t="s">
        <v>43</v>
      </c>
      <c r="G791" s="21">
        <v>1</v>
      </c>
      <c r="H791" s="21">
        <v>0</v>
      </c>
      <c r="I791" t="s">
        <v>1106</v>
      </c>
      <c r="J791" s="20" t="s">
        <v>2296</v>
      </c>
      <c r="K791" t="s">
        <v>2296</v>
      </c>
    </row>
    <row r="792" spans="2:11" x14ac:dyDescent="0.2">
      <c r="B792" s="21">
        <f t="shared" si="12"/>
        <v>1329</v>
      </c>
      <c r="C792" t="s">
        <v>756</v>
      </c>
      <c r="D792" t="s">
        <v>13</v>
      </c>
      <c r="E792" t="s">
        <v>2751</v>
      </c>
      <c r="F792" t="s">
        <v>34</v>
      </c>
      <c r="G792" s="21">
        <v>1</v>
      </c>
      <c r="H792" s="21">
        <v>0</v>
      </c>
      <c r="J792" s="20" t="s">
        <v>2297</v>
      </c>
      <c r="K792" t="s">
        <v>2296</v>
      </c>
    </row>
    <row r="793" spans="2:11" x14ac:dyDescent="0.2">
      <c r="B793" s="21">
        <f t="shared" si="12"/>
        <v>1328</v>
      </c>
      <c r="C793" t="s">
        <v>235</v>
      </c>
      <c r="D793" t="s">
        <v>13</v>
      </c>
      <c r="E793" t="s">
        <v>2751</v>
      </c>
      <c r="F793" t="s">
        <v>28</v>
      </c>
      <c r="G793" s="21">
        <v>1</v>
      </c>
      <c r="H793" s="21">
        <v>0</v>
      </c>
      <c r="I793" t="s">
        <v>1102</v>
      </c>
      <c r="J793" s="20" t="s">
        <v>2297</v>
      </c>
      <c r="K793" t="s">
        <v>2296</v>
      </c>
    </row>
    <row r="794" spans="2:11" x14ac:dyDescent="0.2">
      <c r="B794" s="21">
        <f t="shared" si="12"/>
        <v>1327</v>
      </c>
      <c r="C794" t="s">
        <v>756</v>
      </c>
      <c r="D794" t="s">
        <v>13</v>
      </c>
      <c r="E794" t="s">
        <v>2751</v>
      </c>
      <c r="F794" t="s">
        <v>34</v>
      </c>
      <c r="G794" s="21">
        <v>1</v>
      </c>
      <c r="H794" s="21">
        <v>0</v>
      </c>
      <c r="J794" s="20" t="s">
        <v>2298</v>
      </c>
      <c r="K794" t="s">
        <v>2297</v>
      </c>
    </row>
    <row r="795" spans="2:11" x14ac:dyDescent="0.2">
      <c r="B795" s="21">
        <f t="shared" si="12"/>
        <v>1326</v>
      </c>
      <c r="C795" t="s">
        <v>235</v>
      </c>
      <c r="D795" t="s">
        <v>13</v>
      </c>
      <c r="E795" t="s">
        <v>2751</v>
      </c>
      <c r="F795" t="s">
        <v>28</v>
      </c>
      <c r="G795" s="21">
        <v>1</v>
      </c>
      <c r="H795" s="21">
        <v>0</v>
      </c>
      <c r="J795" s="20" t="s">
        <v>2298</v>
      </c>
      <c r="K795" t="s">
        <v>2297</v>
      </c>
    </row>
    <row r="796" spans="2:11" x14ac:dyDescent="0.2">
      <c r="B796" s="21">
        <f t="shared" si="12"/>
        <v>1325</v>
      </c>
      <c r="C796" t="s">
        <v>235</v>
      </c>
      <c r="D796" t="s">
        <v>13</v>
      </c>
      <c r="E796" t="s">
        <v>2751</v>
      </c>
      <c r="F796" t="s">
        <v>8</v>
      </c>
      <c r="G796" s="21">
        <v>1</v>
      </c>
      <c r="H796" s="21">
        <v>0</v>
      </c>
      <c r="I796" t="s">
        <v>1100</v>
      </c>
      <c r="J796" s="20" t="s">
        <v>2298</v>
      </c>
      <c r="K796" t="s">
        <v>2298</v>
      </c>
    </row>
    <row r="797" spans="2:11" x14ac:dyDescent="0.2">
      <c r="B797" s="21">
        <f t="shared" si="12"/>
        <v>1324</v>
      </c>
      <c r="C797" t="s">
        <v>345</v>
      </c>
      <c r="D797" t="s">
        <v>13</v>
      </c>
      <c r="E797" t="s">
        <v>2751</v>
      </c>
      <c r="F797" t="s">
        <v>34</v>
      </c>
      <c r="G797" s="21">
        <v>1</v>
      </c>
      <c r="H797" s="21">
        <v>0</v>
      </c>
      <c r="I797" t="s">
        <v>1103</v>
      </c>
      <c r="J797" s="20" t="s">
        <v>2298</v>
      </c>
      <c r="K797" t="s">
        <v>2298</v>
      </c>
    </row>
    <row r="798" spans="2:11" x14ac:dyDescent="0.2">
      <c r="B798" s="21">
        <f t="shared" si="12"/>
        <v>1323</v>
      </c>
      <c r="C798" t="s">
        <v>756</v>
      </c>
      <c r="D798" t="s">
        <v>13</v>
      </c>
      <c r="E798" t="s">
        <v>2751</v>
      </c>
      <c r="F798" t="s">
        <v>34</v>
      </c>
      <c r="G798" s="21">
        <v>1</v>
      </c>
      <c r="H798" s="21">
        <v>0</v>
      </c>
      <c r="J798" s="20" t="s">
        <v>2299</v>
      </c>
      <c r="K798" t="s">
        <v>2298</v>
      </c>
    </row>
    <row r="799" spans="2:11" x14ac:dyDescent="0.2">
      <c r="B799" s="21">
        <f t="shared" si="12"/>
        <v>1322</v>
      </c>
      <c r="C799" t="s">
        <v>235</v>
      </c>
      <c r="D799" t="s">
        <v>13</v>
      </c>
      <c r="E799" t="s">
        <v>2751</v>
      </c>
      <c r="F799" t="s">
        <v>43</v>
      </c>
      <c r="G799" s="21">
        <v>1</v>
      </c>
      <c r="H799" s="21">
        <v>0</v>
      </c>
      <c r="I799" t="s">
        <v>1097</v>
      </c>
      <c r="J799" s="20" t="s">
        <v>2299</v>
      </c>
      <c r="K799" t="s">
        <v>2299</v>
      </c>
    </row>
    <row r="800" spans="2:11" x14ac:dyDescent="0.2">
      <c r="B800" s="21">
        <f t="shared" si="12"/>
        <v>1321</v>
      </c>
      <c r="C800" t="s">
        <v>235</v>
      </c>
      <c r="D800" t="s">
        <v>13</v>
      </c>
      <c r="E800" t="s">
        <v>2751</v>
      </c>
      <c r="F800" t="s">
        <v>28</v>
      </c>
      <c r="G800" s="21">
        <v>1</v>
      </c>
      <c r="H800" s="21">
        <v>0</v>
      </c>
      <c r="I800" t="s">
        <v>1098</v>
      </c>
      <c r="J800" s="20" t="s">
        <v>2299</v>
      </c>
      <c r="K800" t="s">
        <v>2298</v>
      </c>
    </row>
    <row r="801" spans="2:11" x14ac:dyDescent="0.2">
      <c r="B801" s="21">
        <f t="shared" si="12"/>
        <v>1320</v>
      </c>
      <c r="C801" t="s">
        <v>616</v>
      </c>
      <c r="D801" t="s">
        <v>13</v>
      </c>
      <c r="E801" t="s">
        <v>2751</v>
      </c>
      <c r="F801" t="s">
        <v>34</v>
      </c>
      <c r="G801" s="21">
        <v>1</v>
      </c>
      <c r="H801" s="21">
        <v>0</v>
      </c>
      <c r="I801" t="s">
        <v>1099</v>
      </c>
      <c r="J801" s="20" t="s">
        <v>2299</v>
      </c>
      <c r="K801" t="s">
        <v>2299</v>
      </c>
    </row>
    <row r="802" spans="2:11" x14ac:dyDescent="0.2">
      <c r="B802" s="21">
        <f t="shared" si="12"/>
        <v>1319</v>
      </c>
      <c r="C802" t="s">
        <v>345</v>
      </c>
      <c r="D802" t="s">
        <v>13</v>
      </c>
      <c r="E802" t="s">
        <v>2751</v>
      </c>
      <c r="F802" t="s">
        <v>34</v>
      </c>
      <c r="G802" s="21">
        <v>1</v>
      </c>
      <c r="H802" s="21">
        <v>0</v>
      </c>
      <c r="J802" s="20" t="s">
        <v>2299</v>
      </c>
      <c r="K802" t="s">
        <v>2298</v>
      </c>
    </row>
    <row r="803" spans="2:11" x14ac:dyDescent="0.2">
      <c r="B803" s="21">
        <f t="shared" si="12"/>
        <v>1318</v>
      </c>
      <c r="C803" t="s">
        <v>616</v>
      </c>
      <c r="D803" t="s">
        <v>13</v>
      </c>
      <c r="E803" t="s">
        <v>2751</v>
      </c>
      <c r="F803" t="s">
        <v>34</v>
      </c>
      <c r="G803" s="21">
        <v>1</v>
      </c>
      <c r="H803" s="21">
        <v>0</v>
      </c>
      <c r="I803" t="s">
        <v>1094</v>
      </c>
      <c r="J803" s="20" t="s">
        <v>2300</v>
      </c>
      <c r="K803" t="s">
        <v>2300</v>
      </c>
    </row>
    <row r="804" spans="2:11" x14ac:dyDescent="0.2">
      <c r="B804" s="21">
        <f t="shared" si="12"/>
        <v>1317</v>
      </c>
      <c r="C804" t="s">
        <v>235</v>
      </c>
      <c r="D804" t="s">
        <v>13</v>
      </c>
      <c r="E804" t="s">
        <v>2751</v>
      </c>
      <c r="F804" t="s">
        <v>34</v>
      </c>
      <c r="G804" s="21">
        <v>1</v>
      </c>
      <c r="H804" s="21">
        <v>0</v>
      </c>
      <c r="I804" t="s">
        <v>1096</v>
      </c>
      <c r="J804" s="20" t="s">
        <v>2300</v>
      </c>
      <c r="K804" t="s">
        <v>2300</v>
      </c>
    </row>
    <row r="805" spans="2:11" x14ac:dyDescent="0.2">
      <c r="B805" s="21">
        <f t="shared" si="12"/>
        <v>1316</v>
      </c>
      <c r="C805" t="s">
        <v>756</v>
      </c>
      <c r="D805" t="s">
        <v>13</v>
      </c>
      <c r="E805" t="s">
        <v>2751</v>
      </c>
      <c r="F805" t="s">
        <v>34</v>
      </c>
      <c r="G805" s="21">
        <v>1</v>
      </c>
      <c r="H805" s="21">
        <v>0</v>
      </c>
      <c r="J805" s="20" t="s">
        <v>2300</v>
      </c>
      <c r="K805" t="s">
        <v>2299</v>
      </c>
    </row>
    <row r="806" spans="2:11" x14ac:dyDescent="0.2">
      <c r="B806" s="21">
        <f t="shared" si="12"/>
        <v>1315</v>
      </c>
      <c r="C806" t="s">
        <v>756</v>
      </c>
      <c r="D806" t="s">
        <v>13</v>
      </c>
      <c r="E806" t="s">
        <v>2751</v>
      </c>
      <c r="F806" t="s">
        <v>8</v>
      </c>
      <c r="G806" s="21">
        <v>1</v>
      </c>
      <c r="H806" s="21">
        <v>0</v>
      </c>
      <c r="I806" t="s">
        <v>1095</v>
      </c>
      <c r="J806" s="20" t="s">
        <v>2300</v>
      </c>
      <c r="K806" t="s">
        <v>2300</v>
      </c>
    </row>
    <row r="807" spans="2:11" x14ac:dyDescent="0.2">
      <c r="B807" s="21">
        <f t="shared" si="12"/>
        <v>1314</v>
      </c>
      <c r="C807" t="s">
        <v>235</v>
      </c>
      <c r="D807" t="s">
        <v>13</v>
      </c>
      <c r="E807" t="s">
        <v>2751</v>
      </c>
      <c r="F807" t="s">
        <v>43</v>
      </c>
      <c r="G807" s="21">
        <v>1</v>
      </c>
      <c r="H807" s="21">
        <v>0</v>
      </c>
      <c r="I807" t="s">
        <v>1093</v>
      </c>
      <c r="J807" s="20" t="s">
        <v>2301</v>
      </c>
      <c r="K807" t="s">
        <v>2301</v>
      </c>
    </row>
    <row r="808" spans="2:11" x14ac:dyDescent="0.2">
      <c r="B808" s="21">
        <f t="shared" si="12"/>
        <v>1313</v>
      </c>
      <c r="C808" t="s">
        <v>756</v>
      </c>
      <c r="D808" t="s">
        <v>13</v>
      </c>
      <c r="E808" t="s">
        <v>2751</v>
      </c>
      <c r="F808" t="s">
        <v>43</v>
      </c>
      <c r="G808" s="21">
        <v>1</v>
      </c>
      <c r="H808" s="21">
        <v>0</v>
      </c>
      <c r="I808" t="s">
        <v>1091</v>
      </c>
      <c r="J808" s="20" t="s">
        <v>2301</v>
      </c>
      <c r="K808" t="s">
        <v>2684</v>
      </c>
    </row>
    <row r="809" spans="2:11" x14ac:dyDescent="0.2">
      <c r="B809" s="21">
        <f t="shared" si="12"/>
        <v>1312</v>
      </c>
      <c r="C809" t="s">
        <v>235</v>
      </c>
      <c r="D809" t="s">
        <v>13</v>
      </c>
      <c r="E809" t="s">
        <v>2751</v>
      </c>
      <c r="F809" t="s">
        <v>43</v>
      </c>
      <c r="G809" s="21">
        <v>1</v>
      </c>
      <c r="H809" s="21">
        <v>0</v>
      </c>
      <c r="J809" s="20" t="s">
        <v>2302</v>
      </c>
      <c r="K809" t="s">
        <v>2301</v>
      </c>
    </row>
    <row r="810" spans="2:11" x14ac:dyDescent="0.2">
      <c r="B810" s="21">
        <f t="shared" si="12"/>
        <v>1311</v>
      </c>
      <c r="C810" t="s">
        <v>756</v>
      </c>
      <c r="D810" t="s">
        <v>13</v>
      </c>
      <c r="E810" t="s">
        <v>2751</v>
      </c>
      <c r="F810" t="s">
        <v>43</v>
      </c>
      <c r="G810" s="21">
        <v>1</v>
      </c>
      <c r="H810" s="21">
        <v>0</v>
      </c>
      <c r="I810" t="s">
        <v>1090</v>
      </c>
      <c r="J810" s="20" t="s">
        <v>2302</v>
      </c>
      <c r="K810" t="s">
        <v>2301</v>
      </c>
    </row>
    <row r="811" spans="2:11" x14ac:dyDescent="0.2">
      <c r="B811" s="21">
        <f t="shared" si="12"/>
        <v>1310</v>
      </c>
      <c r="C811" t="s">
        <v>616</v>
      </c>
      <c r="D811" t="s">
        <v>13</v>
      </c>
      <c r="E811" t="s">
        <v>2751</v>
      </c>
      <c r="F811" t="s">
        <v>34</v>
      </c>
      <c r="G811" s="21">
        <v>1</v>
      </c>
      <c r="H811" s="21">
        <v>0</v>
      </c>
      <c r="I811" t="s">
        <v>1092</v>
      </c>
      <c r="J811" s="20" t="s">
        <v>2302</v>
      </c>
      <c r="K811" t="s">
        <v>2301</v>
      </c>
    </row>
    <row r="812" spans="2:11" x14ac:dyDescent="0.2">
      <c r="B812" s="21">
        <f t="shared" si="12"/>
        <v>1309</v>
      </c>
      <c r="C812" t="s">
        <v>235</v>
      </c>
      <c r="D812" t="s">
        <v>13</v>
      </c>
      <c r="E812" t="s">
        <v>2751</v>
      </c>
      <c r="F812" t="s">
        <v>43</v>
      </c>
      <c r="G812" s="21">
        <v>1</v>
      </c>
      <c r="H812" s="21">
        <v>0</v>
      </c>
      <c r="I812" t="s">
        <v>1088</v>
      </c>
      <c r="J812" s="20" t="s">
        <v>2303</v>
      </c>
      <c r="K812" t="s">
        <v>2302</v>
      </c>
    </row>
    <row r="813" spans="2:11" x14ac:dyDescent="0.2">
      <c r="B813" s="21">
        <f t="shared" si="12"/>
        <v>1308</v>
      </c>
      <c r="C813" t="s">
        <v>756</v>
      </c>
      <c r="D813" t="s">
        <v>13</v>
      </c>
      <c r="E813" t="s">
        <v>2751</v>
      </c>
      <c r="F813" t="s">
        <v>27</v>
      </c>
      <c r="G813" s="21">
        <v>1</v>
      </c>
      <c r="H813" s="21">
        <v>0</v>
      </c>
      <c r="I813" t="s">
        <v>1089</v>
      </c>
      <c r="J813" s="20" t="s">
        <v>2303</v>
      </c>
      <c r="K813" t="s">
        <v>2303</v>
      </c>
    </row>
    <row r="814" spans="2:11" x14ac:dyDescent="0.2">
      <c r="B814" s="21">
        <f t="shared" si="12"/>
        <v>1307</v>
      </c>
      <c r="C814" t="s">
        <v>235</v>
      </c>
      <c r="D814" t="s">
        <v>13</v>
      </c>
      <c r="E814" t="s">
        <v>2751</v>
      </c>
      <c r="F814" t="s">
        <v>42</v>
      </c>
      <c r="G814" s="21">
        <v>1</v>
      </c>
      <c r="H814" s="21">
        <v>0</v>
      </c>
      <c r="I814" t="s">
        <v>1087</v>
      </c>
      <c r="J814" s="20" t="s">
        <v>2304</v>
      </c>
      <c r="K814" t="s">
        <v>2304</v>
      </c>
    </row>
    <row r="815" spans="2:11" x14ac:dyDescent="0.2">
      <c r="B815" s="21">
        <f t="shared" si="12"/>
        <v>1306</v>
      </c>
      <c r="C815" t="s">
        <v>235</v>
      </c>
      <c r="D815" t="s">
        <v>13</v>
      </c>
      <c r="E815" t="s">
        <v>2751</v>
      </c>
      <c r="F815" t="s">
        <v>43</v>
      </c>
      <c r="G815" s="21">
        <v>1</v>
      </c>
      <c r="H815" s="21">
        <v>0</v>
      </c>
      <c r="I815" t="s">
        <v>1088</v>
      </c>
      <c r="J815" s="20" t="s">
        <v>2304</v>
      </c>
      <c r="K815" t="s">
        <v>2303</v>
      </c>
    </row>
    <row r="816" spans="2:11" x14ac:dyDescent="0.2">
      <c r="B816" s="21">
        <f t="shared" si="12"/>
        <v>1305</v>
      </c>
      <c r="C816" t="s">
        <v>235</v>
      </c>
      <c r="D816" t="s">
        <v>13</v>
      </c>
      <c r="E816" t="s">
        <v>2751</v>
      </c>
      <c r="F816" t="s">
        <v>34</v>
      </c>
      <c r="G816" s="21">
        <v>1</v>
      </c>
      <c r="H816" s="21">
        <v>0</v>
      </c>
      <c r="J816" s="20" t="s">
        <v>2305</v>
      </c>
      <c r="K816" t="s">
        <v>2304</v>
      </c>
    </row>
    <row r="817" spans="2:11" x14ac:dyDescent="0.2">
      <c r="B817" s="21">
        <f t="shared" si="12"/>
        <v>1304</v>
      </c>
      <c r="C817" t="s">
        <v>616</v>
      </c>
      <c r="D817" t="s">
        <v>13</v>
      </c>
      <c r="E817" t="s">
        <v>2751</v>
      </c>
      <c r="F817" t="s">
        <v>8</v>
      </c>
      <c r="G817" s="21">
        <v>1</v>
      </c>
      <c r="H817" s="21">
        <v>0</v>
      </c>
      <c r="I817" t="s">
        <v>1086</v>
      </c>
      <c r="J817" s="20" t="s">
        <v>2305</v>
      </c>
      <c r="K817" t="s">
        <v>2305</v>
      </c>
    </row>
    <row r="818" spans="2:11" x14ac:dyDescent="0.2">
      <c r="B818" s="21">
        <f t="shared" si="12"/>
        <v>1303</v>
      </c>
      <c r="C818" t="s">
        <v>235</v>
      </c>
      <c r="D818" t="s">
        <v>13</v>
      </c>
      <c r="E818" t="s">
        <v>2751</v>
      </c>
      <c r="F818" t="s">
        <v>34</v>
      </c>
      <c r="G818" s="21">
        <v>1</v>
      </c>
      <c r="H818" s="21">
        <v>0</v>
      </c>
      <c r="J818" s="20" t="s">
        <v>2306</v>
      </c>
      <c r="K818" t="s">
        <v>2305</v>
      </c>
    </row>
    <row r="819" spans="2:11" x14ac:dyDescent="0.2">
      <c r="B819" s="21">
        <f t="shared" si="12"/>
        <v>1302</v>
      </c>
      <c r="C819" t="s">
        <v>616</v>
      </c>
      <c r="D819" t="s">
        <v>13</v>
      </c>
      <c r="E819" t="s">
        <v>2751</v>
      </c>
      <c r="F819" t="s">
        <v>8</v>
      </c>
      <c r="G819" s="21">
        <v>1</v>
      </c>
      <c r="H819" s="21">
        <v>0</v>
      </c>
      <c r="I819" t="s">
        <v>1084</v>
      </c>
      <c r="J819" s="20" t="s">
        <v>2306</v>
      </c>
      <c r="K819" t="s">
        <v>2306</v>
      </c>
    </row>
    <row r="820" spans="2:11" x14ac:dyDescent="0.2">
      <c r="B820" s="21">
        <f t="shared" si="12"/>
        <v>1301</v>
      </c>
      <c r="C820" t="s">
        <v>1078</v>
      </c>
      <c r="D820" t="s">
        <v>13</v>
      </c>
      <c r="E820" t="s">
        <v>2751</v>
      </c>
      <c r="F820" t="s">
        <v>8</v>
      </c>
      <c r="G820" s="21">
        <v>1</v>
      </c>
      <c r="H820" s="21">
        <v>0</v>
      </c>
      <c r="I820" t="s">
        <v>1085</v>
      </c>
      <c r="J820" s="20" t="s">
        <v>2306</v>
      </c>
      <c r="K820" t="s">
        <v>2306</v>
      </c>
    </row>
    <row r="821" spans="2:11" x14ac:dyDescent="0.2">
      <c r="B821" s="21">
        <f t="shared" si="12"/>
        <v>1300</v>
      </c>
      <c r="C821" t="s">
        <v>235</v>
      </c>
      <c r="D821" t="s">
        <v>13</v>
      </c>
      <c r="E821" t="s">
        <v>2751</v>
      </c>
      <c r="F821" t="s">
        <v>34</v>
      </c>
      <c r="G821" s="21">
        <v>1</v>
      </c>
      <c r="H821" s="21">
        <v>0</v>
      </c>
      <c r="J821" s="20" t="s">
        <v>2307</v>
      </c>
      <c r="K821" t="s">
        <v>2685</v>
      </c>
    </row>
    <row r="822" spans="2:11" x14ac:dyDescent="0.2">
      <c r="B822" s="21">
        <f t="shared" si="12"/>
        <v>1299</v>
      </c>
      <c r="C822" t="s">
        <v>235</v>
      </c>
      <c r="D822" t="s">
        <v>13</v>
      </c>
      <c r="E822" t="s">
        <v>2751</v>
      </c>
      <c r="F822" t="s">
        <v>8</v>
      </c>
      <c r="G822" s="21">
        <v>1</v>
      </c>
      <c r="H822" s="21">
        <v>0</v>
      </c>
      <c r="I822" t="s">
        <v>1082</v>
      </c>
      <c r="J822" s="20" t="s">
        <v>2307</v>
      </c>
      <c r="K822" t="s">
        <v>2307</v>
      </c>
    </row>
    <row r="823" spans="2:11" x14ac:dyDescent="0.2">
      <c r="B823" s="21">
        <f t="shared" si="12"/>
        <v>1298</v>
      </c>
      <c r="C823" t="s">
        <v>616</v>
      </c>
      <c r="D823" t="s">
        <v>13</v>
      </c>
      <c r="E823" t="s">
        <v>2751</v>
      </c>
      <c r="F823" t="s">
        <v>8</v>
      </c>
      <c r="G823" s="21">
        <v>1</v>
      </c>
      <c r="H823" s="21">
        <v>0</v>
      </c>
      <c r="I823" t="s">
        <v>1083</v>
      </c>
      <c r="J823" s="20" t="s">
        <v>2307</v>
      </c>
      <c r="K823" t="s">
        <v>2307</v>
      </c>
    </row>
    <row r="824" spans="2:11" x14ac:dyDescent="0.2">
      <c r="B824" s="21">
        <f t="shared" si="12"/>
        <v>1297</v>
      </c>
      <c r="C824" t="s">
        <v>235</v>
      </c>
      <c r="D824" t="s">
        <v>13</v>
      </c>
      <c r="E824" t="s">
        <v>2751</v>
      </c>
      <c r="F824" t="s">
        <v>34</v>
      </c>
      <c r="G824" s="21">
        <v>1</v>
      </c>
      <c r="H824" s="21">
        <v>0</v>
      </c>
      <c r="J824" s="20" t="s">
        <v>2308</v>
      </c>
      <c r="K824" t="s">
        <v>2307</v>
      </c>
    </row>
    <row r="825" spans="2:11" x14ac:dyDescent="0.2">
      <c r="B825" s="21">
        <f t="shared" si="12"/>
        <v>1296</v>
      </c>
      <c r="C825" t="s">
        <v>235</v>
      </c>
      <c r="D825" t="s">
        <v>13</v>
      </c>
      <c r="E825" t="s">
        <v>2751</v>
      </c>
      <c r="F825" t="s">
        <v>42</v>
      </c>
      <c r="G825" s="21">
        <v>1</v>
      </c>
      <c r="H825" s="21">
        <v>0</v>
      </c>
      <c r="I825" t="s">
        <v>1080</v>
      </c>
      <c r="J825" s="20" t="s">
        <v>2308</v>
      </c>
      <c r="K825" t="s">
        <v>2308</v>
      </c>
    </row>
    <row r="826" spans="2:11" x14ac:dyDescent="0.2">
      <c r="B826" s="21">
        <f t="shared" si="12"/>
        <v>1295</v>
      </c>
      <c r="C826" t="s">
        <v>235</v>
      </c>
      <c r="D826" t="s">
        <v>13</v>
      </c>
      <c r="E826" t="s">
        <v>2751</v>
      </c>
      <c r="F826" t="s">
        <v>31</v>
      </c>
      <c r="G826" s="21">
        <v>1</v>
      </c>
      <c r="H826" s="21">
        <v>0</v>
      </c>
      <c r="J826" s="20" t="s">
        <v>2308</v>
      </c>
      <c r="K826" t="s">
        <v>2307</v>
      </c>
    </row>
    <row r="827" spans="2:11" x14ac:dyDescent="0.2">
      <c r="B827" s="21">
        <f t="shared" si="12"/>
        <v>1294</v>
      </c>
      <c r="C827" t="s">
        <v>616</v>
      </c>
      <c r="D827" t="s">
        <v>13</v>
      </c>
      <c r="E827" t="s">
        <v>2751</v>
      </c>
      <c r="F827" t="s">
        <v>8</v>
      </c>
      <c r="G827" s="21">
        <v>1</v>
      </c>
      <c r="H827" s="21">
        <v>0</v>
      </c>
      <c r="I827" t="s">
        <v>1081</v>
      </c>
      <c r="J827" s="20" t="s">
        <v>2308</v>
      </c>
      <c r="K827" t="s">
        <v>2308</v>
      </c>
    </row>
    <row r="828" spans="2:11" x14ac:dyDescent="0.2">
      <c r="B828" s="21">
        <f t="shared" si="12"/>
        <v>1293</v>
      </c>
      <c r="C828" t="s">
        <v>1078</v>
      </c>
      <c r="D828" t="s">
        <v>13</v>
      </c>
      <c r="E828" t="s">
        <v>2751</v>
      </c>
      <c r="F828" t="s">
        <v>4</v>
      </c>
      <c r="G828" s="21">
        <v>1</v>
      </c>
      <c r="H828" s="21">
        <v>0</v>
      </c>
      <c r="I828" t="s">
        <v>1079</v>
      </c>
      <c r="J828" s="20" t="s">
        <v>2308</v>
      </c>
      <c r="K828" t="s">
        <v>2308</v>
      </c>
    </row>
    <row r="829" spans="2:11" x14ac:dyDescent="0.2">
      <c r="B829" s="21">
        <f t="shared" si="12"/>
        <v>1292</v>
      </c>
      <c r="C829" t="s">
        <v>1034</v>
      </c>
      <c r="D829" t="s">
        <v>13</v>
      </c>
      <c r="E829" t="s">
        <v>2751</v>
      </c>
      <c r="F829" t="s">
        <v>27</v>
      </c>
      <c r="G829" s="21">
        <v>1</v>
      </c>
      <c r="H829" s="21">
        <v>0</v>
      </c>
      <c r="I829" t="s">
        <v>1076</v>
      </c>
      <c r="J829" s="20" t="s">
        <v>2309</v>
      </c>
      <c r="K829" t="s">
        <v>2309</v>
      </c>
    </row>
    <row r="830" spans="2:11" x14ac:dyDescent="0.2">
      <c r="B830" s="21">
        <f t="shared" si="12"/>
        <v>1291</v>
      </c>
      <c r="C830" t="s">
        <v>1062</v>
      </c>
      <c r="D830" t="s">
        <v>13</v>
      </c>
      <c r="E830" t="s">
        <v>2751</v>
      </c>
      <c r="F830" t="s">
        <v>27</v>
      </c>
      <c r="G830" s="21">
        <v>1</v>
      </c>
      <c r="H830" s="21">
        <v>0</v>
      </c>
      <c r="I830" t="s">
        <v>1075</v>
      </c>
      <c r="J830" s="20" t="s">
        <v>2309</v>
      </c>
      <c r="K830" t="s">
        <v>2309</v>
      </c>
    </row>
    <row r="831" spans="2:11" x14ac:dyDescent="0.2">
      <c r="B831" s="21">
        <f t="shared" si="12"/>
        <v>1290</v>
      </c>
      <c r="C831" t="s">
        <v>235</v>
      </c>
      <c r="D831" t="s">
        <v>13</v>
      </c>
      <c r="E831" t="s">
        <v>2751</v>
      </c>
      <c r="F831" t="s">
        <v>34</v>
      </c>
      <c r="G831" s="21">
        <v>1</v>
      </c>
      <c r="H831" s="21">
        <v>0</v>
      </c>
      <c r="J831" s="20" t="s">
        <v>2309</v>
      </c>
      <c r="K831" t="s">
        <v>2308</v>
      </c>
    </row>
    <row r="832" spans="2:11" x14ac:dyDescent="0.2">
      <c r="B832" s="21">
        <f t="shared" si="12"/>
        <v>1289</v>
      </c>
      <c r="C832" t="s">
        <v>235</v>
      </c>
      <c r="D832" t="s">
        <v>13</v>
      </c>
      <c r="E832" t="s">
        <v>2751</v>
      </c>
      <c r="F832" t="s">
        <v>31</v>
      </c>
      <c r="G832" s="21">
        <v>1</v>
      </c>
      <c r="H832" s="21">
        <v>0</v>
      </c>
      <c r="J832" s="20" t="s">
        <v>2309</v>
      </c>
      <c r="K832" t="s">
        <v>2308</v>
      </c>
    </row>
    <row r="833" spans="2:11" x14ac:dyDescent="0.2">
      <c r="B833" s="21">
        <f t="shared" si="12"/>
        <v>1288</v>
      </c>
      <c r="C833" t="s">
        <v>616</v>
      </c>
      <c r="D833" t="s">
        <v>13</v>
      </c>
      <c r="E833" t="s">
        <v>2751</v>
      </c>
      <c r="F833" t="s">
        <v>8</v>
      </c>
      <c r="G833" s="21">
        <v>1</v>
      </c>
      <c r="H833" s="21">
        <v>0</v>
      </c>
      <c r="I833" t="s">
        <v>1077</v>
      </c>
      <c r="J833" s="20" t="s">
        <v>2309</v>
      </c>
      <c r="K833" t="s">
        <v>2309</v>
      </c>
    </row>
    <row r="834" spans="2:11" x14ac:dyDescent="0.2">
      <c r="B834" s="21">
        <f t="shared" si="12"/>
        <v>1287</v>
      </c>
      <c r="C834" t="s">
        <v>1034</v>
      </c>
      <c r="D834" t="s">
        <v>13</v>
      </c>
      <c r="E834" t="s">
        <v>2751</v>
      </c>
      <c r="F834" t="s">
        <v>27</v>
      </c>
      <c r="G834" s="21">
        <v>1</v>
      </c>
      <c r="H834" s="21">
        <v>0</v>
      </c>
      <c r="I834" t="s">
        <v>1069</v>
      </c>
      <c r="J834" s="20" t="s">
        <v>2310</v>
      </c>
      <c r="K834" t="s">
        <v>2309</v>
      </c>
    </row>
    <row r="835" spans="2:11" x14ac:dyDescent="0.2">
      <c r="B835" s="21">
        <f t="shared" si="12"/>
        <v>1286</v>
      </c>
      <c r="C835" t="s">
        <v>1062</v>
      </c>
      <c r="D835" t="s">
        <v>13</v>
      </c>
      <c r="E835" t="s">
        <v>2751</v>
      </c>
      <c r="F835" t="s">
        <v>27</v>
      </c>
      <c r="G835" s="21">
        <v>1</v>
      </c>
      <c r="H835" s="21">
        <v>0</v>
      </c>
      <c r="J835" s="20" t="s">
        <v>2310</v>
      </c>
      <c r="K835" t="s">
        <v>2309</v>
      </c>
    </row>
    <row r="836" spans="2:11" x14ac:dyDescent="0.2">
      <c r="B836" s="21">
        <f t="shared" si="12"/>
        <v>1285</v>
      </c>
      <c r="C836" t="s">
        <v>235</v>
      </c>
      <c r="D836" t="s">
        <v>13</v>
      </c>
      <c r="E836" t="s">
        <v>2751</v>
      </c>
      <c r="F836" t="s">
        <v>34</v>
      </c>
      <c r="G836" s="21">
        <v>1</v>
      </c>
      <c r="H836" s="21">
        <v>0</v>
      </c>
      <c r="I836" t="s">
        <v>1071</v>
      </c>
      <c r="J836" s="20" t="s">
        <v>2310</v>
      </c>
      <c r="K836" t="s">
        <v>2310</v>
      </c>
    </row>
    <row r="837" spans="2:11" x14ac:dyDescent="0.2">
      <c r="B837" s="21">
        <f t="shared" ref="B837:B900" si="13">B836-1</f>
        <v>1284</v>
      </c>
      <c r="C837" t="s">
        <v>235</v>
      </c>
      <c r="D837" t="s">
        <v>13</v>
      </c>
      <c r="E837" t="s">
        <v>2751</v>
      </c>
      <c r="F837" t="s">
        <v>34</v>
      </c>
      <c r="G837" s="21">
        <v>1</v>
      </c>
      <c r="H837" s="21">
        <v>0</v>
      </c>
      <c r="I837" t="s">
        <v>1072</v>
      </c>
      <c r="J837" s="20" t="s">
        <v>2310</v>
      </c>
      <c r="K837" t="s">
        <v>2310</v>
      </c>
    </row>
    <row r="838" spans="2:11" x14ac:dyDescent="0.2">
      <c r="B838" s="21">
        <f t="shared" si="13"/>
        <v>1283</v>
      </c>
      <c r="C838" t="s">
        <v>235</v>
      </c>
      <c r="D838" t="s">
        <v>13</v>
      </c>
      <c r="E838" t="s">
        <v>2751</v>
      </c>
      <c r="F838" t="s">
        <v>34</v>
      </c>
      <c r="G838" s="21">
        <v>1</v>
      </c>
      <c r="H838" s="21">
        <v>0</v>
      </c>
      <c r="I838" t="s">
        <v>1073</v>
      </c>
      <c r="J838" s="20" t="s">
        <v>2310</v>
      </c>
      <c r="K838" t="s">
        <v>2309</v>
      </c>
    </row>
    <row r="839" spans="2:11" x14ac:dyDescent="0.2">
      <c r="B839" s="21">
        <f t="shared" si="13"/>
        <v>1282</v>
      </c>
      <c r="C839" t="s">
        <v>235</v>
      </c>
      <c r="D839" t="s">
        <v>13</v>
      </c>
      <c r="E839" t="s">
        <v>2751</v>
      </c>
      <c r="F839" t="s">
        <v>31</v>
      </c>
      <c r="G839" s="21">
        <v>1</v>
      </c>
      <c r="H839" s="21">
        <v>0</v>
      </c>
      <c r="J839" s="20" t="s">
        <v>2310</v>
      </c>
      <c r="K839" t="s">
        <v>2309</v>
      </c>
    </row>
    <row r="840" spans="2:11" x14ac:dyDescent="0.2">
      <c r="B840" s="21">
        <f t="shared" si="13"/>
        <v>1281</v>
      </c>
      <c r="C840" t="s">
        <v>701</v>
      </c>
      <c r="D840" t="s">
        <v>13</v>
      </c>
      <c r="E840" t="s">
        <v>2751</v>
      </c>
      <c r="F840" t="s">
        <v>8</v>
      </c>
      <c r="G840" s="21">
        <v>1</v>
      </c>
      <c r="H840" s="21">
        <v>0</v>
      </c>
      <c r="I840" t="s">
        <v>1070</v>
      </c>
      <c r="J840" s="20" t="s">
        <v>2310</v>
      </c>
      <c r="K840" t="s">
        <v>2310</v>
      </c>
    </row>
    <row r="841" spans="2:11" x14ac:dyDescent="0.2">
      <c r="B841" s="21">
        <f t="shared" si="13"/>
        <v>1280</v>
      </c>
      <c r="C841" t="s">
        <v>616</v>
      </c>
      <c r="D841" t="s">
        <v>13</v>
      </c>
      <c r="E841" t="s">
        <v>2751</v>
      </c>
      <c r="F841" t="s">
        <v>42</v>
      </c>
      <c r="G841" s="21">
        <v>1</v>
      </c>
      <c r="H841" s="21">
        <v>0</v>
      </c>
      <c r="I841" t="s">
        <v>1074</v>
      </c>
      <c r="J841" s="20" t="s">
        <v>2310</v>
      </c>
      <c r="K841" t="s">
        <v>2310</v>
      </c>
    </row>
    <row r="842" spans="2:11" x14ac:dyDescent="0.2">
      <c r="B842" s="21">
        <f t="shared" si="13"/>
        <v>1279</v>
      </c>
      <c r="C842" t="s">
        <v>975</v>
      </c>
      <c r="D842" t="s">
        <v>13</v>
      </c>
      <c r="E842" t="s">
        <v>2751</v>
      </c>
      <c r="F842" t="s">
        <v>43</v>
      </c>
      <c r="G842" s="21">
        <v>1</v>
      </c>
      <c r="H842" s="21">
        <v>0</v>
      </c>
      <c r="J842" s="20" t="s">
        <v>2311</v>
      </c>
      <c r="K842" t="s">
        <v>2310</v>
      </c>
    </row>
    <row r="843" spans="2:11" x14ac:dyDescent="0.2">
      <c r="B843" s="21">
        <f t="shared" si="13"/>
        <v>1278</v>
      </c>
      <c r="C843" t="s">
        <v>1034</v>
      </c>
      <c r="D843" t="s">
        <v>13</v>
      </c>
      <c r="E843" t="s">
        <v>2751</v>
      </c>
      <c r="F843" t="s">
        <v>27</v>
      </c>
      <c r="G843" s="21">
        <v>1</v>
      </c>
      <c r="H843" s="21">
        <v>0</v>
      </c>
      <c r="J843" s="20" t="s">
        <v>2311</v>
      </c>
      <c r="K843" t="s">
        <v>2310</v>
      </c>
    </row>
    <row r="844" spans="2:11" x14ac:dyDescent="0.2">
      <c r="B844" s="21">
        <f t="shared" si="13"/>
        <v>1277</v>
      </c>
      <c r="C844" t="s">
        <v>1062</v>
      </c>
      <c r="D844" t="s">
        <v>13</v>
      </c>
      <c r="E844" t="s">
        <v>2751</v>
      </c>
      <c r="F844" t="s">
        <v>43</v>
      </c>
      <c r="G844" s="21">
        <v>1</v>
      </c>
      <c r="H844" s="21">
        <v>0</v>
      </c>
      <c r="J844" s="20" t="s">
        <v>2311</v>
      </c>
      <c r="K844" t="s">
        <v>2310</v>
      </c>
    </row>
    <row r="845" spans="2:11" x14ac:dyDescent="0.2">
      <c r="B845" s="21">
        <f t="shared" si="13"/>
        <v>1276</v>
      </c>
      <c r="C845" t="s">
        <v>1064</v>
      </c>
      <c r="D845" t="s">
        <v>13</v>
      </c>
      <c r="E845" t="s">
        <v>2751</v>
      </c>
      <c r="F845" t="s">
        <v>27</v>
      </c>
      <c r="G845" s="21">
        <v>1</v>
      </c>
      <c r="H845" s="21">
        <v>0</v>
      </c>
      <c r="I845" t="s">
        <v>1066</v>
      </c>
      <c r="J845" s="20" t="s">
        <v>2311</v>
      </c>
      <c r="K845" t="s">
        <v>2311</v>
      </c>
    </row>
    <row r="846" spans="2:11" x14ac:dyDescent="0.2">
      <c r="B846" s="21">
        <f t="shared" si="13"/>
        <v>1275</v>
      </c>
      <c r="C846" t="s">
        <v>701</v>
      </c>
      <c r="D846" t="s">
        <v>13</v>
      </c>
      <c r="E846" t="s">
        <v>2751</v>
      </c>
      <c r="F846" t="s">
        <v>8</v>
      </c>
      <c r="G846" s="21">
        <v>1</v>
      </c>
      <c r="H846" s="21">
        <v>0</v>
      </c>
      <c r="I846" t="s">
        <v>1067</v>
      </c>
      <c r="J846" s="20" t="s">
        <v>2311</v>
      </c>
      <c r="K846" t="s">
        <v>2311</v>
      </c>
    </row>
    <row r="847" spans="2:11" x14ac:dyDescent="0.2">
      <c r="B847" s="21">
        <f t="shared" si="13"/>
        <v>1274</v>
      </c>
      <c r="C847" t="s">
        <v>235</v>
      </c>
      <c r="D847" t="s">
        <v>13</v>
      </c>
      <c r="E847" t="s">
        <v>2751</v>
      </c>
      <c r="F847" t="s">
        <v>34</v>
      </c>
      <c r="G847" s="21">
        <v>1</v>
      </c>
      <c r="H847" s="21">
        <v>0</v>
      </c>
      <c r="I847" t="s">
        <v>1068</v>
      </c>
      <c r="J847" s="20" t="s">
        <v>2311</v>
      </c>
      <c r="K847" t="s">
        <v>2310</v>
      </c>
    </row>
    <row r="848" spans="2:11" x14ac:dyDescent="0.2">
      <c r="B848" s="21">
        <f t="shared" si="13"/>
        <v>1273</v>
      </c>
      <c r="C848" t="s">
        <v>975</v>
      </c>
      <c r="D848" t="s">
        <v>13</v>
      </c>
      <c r="E848" t="s">
        <v>2751</v>
      </c>
      <c r="F848" t="s">
        <v>43</v>
      </c>
      <c r="G848" s="21">
        <v>1</v>
      </c>
      <c r="H848" s="21">
        <v>0</v>
      </c>
      <c r="J848" s="20" t="s">
        <v>2312</v>
      </c>
      <c r="K848" t="s">
        <v>2686</v>
      </c>
    </row>
    <row r="849" spans="2:11" x14ac:dyDescent="0.2">
      <c r="B849" s="21">
        <f t="shared" si="13"/>
        <v>1272</v>
      </c>
      <c r="C849" t="s">
        <v>1034</v>
      </c>
      <c r="D849" t="s">
        <v>13</v>
      </c>
      <c r="E849" t="s">
        <v>2751</v>
      </c>
      <c r="F849" t="s">
        <v>27</v>
      </c>
      <c r="G849" s="21">
        <v>1</v>
      </c>
      <c r="H849" s="21">
        <v>0</v>
      </c>
      <c r="J849" s="20" t="s">
        <v>2312</v>
      </c>
      <c r="K849" t="s">
        <v>2686</v>
      </c>
    </row>
    <row r="850" spans="2:11" x14ac:dyDescent="0.2">
      <c r="B850" s="21">
        <f t="shared" si="13"/>
        <v>1271</v>
      </c>
      <c r="C850" t="s">
        <v>616</v>
      </c>
      <c r="D850" t="s">
        <v>13</v>
      </c>
      <c r="E850" t="s">
        <v>2751</v>
      </c>
      <c r="F850" t="s">
        <v>34</v>
      </c>
      <c r="G850" s="21">
        <v>1</v>
      </c>
      <c r="H850" s="21">
        <v>0</v>
      </c>
      <c r="I850" t="s">
        <v>1061</v>
      </c>
      <c r="J850" s="20" t="s">
        <v>2312</v>
      </c>
      <c r="K850" t="s">
        <v>2312</v>
      </c>
    </row>
    <row r="851" spans="2:11" x14ac:dyDescent="0.2">
      <c r="B851" s="21">
        <f t="shared" si="13"/>
        <v>1270</v>
      </c>
      <c r="C851" t="s">
        <v>1062</v>
      </c>
      <c r="D851" t="s">
        <v>13</v>
      </c>
      <c r="E851" t="s">
        <v>2751</v>
      </c>
      <c r="F851" t="s">
        <v>43</v>
      </c>
      <c r="G851" s="21">
        <v>1</v>
      </c>
      <c r="H851" s="21">
        <v>0</v>
      </c>
      <c r="I851" t="s">
        <v>1063</v>
      </c>
      <c r="J851" s="20" t="s">
        <v>2312</v>
      </c>
      <c r="K851" t="s">
        <v>2686</v>
      </c>
    </row>
    <row r="852" spans="2:11" x14ac:dyDescent="0.2">
      <c r="B852" s="21">
        <f t="shared" si="13"/>
        <v>1269</v>
      </c>
      <c r="C852" t="s">
        <v>1064</v>
      </c>
      <c r="D852" t="s">
        <v>13</v>
      </c>
      <c r="E852" t="s">
        <v>2751</v>
      </c>
      <c r="F852" t="s">
        <v>43</v>
      </c>
      <c r="G852" s="21">
        <v>1</v>
      </c>
      <c r="H852" s="21">
        <v>0</v>
      </c>
      <c r="I852" t="s">
        <v>1065</v>
      </c>
      <c r="J852" s="20" t="s">
        <v>2312</v>
      </c>
      <c r="K852" t="s">
        <v>2686</v>
      </c>
    </row>
    <row r="853" spans="2:11" x14ac:dyDescent="0.2">
      <c r="B853" s="21">
        <f t="shared" si="13"/>
        <v>1268</v>
      </c>
      <c r="C853" t="s">
        <v>701</v>
      </c>
      <c r="D853" t="s">
        <v>13</v>
      </c>
      <c r="E853" t="s">
        <v>2751</v>
      </c>
      <c r="F853" t="s">
        <v>8</v>
      </c>
      <c r="G853" s="21">
        <v>1</v>
      </c>
      <c r="H853" s="21">
        <v>0</v>
      </c>
      <c r="J853" s="20" t="s">
        <v>2312</v>
      </c>
      <c r="K853" t="s">
        <v>2686</v>
      </c>
    </row>
    <row r="854" spans="2:11" x14ac:dyDescent="0.2">
      <c r="B854" s="21">
        <f t="shared" si="13"/>
        <v>1267</v>
      </c>
      <c r="C854" t="s">
        <v>975</v>
      </c>
      <c r="D854" t="s">
        <v>13</v>
      </c>
      <c r="E854" t="s">
        <v>2751</v>
      </c>
      <c r="F854" t="s">
        <v>43</v>
      </c>
      <c r="G854" s="21">
        <v>1</v>
      </c>
      <c r="H854" s="21">
        <v>0</v>
      </c>
      <c r="J854" s="20" t="s">
        <v>2313</v>
      </c>
      <c r="K854" t="s">
        <v>2312</v>
      </c>
    </row>
    <row r="855" spans="2:11" x14ac:dyDescent="0.2">
      <c r="B855" s="21">
        <f t="shared" si="13"/>
        <v>1266</v>
      </c>
      <c r="C855" t="s">
        <v>1034</v>
      </c>
      <c r="D855" t="s">
        <v>13</v>
      </c>
      <c r="E855" t="s">
        <v>2751</v>
      </c>
      <c r="F855" t="s">
        <v>27</v>
      </c>
      <c r="G855" s="21">
        <v>1</v>
      </c>
      <c r="H855" s="21">
        <v>0</v>
      </c>
      <c r="J855" s="20" t="s">
        <v>2313</v>
      </c>
      <c r="K855" t="s">
        <v>2312</v>
      </c>
    </row>
    <row r="856" spans="2:11" x14ac:dyDescent="0.2">
      <c r="B856" s="21">
        <f t="shared" si="13"/>
        <v>1265</v>
      </c>
      <c r="C856" t="s">
        <v>1048</v>
      </c>
      <c r="D856" t="s">
        <v>14</v>
      </c>
      <c r="E856" t="s">
        <v>2751</v>
      </c>
      <c r="F856" t="s">
        <v>27</v>
      </c>
      <c r="G856" s="21">
        <v>1</v>
      </c>
      <c r="H856" s="21">
        <v>0</v>
      </c>
      <c r="I856" t="s">
        <v>1059</v>
      </c>
      <c r="J856" s="20" t="s">
        <v>2313</v>
      </c>
      <c r="K856" t="s">
        <v>2313</v>
      </c>
    </row>
    <row r="857" spans="2:11" x14ac:dyDescent="0.2">
      <c r="B857" s="21">
        <f t="shared" si="13"/>
        <v>1264</v>
      </c>
      <c r="C857" t="s">
        <v>235</v>
      </c>
      <c r="D857" t="s">
        <v>13</v>
      </c>
      <c r="E857" t="s">
        <v>2751</v>
      </c>
      <c r="F857" t="s">
        <v>42</v>
      </c>
      <c r="G857" s="21">
        <v>1</v>
      </c>
      <c r="H857" s="21">
        <v>0</v>
      </c>
      <c r="I857" t="s">
        <v>1058</v>
      </c>
      <c r="J857" s="20" t="s">
        <v>2313</v>
      </c>
      <c r="K857" t="s">
        <v>2313</v>
      </c>
    </row>
    <row r="858" spans="2:11" x14ac:dyDescent="0.2">
      <c r="B858" s="21">
        <f t="shared" si="13"/>
        <v>1263</v>
      </c>
      <c r="C858" t="s">
        <v>616</v>
      </c>
      <c r="D858" t="s">
        <v>13</v>
      </c>
      <c r="E858" t="s">
        <v>2751</v>
      </c>
      <c r="F858" t="s">
        <v>42</v>
      </c>
      <c r="G858" s="21">
        <v>1</v>
      </c>
      <c r="H858" s="21">
        <v>0</v>
      </c>
      <c r="I858" t="s">
        <v>1060</v>
      </c>
      <c r="J858" s="20" t="s">
        <v>2313</v>
      </c>
      <c r="K858" t="s">
        <v>2313</v>
      </c>
    </row>
    <row r="859" spans="2:11" x14ac:dyDescent="0.2">
      <c r="B859" s="21">
        <f t="shared" si="13"/>
        <v>1262</v>
      </c>
      <c r="C859" t="s">
        <v>975</v>
      </c>
      <c r="D859" t="s">
        <v>13</v>
      </c>
      <c r="E859" t="s">
        <v>2751</v>
      </c>
      <c r="F859" t="s">
        <v>43</v>
      </c>
      <c r="G859" s="21">
        <v>1</v>
      </c>
      <c r="H859" s="21">
        <v>0</v>
      </c>
      <c r="J859" s="20" t="s">
        <v>2314</v>
      </c>
      <c r="K859" t="s">
        <v>2313</v>
      </c>
    </row>
    <row r="860" spans="2:11" x14ac:dyDescent="0.2">
      <c r="B860" s="21">
        <f t="shared" si="13"/>
        <v>1261</v>
      </c>
      <c r="C860" t="s">
        <v>1034</v>
      </c>
      <c r="D860" t="s">
        <v>13</v>
      </c>
      <c r="E860" t="s">
        <v>2751</v>
      </c>
      <c r="F860" t="s">
        <v>27</v>
      </c>
      <c r="G860" s="21">
        <v>1</v>
      </c>
      <c r="H860" s="21">
        <v>0</v>
      </c>
      <c r="I860" t="s">
        <v>1056</v>
      </c>
      <c r="J860" s="20" t="s">
        <v>2314</v>
      </c>
      <c r="K860" t="s">
        <v>2313</v>
      </c>
    </row>
    <row r="861" spans="2:11" x14ac:dyDescent="0.2">
      <c r="B861" s="21">
        <f t="shared" si="13"/>
        <v>1260</v>
      </c>
      <c r="C861" t="s">
        <v>1048</v>
      </c>
      <c r="D861" t="s">
        <v>14</v>
      </c>
      <c r="E861" t="s">
        <v>2751</v>
      </c>
      <c r="F861" t="s">
        <v>49</v>
      </c>
      <c r="G861" s="21">
        <v>1</v>
      </c>
      <c r="H861" s="21">
        <v>0</v>
      </c>
      <c r="I861" t="s">
        <v>1057</v>
      </c>
      <c r="J861" s="20" t="s">
        <v>2314</v>
      </c>
      <c r="K861" t="s">
        <v>2313</v>
      </c>
    </row>
    <row r="862" spans="2:11" x14ac:dyDescent="0.2">
      <c r="B862" s="21">
        <f t="shared" si="13"/>
        <v>1259</v>
      </c>
      <c r="C862" t="s">
        <v>235</v>
      </c>
      <c r="D862" t="s">
        <v>13</v>
      </c>
      <c r="E862" t="s">
        <v>2751</v>
      </c>
      <c r="F862" t="s">
        <v>8</v>
      </c>
      <c r="G862" s="21">
        <v>1</v>
      </c>
      <c r="H862" s="21">
        <v>0</v>
      </c>
      <c r="J862" s="20" t="s">
        <v>2314</v>
      </c>
      <c r="K862" t="s">
        <v>2313</v>
      </c>
    </row>
    <row r="863" spans="2:11" x14ac:dyDescent="0.2">
      <c r="B863" s="21">
        <f t="shared" si="13"/>
        <v>1258</v>
      </c>
      <c r="C863" t="s">
        <v>616</v>
      </c>
      <c r="D863" t="s">
        <v>13</v>
      </c>
      <c r="E863" t="s">
        <v>2751</v>
      </c>
      <c r="F863" t="s">
        <v>34</v>
      </c>
      <c r="G863" s="21">
        <v>1</v>
      </c>
      <c r="H863" s="21">
        <v>0</v>
      </c>
      <c r="I863" t="s">
        <v>1054</v>
      </c>
      <c r="J863" s="20" t="s">
        <v>2314</v>
      </c>
      <c r="K863" t="s">
        <v>2314</v>
      </c>
    </row>
    <row r="864" spans="2:11" x14ac:dyDescent="0.2">
      <c r="B864" s="21">
        <f t="shared" si="13"/>
        <v>1257</v>
      </c>
      <c r="C864" t="s">
        <v>345</v>
      </c>
      <c r="D864" t="s">
        <v>13</v>
      </c>
      <c r="E864" t="s">
        <v>2751</v>
      </c>
      <c r="F864" t="s">
        <v>8</v>
      </c>
      <c r="G864" s="21">
        <v>1</v>
      </c>
      <c r="H864" s="21">
        <v>0</v>
      </c>
      <c r="I864" t="s">
        <v>1055</v>
      </c>
      <c r="J864" s="20" t="s">
        <v>2314</v>
      </c>
      <c r="K864" t="s">
        <v>2314</v>
      </c>
    </row>
    <row r="865" spans="2:11" x14ac:dyDescent="0.2">
      <c r="B865" s="21">
        <f t="shared" si="13"/>
        <v>1256</v>
      </c>
      <c r="C865" t="s">
        <v>975</v>
      </c>
      <c r="D865" t="s">
        <v>13</v>
      </c>
      <c r="E865" t="s">
        <v>2751</v>
      </c>
      <c r="F865" t="s">
        <v>43</v>
      </c>
      <c r="G865" s="21">
        <v>1</v>
      </c>
      <c r="H865" s="21">
        <v>0</v>
      </c>
      <c r="J865" s="20" t="s">
        <v>2315</v>
      </c>
      <c r="K865" t="s">
        <v>2314</v>
      </c>
    </row>
    <row r="866" spans="2:11" x14ac:dyDescent="0.2">
      <c r="B866" s="21">
        <f t="shared" si="13"/>
        <v>1255</v>
      </c>
      <c r="C866" t="s">
        <v>1034</v>
      </c>
      <c r="D866" t="s">
        <v>13</v>
      </c>
      <c r="E866" t="s">
        <v>2751</v>
      </c>
      <c r="F866" t="s">
        <v>27</v>
      </c>
      <c r="G866" s="21">
        <v>1</v>
      </c>
      <c r="H866" s="21">
        <v>0</v>
      </c>
      <c r="J866" s="20" t="s">
        <v>2315</v>
      </c>
      <c r="K866" t="s">
        <v>2314</v>
      </c>
    </row>
    <row r="867" spans="2:11" x14ac:dyDescent="0.2">
      <c r="B867" s="21">
        <f t="shared" si="13"/>
        <v>1254</v>
      </c>
      <c r="C867" t="s">
        <v>1048</v>
      </c>
      <c r="D867" t="s">
        <v>14</v>
      </c>
      <c r="E867" t="s">
        <v>2751</v>
      </c>
      <c r="F867" t="s">
        <v>49</v>
      </c>
      <c r="G867" s="21">
        <v>1</v>
      </c>
      <c r="H867" s="21">
        <v>0</v>
      </c>
      <c r="I867" t="s">
        <v>1053</v>
      </c>
      <c r="J867" s="20" t="s">
        <v>2315</v>
      </c>
      <c r="K867" t="s">
        <v>2315</v>
      </c>
    </row>
    <row r="868" spans="2:11" x14ac:dyDescent="0.2">
      <c r="B868" s="21">
        <f t="shared" si="13"/>
        <v>1253</v>
      </c>
      <c r="C868" t="s">
        <v>235</v>
      </c>
      <c r="D868" t="s">
        <v>13</v>
      </c>
      <c r="E868" t="s">
        <v>2751</v>
      </c>
      <c r="F868" t="s">
        <v>8</v>
      </c>
      <c r="G868" s="21">
        <v>1</v>
      </c>
      <c r="H868" s="21">
        <v>0</v>
      </c>
      <c r="I868" t="s">
        <v>1052</v>
      </c>
      <c r="J868" s="20" t="s">
        <v>2315</v>
      </c>
      <c r="K868" t="s">
        <v>2315</v>
      </c>
    </row>
    <row r="869" spans="2:11" x14ac:dyDescent="0.2">
      <c r="B869" s="21">
        <f t="shared" si="13"/>
        <v>1252</v>
      </c>
      <c r="C869" t="s">
        <v>975</v>
      </c>
      <c r="D869" t="s">
        <v>13</v>
      </c>
      <c r="E869" t="s">
        <v>2751</v>
      </c>
      <c r="F869" t="s">
        <v>43</v>
      </c>
      <c r="G869" s="21">
        <v>1</v>
      </c>
      <c r="H869" s="21">
        <v>0</v>
      </c>
      <c r="J869" s="20" t="s">
        <v>2316</v>
      </c>
      <c r="K869" t="s">
        <v>2315</v>
      </c>
    </row>
    <row r="870" spans="2:11" x14ac:dyDescent="0.2">
      <c r="B870" s="21">
        <f t="shared" si="13"/>
        <v>1251</v>
      </c>
      <c r="C870" t="s">
        <v>1034</v>
      </c>
      <c r="D870" t="s">
        <v>13</v>
      </c>
      <c r="E870" t="s">
        <v>2751</v>
      </c>
      <c r="F870" t="s">
        <v>27</v>
      </c>
      <c r="G870" s="21">
        <v>1</v>
      </c>
      <c r="H870" s="21">
        <v>0</v>
      </c>
      <c r="J870" s="20" t="s">
        <v>2316</v>
      </c>
      <c r="K870" t="s">
        <v>2315</v>
      </c>
    </row>
    <row r="871" spans="2:11" x14ac:dyDescent="0.2">
      <c r="B871" s="21">
        <f t="shared" si="13"/>
        <v>1250</v>
      </c>
      <c r="C871" t="s">
        <v>1048</v>
      </c>
      <c r="D871" t="s">
        <v>14</v>
      </c>
      <c r="E871" t="s">
        <v>2751</v>
      </c>
      <c r="F871" t="s">
        <v>27</v>
      </c>
      <c r="G871" s="21">
        <v>1</v>
      </c>
      <c r="H871" s="21">
        <v>0</v>
      </c>
      <c r="I871" t="s">
        <v>1051</v>
      </c>
      <c r="J871" s="20" t="s">
        <v>2316</v>
      </c>
      <c r="K871" t="s">
        <v>2316</v>
      </c>
    </row>
    <row r="872" spans="2:11" x14ac:dyDescent="0.2">
      <c r="B872" s="21">
        <f t="shared" si="13"/>
        <v>1249</v>
      </c>
      <c r="C872" t="s">
        <v>235</v>
      </c>
      <c r="D872" t="s">
        <v>13</v>
      </c>
      <c r="E872" t="s">
        <v>2751</v>
      </c>
      <c r="F872" t="s">
        <v>8</v>
      </c>
      <c r="G872" s="21">
        <v>1</v>
      </c>
      <c r="H872" s="21">
        <v>0</v>
      </c>
      <c r="I872" t="s">
        <v>1050</v>
      </c>
      <c r="J872" s="20" t="s">
        <v>2316</v>
      </c>
      <c r="K872" t="s">
        <v>2316</v>
      </c>
    </row>
    <row r="873" spans="2:11" x14ac:dyDescent="0.2">
      <c r="B873" s="21">
        <f t="shared" si="13"/>
        <v>1248</v>
      </c>
      <c r="C873" t="s">
        <v>345</v>
      </c>
      <c r="D873" t="s">
        <v>13</v>
      </c>
      <c r="E873" t="s">
        <v>2751</v>
      </c>
      <c r="F873" t="s">
        <v>8</v>
      </c>
      <c r="G873" s="21">
        <v>1</v>
      </c>
      <c r="H873" s="21">
        <v>0</v>
      </c>
      <c r="I873" t="s">
        <v>1050</v>
      </c>
      <c r="J873" s="20" t="s">
        <v>2316</v>
      </c>
      <c r="K873" t="s">
        <v>2316</v>
      </c>
    </row>
    <row r="874" spans="2:11" x14ac:dyDescent="0.2">
      <c r="B874" s="21">
        <f t="shared" si="13"/>
        <v>1247</v>
      </c>
      <c r="C874" t="s">
        <v>616</v>
      </c>
      <c r="D874" t="s">
        <v>13</v>
      </c>
      <c r="E874" t="s">
        <v>2751</v>
      </c>
      <c r="F874" t="s">
        <v>8</v>
      </c>
      <c r="G874" s="21">
        <v>1</v>
      </c>
      <c r="H874" s="21">
        <v>0</v>
      </c>
      <c r="I874" t="s">
        <v>1050</v>
      </c>
      <c r="J874" s="20" t="s">
        <v>2316</v>
      </c>
      <c r="K874" t="s">
        <v>2316</v>
      </c>
    </row>
    <row r="875" spans="2:11" x14ac:dyDescent="0.2">
      <c r="B875" s="21">
        <f t="shared" si="13"/>
        <v>1246</v>
      </c>
      <c r="C875" t="s">
        <v>975</v>
      </c>
      <c r="D875" t="s">
        <v>13</v>
      </c>
      <c r="E875" t="s">
        <v>2751</v>
      </c>
      <c r="F875" t="s">
        <v>43</v>
      </c>
      <c r="G875" s="21">
        <v>1</v>
      </c>
      <c r="H875" s="21">
        <v>0</v>
      </c>
      <c r="J875" s="20" t="s">
        <v>2317</v>
      </c>
      <c r="K875" t="s">
        <v>2316</v>
      </c>
    </row>
    <row r="876" spans="2:11" x14ac:dyDescent="0.2">
      <c r="B876" s="21">
        <f t="shared" si="13"/>
        <v>1245</v>
      </c>
      <c r="C876" t="s">
        <v>1034</v>
      </c>
      <c r="D876" t="s">
        <v>13</v>
      </c>
      <c r="E876" t="s">
        <v>2751</v>
      </c>
      <c r="F876" t="s">
        <v>27</v>
      </c>
      <c r="G876" s="21">
        <v>1</v>
      </c>
      <c r="H876" s="21">
        <v>0</v>
      </c>
      <c r="I876" t="s">
        <v>1044</v>
      </c>
      <c r="J876" s="20" t="s">
        <v>2317</v>
      </c>
      <c r="K876" t="s">
        <v>2316</v>
      </c>
    </row>
    <row r="877" spans="2:11" x14ac:dyDescent="0.2">
      <c r="B877" s="21">
        <f t="shared" si="13"/>
        <v>1244</v>
      </c>
      <c r="C877" t="s">
        <v>616</v>
      </c>
      <c r="D877" t="s">
        <v>13</v>
      </c>
      <c r="E877" t="s">
        <v>2751</v>
      </c>
      <c r="F877" t="s">
        <v>34</v>
      </c>
      <c r="G877" s="21">
        <v>1</v>
      </c>
      <c r="H877" s="21">
        <v>0</v>
      </c>
      <c r="I877" t="s">
        <v>1049</v>
      </c>
      <c r="J877" s="20" t="s">
        <v>2317</v>
      </c>
      <c r="K877" t="s">
        <v>2317</v>
      </c>
    </row>
    <row r="878" spans="2:11" x14ac:dyDescent="0.2">
      <c r="B878" s="21">
        <f t="shared" si="13"/>
        <v>1243</v>
      </c>
      <c r="C878" t="s">
        <v>345</v>
      </c>
      <c r="D878" t="s">
        <v>13</v>
      </c>
      <c r="E878" t="s">
        <v>2751</v>
      </c>
      <c r="F878" t="s">
        <v>34</v>
      </c>
      <c r="G878" s="21">
        <v>1</v>
      </c>
      <c r="H878" s="21">
        <v>0</v>
      </c>
      <c r="I878" t="s">
        <v>1047</v>
      </c>
      <c r="J878" s="20" t="s">
        <v>2317</v>
      </c>
      <c r="K878" t="s">
        <v>2317</v>
      </c>
    </row>
    <row r="879" spans="2:11" x14ac:dyDescent="0.2">
      <c r="B879" s="21">
        <f t="shared" si="13"/>
        <v>1242</v>
      </c>
      <c r="C879" t="s">
        <v>1048</v>
      </c>
      <c r="D879" t="s">
        <v>14</v>
      </c>
      <c r="E879" t="s">
        <v>2751</v>
      </c>
      <c r="F879" t="s">
        <v>27</v>
      </c>
      <c r="G879" s="21">
        <v>1</v>
      </c>
      <c r="H879" s="21">
        <v>0</v>
      </c>
      <c r="J879" s="20" t="s">
        <v>2317</v>
      </c>
      <c r="K879" t="s">
        <v>2316</v>
      </c>
    </row>
    <row r="880" spans="2:11" x14ac:dyDescent="0.2">
      <c r="B880" s="21">
        <f t="shared" si="13"/>
        <v>1241</v>
      </c>
      <c r="C880" t="s">
        <v>975</v>
      </c>
      <c r="D880" t="s">
        <v>13</v>
      </c>
      <c r="E880" t="s">
        <v>2751</v>
      </c>
      <c r="F880" t="s">
        <v>43</v>
      </c>
      <c r="G880" s="21">
        <v>1</v>
      </c>
      <c r="H880" s="21">
        <v>0</v>
      </c>
      <c r="J880" s="20" t="s">
        <v>2318</v>
      </c>
      <c r="K880" t="s">
        <v>2687</v>
      </c>
    </row>
    <row r="881" spans="2:11" x14ac:dyDescent="0.2">
      <c r="B881" s="21">
        <f t="shared" si="13"/>
        <v>1240</v>
      </c>
      <c r="C881" t="s">
        <v>1034</v>
      </c>
      <c r="D881" t="s">
        <v>13</v>
      </c>
      <c r="E881" t="s">
        <v>2751</v>
      </c>
      <c r="F881" t="s">
        <v>27</v>
      </c>
      <c r="G881" s="21">
        <v>1</v>
      </c>
      <c r="H881" s="21">
        <v>0</v>
      </c>
      <c r="I881" t="s">
        <v>1044</v>
      </c>
      <c r="J881" s="20" t="s">
        <v>2318</v>
      </c>
      <c r="K881" t="s">
        <v>2687</v>
      </c>
    </row>
    <row r="882" spans="2:11" x14ac:dyDescent="0.2">
      <c r="B882" s="21">
        <f t="shared" si="13"/>
        <v>1239</v>
      </c>
      <c r="C882" t="s">
        <v>235</v>
      </c>
      <c r="D882" t="s">
        <v>13</v>
      </c>
      <c r="E882" t="s">
        <v>2751</v>
      </c>
      <c r="F882" t="s">
        <v>34</v>
      </c>
      <c r="G882" s="21">
        <v>1</v>
      </c>
      <c r="H882" s="21">
        <v>0</v>
      </c>
      <c r="I882" t="s">
        <v>1045</v>
      </c>
      <c r="J882" s="20" t="s">
        <v>2318</v>
      </c>
      <c r="K882" t="s">
        <v>2318</v>
      </c>
    </row>
    <row r="883" spans="2:11" x14ac:dyDescent="0.2">
      <c r="B883" s="21">
        <f t="shared" si="13"/>
        <v>1238</v>
      </c>
      <c r="C883" t="s">
        <v>701</v>
      </c>
      <c r="D883" t="s">
        <v>13</v>
      </c>
      <c r="E883" t="s">
        <v>2751</v>
      </c>
      <c r="F883" t="s">
        <v>27</v>
      </c>
      <c r="G883" s="21">
        <v>1</v>
      </c>
      <c r="H883" s="21">
        <v>0</v>
      </c>
      <c r="I883" t="s">
        <v>1046</v>
      </c>
      <c r="J883" s="20" t="s">
        <v>2318</v>
      </c>
      <c r="K883" t="s">
        <v>2318</v>
      </c>
    </row>
    <row r="884" spans="2:11" x14ac:dyDescent="0.2">
      <c r="B884" s="21">
        <f t="shared" si="13"/>
        <v>1237</v>
      </c>
      <c r="C884" t="s">
        <v>616</v>
      </c>
      <c r="D884" t="s">
        <v>13</v>
      </c>
      <c r="E884" t="s">
        <v>2751</v>
      </c>
      <c r="F884" t="s">
        <v>34</v>
      </c>
      <c r="G884" s="21">
        <v>1</v>
      </c>
      <c r="H884" s="21">
        <v>0</v>
      </c>
      <c r="J884" s="20" t="s">
        <v>2318</v>
      </c>
      <c r="K884" t="s">
        <v>2687</v>
      </c>
    </row>
    <row r="885" spans="2:11" x14ac:dyDescent="0.2">
      <c r="B885" s="21">
        <f t="shared" si="13"/>
        <v>1236</v>
      </c>
      <c r="C885" t="s">
        <v>1048</v>
      </c>
      <c r="D885" t="s">
        <v>14</v>
      </c>
      <c r="E885" t="s">
        <v>2751</v>
      </c>
      <c r="F885" t="s">
        <v>27</v>
      </c>
      <c r="G885" s="21">
        <v>1</v>
      </c>
      <c r="H885" s="21">
        <v>0</v>
      </c>
      <c r="J885" s="20" t="s">
        <v>2318</v>
      </c>
      <c r="K885" t="s">
        <v>2687</v>
      </c>
    </row>
    <row r="886" spans="2:11" x14ac:dyDescent="0.2">
      <c r="B886" s="21">
        <f t="shared" si="13"/>
        <v>1235</v>
      </c>
      <c r="C886" t="s">
        <v>975</v>
      </c>
      <c r="D886" t="s">
        <v>13</v>
      </c>
      <c r="E886" t="s">
        <v>2751</v>
      </c>
      <c r="F886" t="s">
        <v>43</v>
      </c>
      <c r="G886" s="21">
        <v>1</v>
      </c>
      <c r="H886" s="21">
        <v>0</v>
      </c>
      <c r="J886" s="20" t="s">
        <v>2319</v>
      </c>
      <c r="K886" t="s">
        <v>2318</v>
      </c>
    </row>
    <row r="887" spans="2:11" x14ac:dyDescent="0.2">
      <c r="B887" s="21">
        <f t="shared" si="13"/>
        <v>1234</v>
      </c>
      <c r="C887" t="s">
        <v>345</v>
      </c>
      <c r="D887" t="s">
        <v>13</v>
      </c>
      <c r="E887" t="s">
        <v>2751</v>
      </c>
      <c r="F887" t="s">
        <v>34</v>
      </c>
      <c r="G887" s="21">
        <v>1</v>
      </c>
      <c r="H887" s="21">
        <v>0</v>
      </c>
      <c r="I887" t="s">
        <v>1039</v>
      </c>
      <c r="J887" s="20" t="s">
        <v>2319</v>
      </c>
      <c r="K887" t="s">
        <v>2319</v>
      </c>
    </row>
    <row r="888" spans="2:11" x14ac:dyDescent="0.2">
      <c r="B888" s="21">
        <f t="shared" si="13"/>
        <v>1233</v>
      </c>
      <c r="C888" t="s">
        <v>1034</v>
      </c>
      <c r="D888" t="s">
        <v>13</v>
      </c>
      <c r="E888" t="s">
        <v>2751</v>
      </c>
      <c r="F888" t="s">
        <v>27</v>
      </c>
      <c r="G888" s="21">
        <v>1</v>
      </c>
      <c r="H888" s="21">
        <v>0</v>
      </c>
      <c r="J888" s="20" t="s">
        <v>2319</v>
      </c>
      <c r="K888" t="s">
        <v>2318</v>
      </c>
    </row>
    <row r="889" spans="2:11" x14ac:dyDescent="0.2">
      <c r="B889" s="21">
        <f t="shared" si="13"/>
        <v>1232</v>
      </c>
      <c r="C889" t="s">
        <v>616</v>
      </c>
      <c r="D889" t="s">
        <v>13</v>
      </c>
      <c r="E889" t="s">
        <v>2751</v>
      </c>
      <c r="F889" t="s">
        <v>34</v>
      </c>
      <c r="G889" s="21">
        <v>1</v>
      </c>
      <c r="H889" s="21">
        <v>0</v>
      </c>
      <c r="I889" t="s">
        <v>1042</v>
      </c>
      <c r="J889" s="20" t="s">
        <v>2319</v>
      </c>
      <c r="K889" t="s">
        <v>2319</v>
      </c>
    </row>
    <row r="890" spans="2:11" x14ac:dyDescent="0.2">
      <c r="B890" s="21">
        <f t="shared" si="13"/>
        <v>1231</v>
      </c>
      <c r="C890" t="s">
        <v>616</v>
      </c>
      <c r="D890" t="s">
        <v>13</v>
      </c>
      <c r="E890" t="s">
        <v>2751</v>
      </c>
      <c r="F890" t="s">
        <v>8</v>
      </c>
      <c r="G890" s="21">
        <v>1</v>
      </c>
      <c r="H890" s="21">
        <v>0</v>
      </c>
      <c r="I890" t="s">
        <v>1041</v>
      </c>
      <c r="J890" s="20" t="s">
        <v>2319</v>
      </c>
      <c r="K890" t="s">
        <v>2319</v>
      </c>
    </row>
    <row r="891" spans="2:11" x14ac:dyDescent="0.2">
      <c r="B891" s="21">
        <f t="shared" si="13"/>
        <v>1230</v>
      </c>
      <c r="C891" t="s">
        <v>235</v>
      </c>
      <c r="D891" t="s">
        <v>13</v>
      </c>
      <c r="E891" t="s">
        <v>2751</v>
      </c>
      <c r="F891" t="s">
        <v>8</v>
      </c>
      <c r="G891" s="21">
        <v>1</v>
      </c>
      <c r="H891" s="21">
        <v>0</v>
      </c>
      <c r="I891" t="s">
        <v>1043</v>
      </c>
      <c r="J891" s="20" t="s">
        <v>2319</v>
      </c>
      <c r="K891" t="s">
        <v>2319</v>
      </c>
    </row>
    <row r="892" spans="2:11" x14ac:dyDescent="0.2">
      <c r="B892" s="21">
        <f t="shared" si="13"/>
        <v>1229</v>
      </c>
      <c r="C892" t="s">
        <v>701</v>
      </c>
      <c r="D892" t="s">
        <v>13</v>
      </c>
      <c r="E892" t="s">
        <v>2751</v>
      </c>
      <c r="F892" t="s">
        <v>27</v>
      </c>
      <c r="G892" s="21">
        <v>1</v>
      </c>
      <c r="H892" s="21">
        <v>0</v>
      </c>
      <c r="I892" t="s">
        <v>1040</v>
      </c>
      <c r="J892" s="20" t="s">
        <v>2319</v>
      </c>
      <c r="K892" t="s">
        <v>2318</v>
      </c>
    </row>
    <row r="893" spans="2:11" x14ac:dyDescent="0.2">
      <c r="B893" s="21">
        <f t="shared" si="13"/>
        <v>1228</v>
      </c>
      <c r="C893" t="s">
        <v>975</v>
      </c>
      <c r="D893" t="s">
        <v>13</v>
      </c>
      <c r="E893" t="s">
        <v>2751</v>
      </c>
      <c r="F893" t="s">
        <v>43</v>
      </c>
      <c r="G893" s="21">
        <v>1</v>
      </c>
      <c r="H893" s="21">
        <v>0</v>
      </c>
      <c r="J893" s="20" t="s">
        <v>2320</v>
      </c>
      <c r="K893" t="s">
        <v>2319</v>
      </c>
    </row>
    <row r="894" spans="2:11" x14ac:dyDescent="0.2">
      <c r="B894" s="21">
        <f t="shared" si="13"/>
        <v>1227</v>
      </c>
      <c r="C894" t="s">
        <v>235</v>
      </c>
      <c r="D894" t="s">
        <v>13</v>
      </c>
      <c r="E894" t="s">
        <v>2751</v>
      </c>
      <c r="F894" t="s">
        <v>42</v>
      </c>
      <c r="G894" s="21">
        <v>1</v>
      </c>
      <c r="H894" s="21">
        <v>0</v>
      </c>
      <c r="I894" t="s">
        <v>1036</v>
      </c>
      <c r="J894" s="20" t="s">
        <v>2320</v>
      </c>
      <c r="K894" t="s">
        <v>2320</v>
      </c>
    </row>
    <row r="895" spans="2:11" x14ac:dyDescent="0.2">
      <c r="B895" s="21">
        <f t="shared" si="13"/>
        <v>1226</v>
      </c>
      <c r="C895" t="s">
        <v>235</v>
      </c>
      <c r="D895" t="s">
        <v>13</v>
      </c>
      <c r="E895" t="s">
        <v>2751</v>
      </c>
      <c r="F895" t="s">
        <v>8</v>
      </c>
      <c r="G895" s="21">
        <v>1</v>
      </c>
      <c r="H895" s="21">
        <v>0</v>
      </c>
      <c r="I895" t="s">
        <v>1038</v>
      </c>
      <c r="J895" s="20" t="s">
        <v>2320</v>
      </c>
      <c r="K895" t="s">
        <v>2320</v>
      </c>
    </row>
    <row r="896" spans="2:11" x14ac:dyDescent="0.2">
      <c r="B896" s="21">
        <f t="shared" si="13"/>
        <v>1225</v>
      </c>
      <c r="C896" t="s">
        <v>345</v>
      </c>
      <c r="D896" t="s">
        <v>13</v>
      </c>
      <c r="E896" t="s">
        <v>2751</v>
      </c>
      <c r="F896" t="s">
        <v>34</v>
      </c>
      <c r="G896" s="21">
        <v>1</v>
      </c>
      <c r="H896" s="21">
        <v>0</v>
      </c>
      <c r="I896" t="s">
        <v>1035</v>
      </c>
      <c r="J896" s="20" t="s">
        <v>2320</v>
      </c>
      <c r="K896" t="s">
        <v>2320</v>
      </c>
    </row>
    <row r="897" spans="2:11" x14ac:dyDescent="0.2">
      <c r="B897" s="21">
        <f t="shared" si="13"/>
        <v>1224</v>
      </c>
      <c r="C897" t="s">
        <v>1034</v>
      </c>
      <c r="D897" t="s">
        <v>13</v>
      </c>
      <c r="E897" t="s">
        <v>2751</v>
      </c>
      <c r="F897" t="s">
        <v>27</v>
      </c>
      <c r="G897" s="21">
        <v>1</v>
      </c>
      <c r="H897" s="21">
        <v>0</v>
      </c>
      <c r="J897" s="20" t="s">
        <v>2320</v>
      </c>
      <c r="K897" t="s">
        <v>2319</v>
      </c>
    </row>
    <row r="898" spans="2:11" x14ac:dyDescent="0.2">
      <c r="B898" s="21">
        <f t="shared" si="13"/>
        <v>1223</v>
      </c>
      <c r="C898" t="s">
        <v>616</v>
      </c>
      <c r="D898" t="s">
        <v>13</v>
      </c>
      <c r="E898" t="s">
        <v>2751</v>
      </c>
      <c r="F898" t="s">
        <v>8</v>
      </c>
      <c r="G898" s="21">
        <v>1</v>
      </c>
      <c r="H898" s="21">
        <v>0</v>
      </c>
      <c r="I898" t="s">
        <v>1037</v>
      </c>
      <c r="J898" s="20" t="s">
        <v>2320</v>
      </c>
      <c r="K898" t="s">
        <v>2320</v>
      </c>
    </row>
    <row r="899" spans="2:11" x14ac:dyDescent="0.2">
      <c r="B899" s="21">
        <f t="shared" si="13"/>
        <v>1222</v>
      </c>
      <c r="C899" t="s">
        <v>975</v>
      </c>
      <c r="D899" t="s">
        <v>13</v>
      </c>
      <c r="E899" t="s">
        <v>2751</v>
      </c>
      <c r="F899" t="s">
        <v>43</v>
      </c>
      <c r="G899" s="21">
        <v>1</v>
      </c>
      <c r="H899" s="21">
        <v>0</v>
      </c>
      <c r="J899" s="20" t="s">
        <v>2321</v>
      </c>
      <c r="K899" t="s">
        <v>2320</v>
      </c>
    </row>
    <row r="900" spans="2:11" x14ac:dyDescent="0.2">
      <c r="B900" s="21">
        <f t="shared" si="13"/>
        <v>1221</v>
      </c>
      <c r="C900" t="s">
        <v>235</v>
      </c>
      <c r="D900" t="s">
        <v>13</v>
      </c>
      <c r="E900" t="s">
        <v>2751</v>
      </c>
      <c r="F900" t="s">
        <v>69</v>
      </c>
      <c r="G900" s="21">
        <v>1</v>
      </c>
      <c r="H900" s="21">
        <v>0</v>
      </c>
      <c r="I900" t="s">
        <v>1030</v>
      </c>
      <c r="J900" s="20" t="s">
        <v>2321</v>
      </c>
      <c r="K900" t="s">
        <v>2321</v>
      </c>
    </row>
    <row r="901" spans="2:11" x14ac:dyDescent="0.2">
      <c r="B901" s="21">
        <f t="shared" ref="B901:B964" si="14">B900-1</f>
        <v>1220</v>
      </c>
      <c r="C901" t="s">
        <v>616</v>
      </c>
      <c r="D901" t="s">
        <v>13</v>
      </c>
      <c r="E901" t="s">
        <v>2751</v>
      </c>
      <c r="F901" t="s">
        <v>64</v>
      </c>
      <c r="G901" s="21">
        <v>1</v>
      </c>
      <c r="H901" s="21">
        <v>0</v>
      </c>
      <c r="I901" t="s">
        <v>1032</v>
      </c>
      <c r="J901" s="20" t="s">
        <v>2321</v>
      </c>
      <c r="K901" t="s">
        <v>2321</v>
      </c>
    </row>
    <row r="902" spans="2:11" x14ac:dyDescent="0.2">
      <c r="B902" s="21">
        <f t="shared" si="14"/>
        <v>1219</v>
      </c>
      <c r="C902" t="s">
        <v>616</v>
      </c>
      <c r="D902" t="s">
        <v>13</v>
      </c>
      <c r="E902" t="s">
        <v>2751</v>
      </c>
      <c r="F902" t="s">
        <v>27</v>
      </c>
      <c r="G902" s="21">
        <v>1</v>
      </c>
      <c r="H902" s="21">
        <v>0</v>
      </c>
      <c r="I902" t="s">
        <v>1033</v>
      </c>
      <c r="J902" s="20" t="s">
        <v>2321</v>
      </c>
      <c r="K902" t="s">
        <v>2321</v>
      </c>
    </row>
    <row r="903" spans="2:11" x14ac:dyDescent="0.2">
      <c r="B903" s="21">
        <f t="shared" si="14"/>
        <v>1218</v>
      </c>
      <c r="C903" t="s">
        <v>235</v>
      </c>
      <c r="D903" t="s">
        <v>13</v>
      </c>
      <c r="E903" t="s">
        <v>2751</v>
      </c>
      <c r="F903" t="s">
        <v>43</v>
      </c>
      <c r="G903" s="21">
        <v>1</v>
      </c>
      <c r="H903" s="21">
        <v>0</v>
      </c>
      <c r="I903" t="s">
        <v>1031</v>
      </c>
      <c r="J903" s="20" t="s">
        <v>2321</v>
      </c>
      <c r="K903" t="s">
        <v>2320</v>
      </c>
    </row>
    <row r="904" spans="2:11" x14ac:dyDescent="0.2">
      <c r="B904" s="21">
        <f t="shared" si="14"/>
        <v>1217</v>
      </c>
      <c r="C904" t="s">
        <v>1034</v>
      </c>
      <c r="D904" t="s">
        <v>13</v>
      </c>
      <c r="E904" t="s">
        <v>2751</v>
      </c>
      <c r="F904" t="s">
        <v>27</v>
      </c>
      <c r="G904" s="21">
        <v>1</v>
      </c>
      <c r="H904" s="21">
        <v>0</v>
      </c>
      <c r="J904" s="20" t="s">
        <v>2321</v>
      </c>
      <c r="K904" t="s">
        <v>2320</v>
      </c>
    </row>
    <row r="905" spans="2:11" x14ac:dyDescent="0.2">
      <c r="B905" s="21">
        <f t="shared" si="14"/>
        <v>1216</v>
      </c>
      <c r="C905" t="s">
        <v>975</v>
      </c>
      <c r="D905" t="s">
        <v>13</v>
      </c>
      <c r="E905" t="s">
        <v>2751</v>
      </c>
      <c r="F905" t="s">
        <v>43</v>
      </c>
      <c r="G905" s="21">
        <v>1</v>
      </c>
      <c r="H905" s="21">
        <v>0</v>
      </c>
      <c r="J905" s="20" t="s">
        <v>2322</v>
      </c>
      <c r="K905" t="s">
        <v>2321</v>
      </c>
    </row>
    <row r="906" spans="2:11" x14ac:dyDescent="0.2">
      <c r="B906" s="21">
        <f t="shared" si="14"/>
        <v>1215</v>
      </c>
      <c r="C906" t="s">
        <v>235</v>
      </c>
      <c r="D906" t="s">
        <v>13</v>
      </c>
      <c r="E906" t="s">
        <v>2751</v>
      </c>
      <c r="F906" t="s">
        <v>34</v>
      </c>
      <c r="G906" s="21">
        <v>1</v>
      </c>
      <c r="H906" s="21">
        <v>0</v>
      </c>
      <c r="I906" t="s">
        <v>1029</v>
      </c>
      <c r="J906" s="20" t="s">
        <v>2322</v>
      </c>
      <c r="K906" t="s">
        <v>2322</v>
      </c>
    </row>
    <row r="907" spans="2:11" x14ac:dyDescent="0.2">
      <c r="B907" s="21">
        <f t="shared" si="14"/>
        <v>1214</v>
      </c>
      <c r="C907" t="s">
        <v>235</v>
      </c>
      <c r="D907" t="s">
        <v>13</v>
      </c>
      <c r="E907" t="s">
        <v>2751</v>
      </c>
      <c r="F907" t="s">
        <v>42</v>
      </c>
      <c r="G907" s="21">
        <v>1</v>
      </c>
      <c r="H907" s="21">
        <v>0</v>
      </c>
      <c r="I907" t="s">
        <v>1027</v>
      </c>
      <c r="J907" s="20" t="s">
        <v>2322</v>
      </c>
      <c r="K907" t="s">
        <v>2322</v>
      </c>
    </row>
    <row r="908" spans="2:11" x14ac:dyDescent="0.2">
      <c r="B908" s="21">
        <f t="shared" si="14"/>
        <v>1213</v>
      </c>
      <c r="C908" t="s">
        <v>235</v>
      </c>
      <c r="D908" t="s">
        <v>13</v>
      </c>
      <c r="E908" t="s">
        <v>2751</v>
      </c>
      <c r="F908" t="s">
        <v>42</v>
      </c>
      <c r="G908" s="21">
        <v>1</v>
      </c>
      <c r="H908" s="21">
        <v>0</v>
      </c>
      <c r="I908" t="s">
        <v>1028</v>
      </c>
      <c r="J908" s="20" t="s">
        <v>2322</v>
      </c>
      <c r="K908" t="s">
        <v>2322</v>
      </c>
    </row>
    <row r="909" spans="2:11" x14ac:dyDescent="0.2">
      <c r="B909" s="21">
        <f t="shared" si="14"/>
        <v>1212</v>
      </c>
      <c r="C909" t="s">
        <v>1034</v>
      </c>
      <c r="D909" t="s">
        <v>13</v>
      </c>
      <c r="E909" t="s">
        <v>2751</v>
      </c>
      <c r="F909" t="s">
        <v>27</v>
      </c>
      <c r="G909" s="21">
        <v>1</v>
      </c>
      <c r="H909" s="21">
        <v>0</v>
      </c>
      <c r="J909" s="20" t="s">
        <v>2322</v>
      </c>
      <c r="K909" t="s">
        <v>2321</v>
      </c>
    </row>
    <row r="910" spans="2:11" x14ac:dyDescent="0.2">
      <c r="B910" s="21">
        <f t="shared" si="14"/>
        <v>1211</v>
      </c>
      <c r="C910" t="s">
        <v>975</v>
      </c>
      <c r="D910" t="s">
        <v>13</v>
      </c>
      <c r="E910" t="s">
        <v>2751</v>
      </c>
      <c r="F910" t="s">
        <v>43</v>
      </c>
      <c r="G910" s="21">
        <v>1</v>
      </c>
      <c r="H910" s="21">
        <v>0</v>
      </c>
      <c r="J910" s="20" t="s">
        <v>2323</v>
      </c>
      <c r="K910" t="s">
        <v>2688</v>
      </c>
    </row>
    <row r="911" spans="2:11" x14ac:dyDescent="0.2">
      <c r="B911" s="21">
        <f t="shared" si="14"/>
        <v>1210</v>
      </c>
      <c r="C911" t="s">
        <v>345</v>
      </c>
      <c r="D911" t="s">
        <v>13</v>
      </c>
      <c r="E911" t="s">
        <v>2751</v>
      </c>
      <c r="F911" t="s">
        <v>34</v>
      </c>
      <c r="G911" s="21">
        <v>1</v>
      </c>
      <c r="H911" s="21">
        <v>0</v>
      </c>
      <c r="I911" t="s">
        <v>1022</v>
      </c>
      <c r="J911" s="20" t="s">
        <v>2323</v>
      </c>
      <c r="K911" t="s">
        <v>2323</v>
      </c>
    </row>
    <row r="912" spans="2:11" x14ac:dyDescent="0.2">
      <c r="B912" s="21">
        <f t="shared" si="14"/>
        <v>1209</v>
      </c>
      <c r="C912" t="s">
        <v>235</v>
      </c>
      <c r="D912" t="s">
        <v>13</v>
      </c>
      <c r="E912" t="s">
        <v>2751</v>
      </c>
      <c r="F912" t="s">
        <v>34</v>
      </c>
      <c r="G912" s="21">
        <v>1</v>
      </c>
      <c r="H912" s="21">
        <v>0</v>
      </c>
      <c r="I912" t="s">
        <v>1024</v>
      </c>
      <c r="J912" s="20" t="s">
        <v>2323</v>
      </c>
      <c r="K912" t="s">
        <v>2323</v>
      </c>
    </row>
    <row r="913" spans="2:11" x14ac:dyDescent="0.2">
      <c r="B913" s="21">
        <f t="shared" si="14"/>
        <v>1208</v>
      </c>
      <c r="C913" t="s">
        <v>235</v>
      </c>
      <c r="D913" t="s">
        <v>13</v>
      </c>
      <c r="E913" t="s">
        <v>2751</v>
      </c>
      <c r="F913" t="s">
        <v>42</v>
      </c>
      <c r="G913" s="21">
        <v>1</v>
      </c>
      <c r="H913" s="21">
        <v>0</v>
      </c>
      <c r="I913" t="s">
        <v>1023</v>
      </c>
      <c r="J913" s="20" t="s">
        <v>2323</v>
      </c>
      <c r="K913" t="s">
        <v>2323</v>
      </c>
    </row>
    <row r="914" spans="2:11" x14ac:dyDescent="0.2">
      <c r="B914" s="21">
        <f t="shared" si="14"/>
        <v>1207</v>
      </c>
      <c r="C914" t="s">
        <v>235</v>
      </c>
      <c r="D914" t="s">
        <v>13</v>
      </c>
      <c r="E914" t="s">
        <v>2751</v>
      </c>
      <c r="F914" t="s">
        <v>42</v>
      </c>
      <c r="G914" s="21">
        <v>1</v>
      </c>
      <c r="H914" s="21">
        <v>0</v>
      </c>
      <c r="I914" t="s">
        <v>1025</v>
      </c>
      <c r="J914" s="20" t="s">
        <v>2323</v>
      </c>
      <c r="K914" t="s">
        <v>2323</v>
      </c>
    </row>
    <row r="915" spans="2:11" x14ac:dyDescent="0.2">
      <c r="B915" s="21">
        <f t="shared" si="14"/>
        <v>1206</v>
      </c>
      <c r="C915" t="s">
        <v>616</v>
      </c>
      <c r="D915" t="s">
        <v>13</v>
      </c>
      <c r="E915" t="s">
        <v>2751</v>
      </c>
      <c r="F915" t="s">
        <v>8</v>
      </c>
      <c r="G915" s="21">
        <v>1</v>
      </c>
      <c r="H915" s="21">
        <v>0</v>
      </c>
      <c r="I915" t="s">
        <v>1026</v>
      </c>
      <c r="J915" s="20" t="s">
        <v>2323</v>
      </c>
      <c r="K915" t="s">
        <v>2323</v>
      </c>
    </row>
    <row r="916" spans="2:11" x14ac:dyDescent="0.2">
      <c r="B916" s="21">
        <f t="shared" si="14"/>
        <v>1205</v>
      </c>
      <c r="C916" t="s">
        <v>1034</v>
      </c>
      <c r="D916" t="s">
        <v>13</v>
      </c>
      <c r="E916" t="s">
        <v>2751</v>
      </c>
      <c r="F916" t="s">
        <v>27</v>
      </c>
      <c r="G916" s="21">
        <v>1</v>
      </c>
      <c r="H916" s="21">
        <v>0</v>
      </c>
      <c r="J916" s="20" t="s">
        <v>2323</v>
      </c>
      <c r="K916" t="s">
        <v>2688</v>
      </c>
    </row>
    <row r="917" spans="2:11" x14ac:dyDescent="0.2">
      <c r="B917" s="21">
        <f t="shared" si="14"/>
        <v>1204</v>
      </c>
      <c r="C917" t="s">
        <v>975</v>
      </c>
      <c r="D917" t="s">
        <v>13</v>
      </c>
      <c r="E917" t="s">
        <v>2751</v>
      </c>
      <c r="F917" t="s">
        <v>43</v>
      </c>
      <c r="G917" s="21">
        <v>1</v>
      </c>
      <c r="H917" s="21">
        <v>0</v>
      </c>
      <c r="J917" s="20" t="s">
        <v>2324</v>
      </c>
      <c r="K917" t="s">
        <v>2323</v>
      </c>
    </row>
    <row r="918" spans="2:11" x14ac:dyDescent="0.2">
      <c r="B918" s="21">
        <f t="shared" si="14"/>
        <v>1203</v>
      </c>
      <c r="C918" t="s">
        <v>235</v>
      </c>
      <c r="D918" t="s">
        <v>13</v>
      </c>
      <c r="E918" t="s">
        <v>2751</v>
      </c>
      <c r="F918" t="s">
        <v>34</v>
      </c>
      <c r="G918" s="21">
        <v>1</v>
      </c>
      <c r="H918" s="21">
        <v>0</v>
      </c>
      <c r="I918" t="s">
        <v>1019</v>
      </c>
      <c r="J918" s="20" t="s">
        <v>2324</v>
      </c>
      <c r="K918" t="s">
        <v>2324</v>
      </c>
    </row>
    <row r="919" spans="2:11" x14ac:dyDescent="0.2">
      <c r="B919" s="21">
        <f t="shared" si="14"/>
        <v>1202</v>
      </c>
      <c r="C919" t="s">
        <v>345</v>
      </c>
      <c r="D919" t="s">
        <v>13</v>
      </c>
      <c r="E919" t="s">
        <v>2751</v>
      </c>
      <c r="F919" t="s">
        <v>31</v>
      </c>
      <c r="G919" s="21">
        <v>1</v>
      </c>
      <c r="H919" s="21">
        <v>0</v>
      </c>
      <c r="I919" t="s">
        <v>1021</v>
      </c>
      <c r="J919" s="20" t="s">
        <v>2324</v>
      </c>
      <c r="K919" t="s">
        <v>2324</v>
      </c>
    </row>
    <row r="920" spans="2:11" x14ac:dyDescent="0.2">
      <c r="B920" s="21">
        <f t="shared" si="14"/>
        <v>1201</v>
      </c>
      <c r="C920" t="s">
        <v>321</v>
      </c>
      <c r="D920" t="s">
        <v>14</v>
      </c>
      <c r="E920" t="s">
        <v>2751</v>
      </c>
      <c r="F920" t="s">
        <v>21</v>
      </c>
      <c r="G920" s="21">
        <v>1</v>
      </c>
      <c r="H920" s="21">
        <v>0</v>
      </c>
      <c r="I920" t="s">
        <v>1020</v>
      </c>
      <c r="J920" s="20" t="s">
        <v>2324</v>
      </c>
      <c r="K920" t="s">
        <v>2324</v>
      </c>
    </row>
    <row r="921" spans="2:11" x14ac:dyDescent="0.2">
      <c r="B921" s="21">
        <f t="shared" si="14"/>
        <v>1200</v>
      </c>
      <c r="C921" t="s">
        <v>975</v>
      </c>
      <c r="D921" t="s">
        <v>13</v>
      </c>
      <c r="E921" t="s">
        <v>2751</v>
      </c>
      <c r="F921" t="s">
        <v>43</v>
      </c>
      <c r="G921" s="21">
        <v>1</v>
      </c>
      <c r="H921" s="21">
        <v>0</v>
      </c>
      <c r="J921" s="20" t="s">
        <v>2325</v>
      </c>
      <c r="K921" t="s">
        <v>2324</v>
      </c>
    </row>
    <row r="922" spans="2:11" x14ac:dyDescent="0.2">
      <c r="B922" s="21">
        <f t="shared" si="14"/>
        <v>1199</v>
      </c>
      <c r="C922" t="s">
        <v>235</v>
      </c>
      <c r="D922" t="s">
        <v>13</v>
      </c>
      <c r="E922" t="s">
        <v>2751</v>
      </c>
      <c r="F922" t="s">
        <v>8</v>
      </c>
      <c r="G922" s="21">
        <v>1</v>
      </c>
      <c r="H922" s="21">
        <v>0</v>
      </c>
      <c r="J922" s="20" t="s">
        <v>2325</v>
      </c>
      <c r="K922" t="s">
        <v>2324</v>
      </c>
    </row>
    <row r="923" spans="2:11" x14ac:dyDescent="0.2">
      <c r="B923" s="21">
        <f t="shared" si="14"/>
        <v>1198</v>
      </c>
      <c r="C923" t="s">
        <v>235</v>
      </c>
      <c r="D923" t="s">
        <v>13</v>
      </c>
      <c r="E923" t="s">
        <v>2751</v>
      </c>
      <c r="F923" t="s">
        <v>34</v>
      </c>
      <c r="G923" s="21">
        <v>1</v>
      </c>
      <c r="H923" s="21">
        <v>0</v>
      </c>
      <c r="I923" t="s">
        <v>1018</v>
      </c>
      <c r="J923" s="20" t="s">
        <v>2325</v>
      </c>
      <c r="K923" t="s">
        <v>2324</v>
      </c>
    </row>
    <row r="924" spans="2:11" x14ac:dyDescent="0.2">
      <c r="B924" s="21">
        <f t="shared" si="14"/>
        <v>1197</v>
      </c>
      <c r="C924" t="s">
        <v>345</v>
      </c>
      <c r="D924" t="s">
        <v>13</v>
      </c>
      <c r="E924" t="s">
        <v>2751</v>
      </c>
      <c r="F924" t="s">
        <v>31</v>
      </c>
      <c r="G924" s="21">
        <v>1</v>
      </c>
      <c r="H924" s="21">
        <v>0</v>
      </c>
      <c r="J924" s="20" t="s">
        <v>2325</v>
      </c>
      <c r="K924" t="s">
        <v>2324</v>
      </c>
    </row>
    <row r="925" spans="2:11" x14ac:dyDescent="0.2">
      <c r="B925" s="21">
        <f t="shared" si="14"/>
        <v>1196</v>
      </c>
      <c r="C925" t="s">
        <v>975</v>
      </c>
      <c r="D925" t="s">
        <v>13</v>
      </c>
      <c r="E925" t="s">
        <v>2751</v>
      </c>
      <c r="F925" t="s">
        <v>43</v>
      </c>
      <c r="G925" s="21">
        <v>1</v>
      </c>
      <c r="H925" s="21">
        <v>0</v>
      </c>
      <c r="J925" s="20" t="s">
        <v>2326</v>
      </c>
      <c r="K925" t="s">
        <v>2325</v>
      </c>
    </row>
    <row r="926" spans="2:11" x14ac:dyDescent="0.2">
      <c r="B926" s="21">
        <f t="shared" si="14"/>
        <v>1195</v>
      </c>
      <c r="C926" t="s">
        <v>235</v>
      </c>
      <c r="D926" t="s">
        <v>13</v>
      </c>
      <c r="E926" t="s">
        <v>2751</v>
      </c>
      <c r="F926" t="s">
        <v>8</v>
      </c>
      <c r="G926" s="21">
        <v>1</v>
      </c>
      <c r="H926" s="21">
        <v>0</v>
      </c>
      <c r="J926" s="20" t="s">
        <v>2326</v>
      </c>
      <c r="K926" t="s">
        <v>2325</v>
      </c>
    </row>
    <row r="927" spans="2:11" x14ac:dyDescent="0.2">
      <c r="B927" s="21">
        <f t="shared" si="14"/>
        <v>1194</v>
      </c>
      <c r="C927" t="s">
        <v>345</v>
      </c>
      <c r="D927" t="s">
        <v>13</v>
      </c>
      <c r="E927" t="s">
        <v>2751</v>
      </c>
      <c r="F927" t="s">
        <v>27</v>
      </c>
      <c r="G927" s="21">
        <v>1</v>
      </c>
      <c r="H927" s="21">
        <v>0</v>
      </c>
      <c r="I927" t="s">
        <v>1017</v>
      </c>
      <c r="J927" s="20" t="s">
        <v>2326</v>
      </c>
      <c r="K927" t="s">
        <v>2326</v>
      </c>
    </row>
    <row r="928" spans="2:11" x14ac:dyDescent="0.2">
      <c r="B928" s="21">
        <f t="shared" si="14"/>
        <v>1193</v>
      </c>
      <c r="C928" t="s">
        <v>975</v>
      </c>
      <c r="D928" t="s">
        <v>13</v>
      </c>
      <c r="E928" t="s">
        <v>2751</v>
      </c>
      <c r="F928" t="s">
        <v>43</v>
      </c>
      <c r="G928" s="21">
        <v>1</v>
      </c>
      <c r="H928" s="21">
        <v>0</v>
      </c>
      <c r="J928" s="20" t="s">
        <v>2327</v>
      </c>
      <c r="K928" t="s">
        <v>2326</v>
      </c>
    </row>
    <row r="929" spans="2:11" x14ac:dyDescent="0.2">
      <c r="B929" s="21">
        <f t="shared" si="14"/>
        <v>1192</v>
      </c>
      <c r="C929" t="s">
        <v>235</v>
      </c>
      <c r="D929" t="s">
        <v>13</v>
      </c>
      <c r="E929" t="s">
        <v>2751</v>
      </c>
      <c r="F929" t="s">
        <v>43</v>
      </c>
      <c r="G929" s="21">
        <v>1</v>
      </c>
      <c r="H929" s="21">
        <v>0</v>
      </c>
      <c r="I929" t="s">
        <v>1016</v>
      </c>
      <c r="J929" s="20" t="s">
        <v>2327</v>
      </c>
      <c r="K929" t="s">
        <v>2327</v>
      </c>
    </row>
    <row r="930" spans="2:11" x14ac:dyDescent="0.2">
      <c r="B930" s="21">
        <f t="shared" si="14"/>
        <v>1191</v>
      </c>
      <c r="C930" t="s">
        <v>235</v>
      </c>
      <c r="D930" t="s">
        <v>13</v>
      </c>
      <c r="E930" t="s">
        <v>2751</v>
      </c>
      <c r="F930" t="s">
        <v>34</v>
      </c>
      <c r="G930" s="21">
        <v>1</v>
      </c>
      <c r="H930" s="21">
        <v>0</v>
      </c>
      <c r="I930" t="s">
        <v>1015</v>
      </c>
      <c r="J930" s="20" t="s">
        <v>2327</v>
      </c>
      <c r="K930" t="s">
        <v>2327</v>
      </c>
    </row>
    <row r="931" spans="2:11" x14ac:dyDescent="0.2">
      <c r="B931" s="21">
        <f t="shared" si="14"/>
        <v>1190</v>
      </c>
      <c r="C931" t="s">
        <v>235</v>
      </c>
      <c r="D931" t="s">
        <v>13</v>
      </c>
      <c r="E931" t="s">
        <v>2751</v>
      </c>
      <c r="F931" t="s">
        <v>8</v>
      </c>
      <c r="G931" s="21">
        <v>1</v>
      </c>
      <c r="H931" s="21">
        <v>0</v>
      </c>
      <c r="I931" t="s">
        <v>1014</v>
      </c>
      <c r="J931" s="20" t="s">
        <v>2327</v>
      </c>
      <c r="K931" t="s">
        <v>2326</v>
      </c>
    </row>
    <row r="932" spans="2:11" x14ac:dyDescent="0.2">
      <c r="B932" s="21">
        <f t="shared" si="14"/>
        <v>1189</v>
      </c>
      <c r="C932" t="s">
        <v>975</v>
      </c>
      <c r="D932" t="s">
        <v>13</v>
      </c>
      <c r="E932" t="s">
        <v>2751</v>
      </c>
      <c r="F932" t="s">
        <v>43</v>
      </c>
      <c r="G932" s="21">
        <v>1</v>
      </c>
      <c r="H932" s="21">
        <v>0</v>
      </c>
      <c r="I932" t="s">
        <v>1010</v>
      </c>
      <c r="J932" s="20" t="s">
        <v>2328</v>
      </c>
      <c r="K932" t="s">
        <v>2689</v>
      </c>
    </row>
    <row r="933" spans="2:11" x14ac:dyDescent="0.2">
      <c r="B933" s="21">
        <f t="shared" si="14"/>
        <v>1188</v>
      </c>
      <c r="C933" t="s">
        <v>235</v>
      </c>
      <c r="D933" t="s">
        <v>13</v>
      </c>
      <c r="E933" t="s">
        <v>2751</v>
      </c>
      <c r="F933" t="s">
        <v>43</v>
      </c>
      <c r="G933" s="21">
        <v>1</v>
      </c>
      <c r="H933" s="21">
        <v>0</v>
      </c>
      <c r="I933" t="s">
        <v>1012</v>
      </c>
      <c r="J933" s="20" t="s">
        <v>2328</v>
      </c>
      <c r="K933" t="s">
        <v>2689</v>
      </c>
    </row>
    <row r="934" spans="2:11" x14ac:dyDescent="0.2">
      <c r="B934" s="21">
        <f t="shared" si="14"/>
        <v>1187</v>
      </c>
      <c r="C934" t="s">
        <v>235</v>
      </c>
      <c r="D934" t="s">
        <v>13</v>
      </c>
      <c r="E934" t="s">
        <v>2751</v>
      </c>
      <c r="F934" t="s">
        <v>34</v>
      </c>
      <c r="G934" s="21">
        <v>1</v>
      </c>
      <c r="H934" s="21">
        <v>0</v>
      </c>
      <c r="I934" t="s">
        <v>1011</v>
      </c>
      <c r="J934" s="20" t="s">
        <v>2328</v>
      </c>
      <c r="K934" t="s">
        <v>2689</v>
      </c>
    </row>
    <row r="935" spans="2:11" x14ac:dyDescent="0.2">
      <c r="B935" s="21">
        <f t="shared" si="14"/>
        <v>1186</v>
      </c>
      <c r="C935" t="s">
        <v>891</v>
      </c>
      <c r="D935" t="s">
        <v>13</v>
      </c>
      <c r="E935" t="s">
        <v>2751</v>
      </c>
      <c r="F935" t="s">
        <v>64</v>
      </c>
      <c r="G935" s="21">
        <v>1</v>
      </c>
      <c r="H935" s="21">
        <v>0</v>
      </c>
      <c r="I935" t="s">
        <v>1013</v>
      </c>
      <c r="J935" s="20" t="s">
        <v>2328</v>
      </c>
      <c r="K935" t="s">
        <v>2328</v>
      </c>
    </row>
    <row r="936" spans="2:11" x14ac:dyDescent="0.2">
      <c r="B936" s="21">
        <f t="shared" si="14"/>
        <v>1185</v>
      </c>
      <c r="C936" t="s">
        <v>975</v>
      </c>
      <c r="D936" t="s">
        <v>13</v>
      </c>
      <c r="E936" t="s">
        <v>2751</v>
      </c>
      <c r="F936" t="s">
        <v>43</v>
      </c>
      <c r="G936" s="21">
        <v>1</v>
      </c>
      <c r="H936" s="21">
        <v>0</v>
      </c>
      <c r="J936" s="20" t="s">
        <v>2329</v>
      </c>
      <c r="K936" t="s">
        <v>2328</v>
      </c>
    </row>
    <row r="937" spans="2:11" x14ac:dyDescent="0.2">
      <c r="B937" s="21">
        <f t="shared" si="14"/>
        <v>1184</v>
      </c>
      <c r="C937" t="s">
        <v>235</v>
      </c>
      <c r="D937" t="s">
        <v>13</v>
      </c>
      <c r="E937" t="s">
        <v>2751</v>
      </c>
      <c r="F937" t="s">
        <v>34</v>
      </c>
      <c r="G937" s="21">
        <v>1</v>
      </c>
      <c r="H937" s="21">
        <v>0</v>
      </c>
      <c r="I937" t="s">
        <v>1007</v>
      </c>
      <c r="J937" s="20" t="s">
        <v>2329</v>
      </c>
      <c r="K937" t="s">
        <v>2329</v>
      </c>
    </row>
    <row r="938" spans="2:11" x14ac:dyDescent="0.2">
      <c r="B938" s="21">
        <f t="shared" si="14"/>
        <v>1183</v>
      </c>
      <c r="C938" t="s">
        <v>235</v>
      </c>
      <c r="D938" t="s">
        <v>13</v>
      </c>
      <c r="E938" t="s">
        <v>2751</v>
      </c>
      <c r="F938" t="s">
        <v>42</v>
      </c>
      <c r="G938" s="21">
        <v>1</v>
      </c>
      <c r="H938" s="21">
        <v>0</v>
      </c>
      <c r="I938" t="s">
        <v>1008</v>
      </c>
      <c r="J938" s="20" t="s">
        <v>2329</v>
      </c>
      <c r="K938" t="s">
        <v>2328</v>
      </c>
    </row>
    <row r="939" spans="2:11" x14ac:dyDescent="0.2">
      <c r="B939" s="21">
        <f t="shared" si="14"/>
        <v>1182</v>
      </c>
      <c r="C939" t="s">
        <v>891</v>
      </c>
      <c r="D939" t="s">
        <v>13</v>
      </c>
      <c r="E939" t="s">
        <v>2751</v>
      </c>
      <c r="F939" t="s">
        <v>64</v>
      </c>
      <c r="G939" s="21">
        <v>1</v>
      </c>
      <c r="H939" s="21">
        <v>0</v>
      </c>
      <c r="I939" t="s">
        <v>1009</v>
      </c>
      <c r="J939" s="20" t="s">
        <v>2329</v>
      </c>
      <c r="K939" t="s">
        <v>2329</v>
      </c>
    </row>
    <row r="940" spans="2:11" x14ac:dyDescent="0.2">
      <c r="B940" s="21">
        <f t="shared" si="14"/>
        <v>1181</v>
      </c>
      <c r="C940" t="s">
        <v>975</v>
      </c>
      <c r="D940" t="s">
        <v>13</v>
      </c>
      <c r="E940" t="s">
        <v>2751</v>
      </c>
      <c r="F940" t="s">
        <v>43</v>
      </c>
      <c r="G940" s="21">
        <v>1</v>
      </c>
      <c r="H940" s="21">
        <v>0</v>
      </c>
      <c r="J940" s="20" t="s">
        <v>2330</v>
      </c>
      <c r="K940" t="s">
        <v>2329</v>
      </c>
    </row>
    <row r="941" spans="2:11" x14ac:dyDescent="0.2">
      <c r="B941" s="21">
        <f t="shared" si="14"/>
        <v>1180</v>
      </c>
      <c r="C941" t="s">
        <v>235</v>
      </c>
      <c r="D941" t="s">
        <v>13</v>
      </c>
      <c r="E941" t="s">
        <v>2751</v>
      </c>
      <c r="F941" t="s">
        <v>34</v>
      </c>
      <c r="G941" s="21">
        <v>1</v>
      </c>
      <c r="H941" s="21">
        <v>0</v>
      </c>
      <c r="I941" t="s">
        <v>1006</v>
      </c>
      <c r="J941" s="20" t="s">
        <v>2330</v>
      </c>
      <c r="K941" t="s">
        <v>2329</v>
      </c>
    </row>
    <row r="942" spans="2:11" x14ac:dyDescent="0.2">
      <c r="B942" s="21">
        <f t="shared" si="14"/>
        <v>1179</v>
      </c>
      <c r="C942" t="s">
        <v>1004</v>
      </c>
      <c r="D942" t="s">
        <v>14</v>
      </c>
      <c r="E942" t="s">
        <v>2751</v>
      </c>
      <c r="F942" t="s">
        <v>27</v>
      </c>
      <c r="G942" s="21">
        <v>1</v>
      </c>
      <c r="H942" s="21">
        <v>0</v>
      </c>
      <c r="I942" t="s">
        <v>1005</v>
      </c>
      <c r="J942" s="20" t="s">
        <v>2330</v>
      </c>
      <c r="K942" t="s">
        <v>2330</v>
      </c>
    </row>
    <row r="943" spans="2:11" x14ac:dyDescent="0.2">
      <c r="B943" s="21">
        <f t="shared" si="14"/>
        <v>1178</v>
      </c>
      <c r="C943" t="s">
        <v>975</v>
      </c>
      <c r="D943" t="s">
        <v>13</v>
      </c>
      <c r="E943" t="s">
        <v>2751</v>
      </c>
      <c r="F943" t="s">
        <v>43</v>
      </c>
      <c r="G943" s="21">
        <v>1</v>
      </c>
      <c r="H943" s="21">
        <v>0</v>
      </c>
      <c r="J943" s="20" t="s">
        <v>2331</v>
      </c>
      <c r="K943" t="s">
        <v>2330</v>
      </c>
    </row>
    <row r="944" spans="2:11" x14ac:dyDescent="0.2">
      <c r="B944" s="21">
        <f t="shared" si="14"/>
        <v>1177</v>
      </c>
      <c r="C944" t="s">
        <v>235</v>
      </c>
      <c r="D944" t="s">
        <v>13</v>
      </c>
      <c r="E944" t="s">
        <v>2751</v>
      </c>
      <c r="F944" t="s">
        <v>34</v>
      </c>
      <c r="G944" s="21">
        <v>1</v>
      </c>
      <c r="H944" s="21">
        <v>0</v>
      </c>
      <c r="I944" t="s">
        <v>1003</v>
      </c>
      <c r="J944" s="20" t="s">
        <v>2331</v>
      </c>
      <c r="K944" t="s">
        <v>2330</v>
      </c>
    </row>
    <row r="945" spans="2:11" x14ac:dyDescent="0.2">
      <c r="B945" s="21">
        <f t="shared" si="14"/>
        <v>1176</v>
      </c>
      <c r="C945" t="s">
        <v>616</v>
      </c>
      <c r="D945" t="s">
        <v>13</v>
      </c>
      <c r="E945" t="s">
        <v>2751</v>
      </c>
      <c r="F945" t="s">
        <v>43</v>
      </c>
      <c r="G945" s="21">
        <v>1</v>
      </c>
      <c r="H945" s="21">
        <v>0</v>
      </c>
      <c r="I945" t="s">
        <v>1002</v>
      </c>
      <c r="J945" s="20" t="s">
        <v>2331</v>
      </c>
      <c r="K945" t="s">
        <v>2331</v>
      </c>
    </row>
    <row r="946" spans="2:11" x14ac:dyDescent="0.2">
      <c r="B946" s="21">
        <f t="shared" si="14"/>
        <v>1175</v>
      </c>
      <c r="C946" t="s">
        <v>891</v>
      </c>
      <c r="D946" t="s">
        <v>13</v>
      </c>
      <c r="E946" t="s">
        <v>2751</v>
      </c>
      <c r="F946" t="s">
        <v>28</v>
      </c>
      <c r="G946" s="21">
        <v>1</v>
      </c>
      <c r="H946" s="21">
        <v>0</v>
      </c>
      <c r="I946" t="s">
        <v>1001</v>
      </c>
      <c r="J946" s="20" t="s">
        <v>2331</v>
      </c>
      <c r="K946" t="s">
        <v>2331</v>
      </c>
    </row>
    <row r="947" spans="2:11" x14ac:dyDescent="0.2">
      <c r="B947" s="21">
        <f t="shared" si="14"/>
        <v>1174</v>
      </c>
      <c r="C947" t="s">
        <v>1004</v>
      </c>
      <c r="D947" t="s">
        <v>14</v>
      </c>
      <c r="E947" t="s">
        <v>2751</v>
      </c>
      <c r="F947" t="s">
        <v>43</v>
      </c>
      <c r="G947" s="21">
        <v>1</v>
      </c>
      <c r="H947" s="21">
        <v>0</v>
      </c>
      <c r="J947" s="20" t="s">
        <v>2331</v>
      </c>
      <c r="K947" t="s">
        <v>2330</v>
      </c>
    </row>
    <row r="948" spans="2:11" x14ac:dyDescent="0.2">
      <c r="B948" s="21">
        <f t="shared" si="14"/>
        <v>1173</v>
      </c>
      <c r="C948" t="s">
        <v>975</v>
      </c>
      <c r="D948" t="s">
        <v>13</v>
      </c>
      <c r="E948" t="s">
        <v>2751</v>
      </c>
      <c r="F948" t="s">
        <v>43</v>
      </c>
      <c r="G948" s="21">
        <v>1</v>
      </c>
      <c r="H948" s="21">
        <v>0</v>
      </c>
      <c r="J948" s="20" t="s">
        <v>2332</v>
      </c>
      <c r="K948" t="s">
        <v>2331</v>
      </c>
    </row>
    <row r="949" spans="2:11" x14ac:dyDescent="0.2">
      <c r="B949" s="21">
        <f t="shared" si="14"/>
        <v>1172</v>
      </c>
      <c r="C949" t="s">
        <v>235</v>
      </c>
      <c r="D949" t="s">
        <v>13</v>
      </c>
      <c r="E949" t="s">
        <v>2751</v>
      </c>
      <c r="F949" t="s">
        <v>42</v>
      </c>
      <c r="G949" s="21">
        <v>1</v>
      </c>
      <c r="H949" s="21">
        <v>0</v>
      </c>
      <c r="I949" t="s">
        <v>1000</v>
      </c>
      <c r="J949" s="20" t="s">
        <v>2332</v>
      </c>
      <c r="K949" t="s">
        <v>2331</v>
      </c>
    </row>
    <row r="950" spans="2:11" x14ac:dyDescent="0.2">
      <c r="B950" s="21">
        <f t="shared" si="14"/>
        <v>1171</v>
      </c>
      <c r="C950" t="s">
        <v>616</v>
      </c>
      <c r="D950" t="s">
        <v>13</v>
      </c>
      <c r="E950" t="s">
        <v>2751</v>
      </c>
      <c r="F950" t="s">
        <v>43</v>
      </c>
      <c r="G950" s="21">
        <v>1</v>
      </c>
      <c r="H950" s="21">
        <v>0</v>
      </c>
      <c r="J950" s="20" t="s">
        <v>2332</v>
      </c>
      <c r="K950" t="s">
        <v>2331</v>
      </c>
    </row>
    <row r="951" spans="2:11" x14ac:dyDescent="0.2">
      <c r="B951" s="21">
        <f t="shared" si="14"/>
        <v>1170</v>
      </c>
      <c r="C951" t="s">
        <v>975</v>
      </c>
      <c r="D951" t="s">
        <v>13</v>
      </c>
      <c r="E951" t="s">
        <v>2751</v>
      </c>
      <c r="F951" t="s">
        <v>43</v>
      </c>
      <c r="G951" s="21">
        <v>1</v>
      </c>
      <c r="H951" s="21">
        <v>0</v>
      </c>
      <c r="J951" s="20" t="s">
        <v>2333</v>
      </c>
      <c r="K951" t="s">
        <v>2332</v>
      </c>
    </row>
    <row r="952" spans="2:11" x14ac:dyDescent="0.2">
      <c r="B952" s="21">
        <f t="shared" si="14"/>
        <v>1169</v>
      </c>
      <c r="C952" t="s">
        <v>235</v>
      </c>
      <c r="D952" t="s">
        <v>13</v>
      </c>
      <c r="E952" t="s">
        <v>2751</v>
      </c>
      <c r="F952" t="s">
        <v>42</v>
      </c>
      <c r="G952" s="21">
        <v>1</v>
      </c>
      <c r="H952" s="21">
        <v>0</v>
      </c>
      <c r="I952" t="s">
        <v>998</v>
      </c>
      <c r="J952" s="20" t="s">
        <v>2333</v>
      </c>
      <c r="K952" t="s">
        <v>2332</v>
      </c>
    </row>
    <row r="953" spans="2:11" x14ac:dyDescent="0.2">
      <c r="B953" s="21">
        <f t="shared" si="14"/>
        <v>1168</v>
      </c>
      <c r="C953" t="s">
        <v>616</v>
      </c>
      <c r="D953" t="s">
        <v>13</v>
      </c>
      <c r="E953" t="s">
        <v>2751</v>
      </c>
      <c r="F953" t="s">
        <v>43</v>
      </c>
      <c r="G953" s="21">
        <v>1</v>
      </c>
      <c r="H953" s="21">
        <v>0</v>
      </c>
      <c r="I953" t="s">
        <v>999</v>
      </c>
      <c r="J953" s="20" t="s">
        <v>2333</v>
      </c>
      <c r="K953" t="s">
        <v>2332</v>
      </c>
    </row>
    <row r="954" spans="2:11" x14ac:dyDescent="0.2">
      <c r="B954" s="21">
        <f t="shared" si="14"/>
        <v>1167</v>
      </c>
      <c r="C954" t="s">
        <v>975</v>
      </c>
      <c r="D954" t="s">
        <v>13</v>
      </c>
      <c r="E954" t="s">
        <v>2751</v>
      </c>
      <c r="F954" t="s">
        <v>43</v>
      </c>
      <c r="G954" s="21">
        <v>1</v>
      </c>
      <c r="H954" s="21">
        <v>0</v>
      </c>
      <c r="I954" t="s">
        <v>996</v>
      </c>
      <c r="J954" s="20" t="s">
        <v>2334</v>
      </c>
      <c r="K954" t="s">
        <v>2690</v>
      </c>
    </row>
    <row r="955" spans="2:11" x14ac:dyDescent="0.2">
      <c r="B955" s="21">
        <f t="shared" si="14"/>
        <v>1166</v>
      </c>
      <c r="C955" t="s">
        <v>235</v>
      </c>
      <c r="D955" t="s">
        <v>13</v>
      </c>
      <c r="E955" t="s">
        <v>2751</v>
      </c>
      <c r="F955" t="s">
        <v>42</v>
      </c>
      <c r="G955" s="21">
        <v>1</v>
      </c>
      <c r="H955" s="21">
        <v>0</v>
      </c>
      <c r="I955" t="s">
        <v>993</v>
      </c>
      <c r="J955" s="20" t="s">
        <v>2334</v>
      </c>
      <c r="K955" t="s">
        <v>2690</v>
      </c>
    </row>
    <row r="956" spans="2:11" x14ac:dyDescent="0.2">
      <c r="B956" s="21">
        <f t="shared" si="14"/>
        <v>1165</v>
      </c>
      <c r="C956" t="s">
        <v>235</v>
      </c>
      <c r="D956" t="s">
        <v>13</v>
      </c>
      <c r="E956" t="s">
        <v>2751</v>
      </c>
      <c r="F956" t="s">
        <v>34</v>
      </c>
      <c r="G956" s="21">
        <v>1</v>
      </c>
      <c r="H956" s="21">
        <v>0</v>
      </c>
      <c r="I956" t="s">
        <v>997</v>
      </c>
      <c r="J956" s="20" t="s">
        <v>2334</v>
      </c>
      <c r="K956" t="s">
        <v>2334</v>
      </c>
    </row>
    <row r="957" spans="2:11" x14ac:dyDescent="0.2">
      <c r="B957" s="21">
        <f t="shared" si="14"/>
        <v>1164</v>
      </c>
      <c r="C957" t="s">
        <v>975</v>
      </c>
      <c r="D957" t="s">
        <v>13</v>
      </c>
      <c r="E957" t="s">
        <v>2751</v>
      </c>
      <c r="F957" t="s">
        <v>43</v>
      </c>
      <c r="G957" s="21">
        <v>1</v>
      </c>
      <c r="H957" s="21">
        <v>0</v>
      </c>
      <c r="J957" s="20" t="s">
        <v>2335</v>
      </c>
      <c r="K957" t="s">
        <v>2334</v>
      </c>
    </row>
    <row r="958" spans="2:11" x14ac:dyDescent="0.2">
      <c r="B958" s="21">
        <f t="shared" si="14"/>
        <v>1163</v>
      </c>
      <c r="C958" t="s">
        <v>235</v>
      </c>
      <c r="D958" t="s">
        <v>13</v>
      </c>
      <c r="E958" t="s">
        <v>2751</v>
      </c>
      <c r="F958" t="s">
        <v>42</v>
      </c>
      <c r="G958" s="21">
        <v>1</v>
      </c>
      <c r="H958" s="21">
        <v>0</v>
      </c>
      <c r="I958" t="s">
        <v>993</v>
      </c>
      <c r="J958" s="20" t="s">
        <v>2335</v>
      </c>
      <c r="K958" t="s">
        <v>2334</v>
      </c>
    </row>
    <row r="959" spans="2:11" x14ac:dyDescent="0.2">
      <c r="B959" s="21">
        <f t="shared" si="14"/>
        <v>1162</v>
      </c>
      <c r="C959" t="s">
        <v>235</v>
      </c>
      <c r="D959" t="s">
        <v>13</v>
      </c>
      <c r="E959" t="s">
        <v>2751</v>
      </c>
      <c r="F959" t="s">
        <v>34</v>
      </c>
      <c r="G959" s="21">
        <v>1</v>
      </c>
      <c r="H959" s="21">
        <v>0</v>
      </c>
      <c r="I959" t="s">
        <v>994</v>
      </c>
      <c r="J959" s="20" t="s">
        <v>2335</v>
      </c>
      <c r="K959" t="s">
        <v>2334</v>
      </c>
    </row>
    <row r="960" spans="2:11" x14ac:dyDescent="0.2">
      <c r="B960" s="21">
        <f t="shared" si="14"/>
        <v>1161</v>
      </c>
      <c r="C960" t="s">
        <v>235</v>
      </c>
      <c r="D960" t="s">
        <v>13</v>
      </c>
      <c r="E960" t="s">
        <v>2751</v>
      </c>
      <c r="F960" t="s">
        <v>34</v>
      </c>
      <c r="G960" s="21">
        <v>1</v>
      </c>
      <c r="H960" s="21">
        <v>0</v>
      </c>
      <c r="I960" t="s">
        <v>995</v>
      </c>
      <c r="J960" s="20" t="s">
        <v>2335</v>
      </c>
      <c r="K960" t="s">
        <v>2335</v>
      </c>
    </row>
    <row r="961" spans="2:11" x14ac:dyDescent="0.2">
      <c r="B961" s="21">
        <f t="shared" si="14"/>
        <v>1160</v>
      </c>
      <c r="C961" t="s">
        <v>975</v>
      </c>
      <c r="D961" t="s">
        <v>13</v>
      </c>
      <c r="E961" t="s">
        <v>2751</v>
      </c>
      <c r="F961" t="s">
        <v>43</v>
      </c>
      <c r="G961" s="21">
        <v>1</v>
      </c>
      <c r="H961" s="21">
        <v>0</v>
      </c>
      <c r="I961" t="s">
        <v>988</v>
      </c>
      <c r="J961" s="20" t="s">
        <v>2336</v>
      </c>
      <c r="K961" t="s">
        <v>2335</v>
      </c>
    </row>
    <row r="962" spans="2:11" x14ac:dyDescent="0.2">
      <c r="B962" s="21">
        <f t="shared" si="14"/>
        <v>1159</v>
      </c>
      <c r="C962" t="s">
        <v>235</v>
      </c>
      <c r="D962" t="s">
        <v>13</v>
      </c>
      <c r="E962" t="s">
        <v>2751</v>
      </c>
      <c r="F962" t="s">
        <v>34</v>
      </c>
      <c r="G962" s="21">
        <v>1</v>
      </c>
      <c r="H962" s="21">
        <v>0</v>
      </c>
      <c r="I962" t="s">
        <v>992</v>
      </c>
      <c r="J962" s="20" t="s">
        <v>2336</v>
      </c>
      <c r="K962" t="s">
        <v>2336</v>
      </c>
    </row>
    <row r="963" spans="2:11" x14ac:dyDescent="0.2">
      <c r="B963" s="21">
        <f t="shared" si="14"/>
        <v>1158</v>
      </c>
      <c r="C963" t="s">
        <v>616</v>
      </c>
      <c r="D963" t="s">
        <v>13</v>
      </c>
      <c r="E963" t="s">
        <v>2751</v>
      </c>
      <c r="F963" t="s">
        <v>34</v>
      </c>
      <c r="G963" s="21">
        <v>1</v>
      </c>
      <c r="H963" s="21">
        <v>0</v>
      </c>
      <c r="I963" t="s">
        <v>991</v>
      </c>
      <c r="J963" s="20" t="s">
        <v>2336</v>
      </c>
      <c r="K963" t="s">
        <v>2336</v>
      </c>
    </row>
    <row r="964" spans="2:11" x14ac:dyDescent="0.2">
      <c r="B964" s="21">
        <f t="shared" si="14"/>
        <v>1157</v>
      </c>
      <c r="C964" t="s">
        <v>975</v>
      </c>
      <c r="D964" t="s">
        <v>13</v>
      </c>
      <c r="E964" t="s">
        <v>2751</v>
      </c>
      <c r="F964" t="s">
        <v>43</v>
      </c>
      <c r="G964" s="21">
        <v>1</v>
      </c>
      <c r="H964" s="21">
        <v>0</v>
      </c>
      <c r="I964" t="s">
        <v>988</v>
      </c>
      <c r="J964" s="20" t="s">
        <v>2337</v>
      </c>
      <c r="K964" t="s">
        <v>2336</v>
      </c>
    </row>
    <row r="965" spans="2:11" x14ac:dyDescent="0.2">
      <c r="B965" s="21">
        <f t="shared" ref="B965:B1028" si="15">B964-1</f>
        <v>1156</v>
      </c>
      <c r="C965" t="s">
        <v>235</v>
      </c>
      <c r="D965" t="s">
        <v>13</v>
      </c>
      <c r="E965" t="s">
        <v>2751</v>
      </c>
      <c r="F965" t="s">
        <v>34</v>
      </c>
      <c r="G965" s="21">
        <v>1</v>
      </c>
      <c r="H965" s="21">
        <v>0</v>
      </c>
      <c r="I965" t="s">
        <v>989</v>
      </c>
      <c r="J965" s="20" t="s">
        <v>2337</v>
      </c>
      <c r="K965" t="s">
        <v>2336</v>
      </c>
    </row>
    <row r="966" spans="2:11" x14ac:dyDescent="0.2">
      <c r="B966" s="21">
        <f t="shared" si="15"/>
        <v>1155</v>
      </c>
      <c r="C966" t="s">
        <v>616</v>
      </c>
      <c r="D966" t="s">
        <v>13</v>
      </c>
      <c r="E966" t="s">
        <v>2751</v>
      </c>
      <c r="F966" t="s">
        <v>27</v>
      </c>
      <c r="G966" s="21">
        <v>1</v>
      </c>
      <c r="H966" s="21">
        <v>0</v>
      </c>
      <c r="I966" t="s">
        <v>990</v>
      </c>
      <c r="J966" s="20" t="s">
        <v>2337</v>
      </c>
      <c r="K966" t="s">
        <v>2337</v>
      </c>
    </row>
    <row r="967" spans="2:11" x14ac:dyDescent="0.2">
      <c r="B967" s="21">
        <f t="shared" si="15"/>
        <v>1154</v>
      </c>
      <c r="C967" t="s">
        <v>321</v>
      </c>
      <c r="D967" t="s">
        <v>14</v>
      </c>
      <c r="E967" t="s">
        <v>2751</v>
      </c>
      <c r="F967" t="s">
        <v>21</v>
      </c>
      <c r="G967" s="21">
        <v>1</v>
      </c>
      <c r="H967" s="21">
        <v>0</v>
      </c>
      <c r="I967" t="s">
        <v>987</v>
      </c>
      <c r="J967" s="20" t="s">
        <v>2338</v>
      </c>
      <c r="K967" t="s">
        <v>2337</v>
      </c>
    </row>
    <row r="968" spans="2:11" x14ac:dyDescent="0.2">
      <c r="B968" s="21">
        <f t="shared" si="15"/>
        <v>1153</v>
      </c>
      <c r="C968" t="s">
        <v>975</v>
      </c>
      <c r="D968" t="s">
        <v>13</v>
      </c>
      <c r="E968" t="s">
        <v>2751</v>
      </c>
      <c r="F968" t="s">
        <v>43</v>
      </c>
      <c r="G968" s="21">
        <v>1</v>
      </c>
      <c r="H968" s="21">
        <v>0</v>
      </c>
      <c r="I968" t="s">
        <v>986</v>
      </c>
      <c r="J968" s="20" t="s">
        <v>2338</v>
      </c>
      <c r="K968" t="s">
        <v>2337</v>
      </c>
    </row>
    <row r="969" spans="2:11" x14ac:dyDescent="0.2">
      <c r="B969" s="21">
        <f t="shared" si="15"/>
        <v>1152</v>
      </c>
      <c r="C969" t="s">
        <v>235</v>
      </c>
      <c r="D969" t="s">
        <v>13</v>
      </c>
      <c r="E969" t="s">
        <v>2751</v>
      </c>
      <c r="F969" t="s">
        <v>22</v>
      </c>
      <c r="G969" s="21">
        <v>1</v>
      </c>
      <c r="H969" s="21">
        <v>0</v>
      </c>
      <c r="I969" t="s">
        <v>983</v>
      </c>
      <c r="J969" s="20" t="s">
        <v>2338</v>
      </c>
      <c r="K969" t="s">
        <v>2338</v>
      </c>
    </row>
    <row r="970" spans="2:11" x14ac:dyDescent="0.2">
      <c r="B970" s="21">
        <f t="shared" si="15"/>
        <v>1151</v>
      </c>
      <c r="C970" t="s">
        <v>235</v>
      </c>
      <c r="D970" t="s">
        <v>13</v>
      </c>
      <c r="E970" t="s">
        <v>2751</v>
      </c>
      <c r="F970" t="s">
        <v>8</v>
      </c>
      <c r="G970" s="21">
        <v>1</v>
      </c>
      <c r="H970" s="21">
        <v>0</v>
      </c>
      <c r="I970" t="s">
        <v>984</v>
      </c>
      <c r="J970" s="20" t="s">
        <v>2338</v>
      </c>
      <c r="K970" t="s">
        <v>2338</v>
      </c>
    </row>
    <row r="971" spans="2:11" x14ac:dyDescent="0.2">
      <c r="B971" s="21">
        <f t="shared" si="15"/>
        <v>1150</v>
      </c>
      <c r="C971" t="s">
        <v>616</v>
      </c>
      <c r="D971" t="s">
        <v>13</v>
      </c>
      <c r="E971" t="s">
        <v>2751</v>
      </c>
      <c r="F971" t="s">
        <v>27</v>
      </c>
      <c r="G971" s="21">
        <v>1</v>
      </c>
      <c r="H971" s="21">
        <v>0</v>
      </c>
      <c r="I971" t="s">
        <v>985</v>
      </c>
      <c r="J971" s="20" t="s">
        <v>2338</v>
      </c>
      <c r="K971" t="s">
        <v>2338</v>
      </c>
    </row>
    <row r="972" spans="2:11" x14ac:dyDescent="0.2">
      <c r="B972" s="21">
        <f t="shared" si="15"/>
        <v>1149</v>
      </c>
      <c r="C972" t="s">
        <v>321</v>
      </c>
      <c r="D972" t="s">
        <v>14</v>
      </c>
      <c r="E972" t="s">
        <v>2751</v>
      </c>
      <c r="F972" t="s">
        <v>49</v>
      </c>
      <c r="G972" s="21">
        <v>1</v>
      </c>
      <c r="H972" s="21">
        <v>0</v>
      </c>
      <c r="I972" t="s">
        <v>982</v>
      </c>
      <c r="J972" s="20" t="s">
        <v>2339</v>
      </c>
      <c r="K972" t="s">
        <v>2339</v>
      </c>
    </row>
    <row r="973" spans="2:11" x14ac:dyDescent="0.2">
      <c r="B973" s="21">
        <f t="shared" si="15"/>
        <v>1148</v>
      </c>
      <c r="C973" t="s">
        <v>975</v>
      </c>
      <c r="D973" t="s">
        <v>13</v>
      </c>
      <c r="E973" t="s">
        <v>2751</v>
      </c>
      <c r="F973" t="s">
        <v>43</v>
      </c>
      <c r="G973" s="21">
        <v>1</v>
      </c>
      <c r="H973" s="21">
        <v>0</v>
      </c>
      <c r="I973" t="s">
        <v>977</v>
      </c>
      <c r="J973" s="20" t="s">
        <v>2339</v>
      </c>
      <c r="K973" t="s">
        <v>2691</v>
      </c>
    </row>
    <row r="974" spans="2:11" x14ac:dyDescent="0.2">
      <c r="B974" s="21">
        <f t="shared" si="15"/>
        <v>1147</v>
      </c>
      <c r="C974" t="s">
        <v>235</v>
      </c>
      <c r="D974" t="s">
        <v>13</v>
      </c>
      <c r="E974" t="s">
        <v>2751</v>
      </c>
      <c r="F974" t="s">
        <v>8</v>
      </c>
      <c r="G974" s="21">
        <v>1</v>
      </c>
      <c r="H974" s="21">
        <v>0</v>
      </c>
      <c r="I974" t="s">
        <v>979</v>
      </c>
      <c r="J974" s="20" t="s">
        <v>2339</v>
      </c>
      <c r="K974" t="s">
        <v>2339</v>
      </c>
    </row>
    <row r="975" spans="2:11" x14ac:dyDescent="0.2">
      <c r="B975" s="21">
        <f t="shared" si="15"/>
        <v>1146</v>
      </c>
      <c r="C975" t="s">
        <v>235</v>
      </c>
      <c r="D975" t="s">
        <v>13</v>
      </c>
      <c r="E975" t="s">
        <v>2751</v>
      </c>
      <c r="F975" t="s">
        <v>42</v>
      </c>
      <c r="G975" s="21">
        <v>1</v>
      </c>
      <c r="H975" s="21">
        <v>0</v>
      </c>
      <c r="I975" t="s">
        <v>980</v>
      </c>
      <c r="J975" s="20" t="s">
        <v>2339</v>
      </c>
      <c r="K975" t="s">
        <v>2339</v>
      </c>
    </row>
    <row r="976" spans="2:11" x14ac:dyDescent="0.2">
      <c r="B976" s="21">
        <f t="shared" si="15"/>
        <v>1145</v>
      </c>
      <c r="C976" t="s">
        <v>321</v>
      </c>
      <c r="D976" t="s">
        <v>14</v>
      </c>
      <c r="E976" t="s">
        <v>2751</v>
      </c>
      <c r="F976" t="s">
        <v>49</v>
      </c>
      <c r="G976" s="21">
        <v>1</v>
      </c>
      <c r="H976" s="21">
        <v>0</v>
      </c>
      <c r="I976" t="s">
        <v>978</v>
      </c>
      <c r="J976" s="20" t="s">
        <v>2340</v>
      </c>
      <c r="K976" t="s">
        <v>2340</v>
      </c>
    </row>
    <row r="977" spans="2:11" x14ac:dyDescent="0.2">
      <c r="B977" s="21">
        <f t="shared" si="15"/>
        <v>1144</v>
      </c>
      <c r="C977" t="s">
        <v>975</v>
      </c>
      <c r="D977" t="s">
        <v>13</v>
      </c>
      <c r="E977" t="s">
        <v>2751</v>
      </c>
      <c r="F977" t="s">
        <v>43</v>
      </c>
      <c r="G977" s="21">
        <v>1</v>
      </c>
      <c r="H977" s="21">
        <v>0</v>
      </c>
      <c r="I977" t="s">
        <v>977</v>
      </c>
      <c r="J977" s="20" t="s">
        <v>2340</v>
      </c>
      <c r="K977" t="s">
        <v>2339</v>
      </c>
    </row>
    <row r="978" spans="2:11" x14ac:dyDescent="0.2">
      <c r="B978" s="21">
        <f t="shared" si="15"/>
        <v>1143</v>
      </c>
      <c r="C978" t="s">
        <v>235</v>
      </c>
      <c r="D978" t="s">
        <v>13</v>
      </c>
      <c r="E978" t="s">
        <v>2751</v>
      </c>
      <c r="F978" t="s">
        <v>42</v>
      </c>
      <c r="G978" s="21">
        <v>1</v>
      </c>
      <c r="H978" s="21">
        <v>0</v>
      </c>
      <c r="I978" t="s">
        <v>981</v>
      </c>
      <c r="J978" s="20" t="s">
        <v>2340</v>
      </c>
      <c r="K978" t="s">
        <v>2340</v>
      </c>
    </row>
    <row r="979" spans="2:11" x14ac:dyDescent="0.2">
      <c r="B979" s="21">
        <f t="shared" si="15"/>
        <v>1142</v>
      </c>
      <c r="C979" t="s">
        <v>321</v>
      </c>
      <c r="D979" t="s">
        <v>14</v>
      </c>
      <c r="E979" t="s">
        <v>2751</v>
      </c>
      <c r="F979" t="s">
        <v>27</v>
      </c>
      <c r="G979" s="21">
        <v>1</v>
      </c>
      <c r="H979" s="21">
        <v>0</v>
      </c>
      <c r="I979" t="s">
        <v>974</v>
      </c>
      <c r="J979" s="20" t="s">
        <v>2341</v>
      </c>
      <c r="K979" t="s">
        <v>2341</v>
      </c>
    </row>
    <row r="980" spans="2:11" x14ac:dyDescent="0.2">
      <c r="B980" s="21">
        <f t="shared" si="15"/>
        <v>1141</v>
      </c>
      <c r="C980" t="s">
        <v>975</v>
      </c>
      <c r="D980" t="s">
        <v>13</v>
      </c>
      <c r="E980" t="s">
        <v>2751</v>
      </c>
      <c r="F980" t="s">
        <v>8</v>
      </c>
      <c r="G980" s="21">
        <v>1</v>
      </c>
      <c r="H980" s="21">
        <v>0</v>
      </c>
      <c r="I980" t="s">
        <v>976</v>
      </c>
      <c r="J980" s="20" t="s">
        <v>2341</v>
      </c>
      <c r="K980" t="s">
        <v>2340</v>
      </c>
    </row>
    <row r="981" spans="2:11" x14ac:dyDescent="0.2">
      <c r="B981" s="21">
        <f t="shared" si="15"/>
        <v>1140</v>
      </c>
      <c r="C981" t="s">
        <v>321</v>
      </c>
      <c r="D981" t="s">
        <v>14</v>
      </c>
      <c r="E981" t="s">
        <v>2751</v>
      </c>
      <c r="F981" t="s">
        <v>27</v>
      </c>
      <c r="G981" s="21">
        <v>1</v>
      </c>
      <c r="H981" s="21">
        <v>0</v>
      </c>
      <c r="J981" s="20" t="s">
        <v>2342</v>
      </c>
      <c r="K981" t="s">
        <v>2341</v>
      </c>
    </row>
    <row r="982" spans="2:11" x14ac:dyDescent="0.2">
      <c r="B982" s="21">
        <f t="shared" si="15"/>
        <v>1139</v>
      </c>
      <c r="C982" t="s">
        <v>235</v>
      </c>
      <c r="D982" t="s">
        <v>13</v>
      </c>
      <c r="E982" t="s">
        <v>2751</v>
      </c>
      <c r="F982" t="s">
        <v>8</v>
      </c>
      <c r="G982" s="21">
        <v>1</v>
      </c>
      <c r="H982" s="21">
        <v>0</v>
      </c>
      <c r="I982" t="s">
        <v>973</v>
      </c>
      <c r="J982" s="20" t="s">
        <v>2342</v>
      </c>
      <c r="K982" t="s">
        <v>2342</v>
      </c>
    </row>
    <row r="983" spans="2:11" x14ac:dyDescent="0.2">
      <c r="B983" s="21">
        <f t="shared" si="15"/>
        <v>1138</v>
      </c>
      <c r="C983" t="s">
        <v>235</v>
      </c>
      <c r="D983" t="s">
        <v>13</v>
      </c>
      <c r="E983" t="s">
        <v>2751</v>
      </c>
      <c r="F983" t="s">
        <v>8</v>
      </c>
      <c r="G983" s="21">
        <v>1</v>
      </c>
      <c r="H983" s="21">
        <v>0</v>
      </c>
      <c r="I983" t="s">
        <v>972</v>
      </c>
      <c r="J983" s="20" t="s">
        <v>2342</v>
      </c>
      <c r="K983" t="s">
        <v>2341</v>
      </c>
    </row>
    <row r="984" spans="2:11" x14ac:dyDescent="0.2">
      <c r="B984" s="21">
        <f t="shared" si="15"/>
        <v>1137</v>
      </c>
      <c r="C984" t="s">
        <v>321</v>
      </c>
      <c r="D984" t="s">
        <v>14</v>
      </c>
      <c r="E984" t="s">
        <v>2751</v>
      </c>
      <c r="F984" t="s">
        <v>27</v>
      </c>
      <c r="G984" s="21">
        <v>1</v>
      </c>
      <c r="H984" s="21">
        <v>0</v>
      </c>
      <c r="I984" t="s">
        <v>969</v>
      </c>
      <c r="J984" s="20" t="s">
        <v>2343</v>
      </c>
      <c r="K984" t="s">
        <v>2342</v>
      </c>
    </row>
    <row r="985" spans="2:11" x14ac:dyDescent="0.2">
      <c r="B985" s="21">
        <f t="shared" si="15"/>
        <v>1136</v>
      </c>
      <c r="C985" t="s">
        <v>964</v>
      </c>
      <c r="D985" t="s">
        <v>13</v>
      </c>
      <c r="E985" t="s">
        <v>2751</v>
      </c>
      <c r="F985" t="s">
        <v>27</v>
      </c>
      <c r="G985" s="21">
        <v>1</v>
      </c>
      <c r="H985" s="21">
        <v>0</v>
      </c>
      <c r="I985" t="s">
        <v>970</v>
      </c>
      <c r="J985" s="20" t="s">
        <v>2343</v>
      </c>
      <c r="K985" t="s">
        <v>2343</v>
      </c>
    </row>
    <row r="986" spans="2:11" x14ac:dyDescent="0.2">
      <c r="B986" s="21">
        <f t="shared" si="15"/>
        <v>1135</v>
      </c>
      <c r="C986" t="s">
        <v>235</v>
      </c>
      <c r="D986" t="s">
        <v>13</v>
      </c>
      <c r="E986" t="s">
        <v>2751</v>
      </c>
      <c r="F986" t="s">
        <v>8</v>
      </c>
      <c r="G986" s="21">
        <v>1</v>
      </c>
      <c r="H986" s="21">
        <v>0</v>
      </c>
      <c r="J986" s="20" t="s">
        <v>2343</v>
      </c>
      <c r="K986" t="s">
        <v>2342</v>
      </c>
    </row>
    <row r="987" spans="2:11" x14ac:dyDescent="0.2">
      <c r="B987" s="21">
        <f t="shared" si="15"/>
        <v>1134</v>
      </c>
      <c r="C987" t="s">
        <v>616</v>
      </c>
      <c r="D987" t="s">
        <v>13</v>
      </c>
      <c r="E987" t="s">
        <v>2751</v>
      </c>
      <c r="F987" t="s">
        <v>8</v>
      </c>
      <c r="G987" s="21">
        <v>1</v>
      </c>
      <c r="H987" s="21">
        <v>0</v>
      </c>
      <c r="I987" t="s">
        <v>971</v>
      </c>
      <c r="J987" s="20" t="s">
        <v>2343</v>
      </c>
      <c r="K987" t="s">
        <v>2343</v>
      </c>
    </row>
    <row r="988" spans="2:11" x14ac:dyDescent="0.2">
      <c r="B988" s="21">
        <f t="shared" si="15"/>
        <v>1133</v>
      </c>
      <c r="C988" t="s">
        <v>321</v>
      </c>
      <c r="D988" t="s">
        <v>14</v>
      </c>
      <c r="E988" t="s">
        <v>2751</v>
      </c>
      <c r="F988" t="s">
        <v>27</v>
      </c>
      <c r="G988" s="21">
        <v>1</v>
      </c>
      <c r="H988" s="21">
        <v>0</v>
      </c>
      <c r="J988" s="20" t="s">
        <v>2344</v>
      </c>
      <c r="K988" t="s">
        <v>2692</v>
      </c>
    </row>
    <row r="989" spans="2:11" x14ac:dyDescent="0.2">
      <c r="B989" s="21">
        <f t="shared" si="15"/>
        <v>1132</v>
      </c>
      <c r="C989" t="s">
        <v>235</v>
      </c>
      <c r="D989" t="s">
        <v>13</v>
      </c>
      <c r="E989" t="s">
        <v>2751</v>
      </c>
      <c r="F989" t="s">
        <v>4</v>
      </c>
      <c r="G989" s="21">
        <v>1</v>
      </c>
      <c r="H989" s="21">
        <v>0</v>
      </c>
      <c r="I989" t="s">
        <v>965</v>
      </c>
      <c r="J989" s="20" t="s">
        <v>2344</v>
      </c>
      <c r="K989" t="s">
        <v>2344</v>
      </c>
    </row>
    <row r="990" spans="2:11" x14ac:dyDescent="0.2">
      <c r="B990" s="21">
        <f t="shared" si="15"/>
        <v>1131</v>
      </c>
      <c r="C990" t="s">
        <v>964</v>
      </c>
      <c r="D990" t="s">
        <v>13</v>
      </c>
      <c r="E990" t="s">
        <v>2751</v>
      </c>
      <c r="F990" t="s">
        <v>43</v>
      </c>
      <c r="G990" s="21">
        <v>1</v>
      </c>
      <c r="H990" s="21">
        <v>0</v>
      </c>
      <c r="I990" t="s">
        <v>966</v>
      </c>
      <c r="J990" s="20" t="s">
        <v>2344</v>
      </c>
      <c r="K990" t="s">
        <v>2692</v>
      </c>
    </row>
    <row r="991" spans="2:11" x14ac:dyDescent="0.2">
      <c r="B991" s="21">
        <f t="shared" si="15"/>
        <v>1130</v>
      </c>
      <c r="C991" t="s">
        <v>616</v>
      </c>
      <c r="D991" t="s">
        <v>13</v>
      </c>
      <c r="E991" t="s">
        <v>2751</v>
      </c>
      <c r="F991" t="s">
        <v>64</v>
      </c>
      <c r="G991" s="21">
        <v>1</v>
      </c>
      <c r="H991" s="21">
        <v>0</v>
      </c>
      <c r="I991" t="s">
        <v>967</v>
      </c>
      <c r="J991" s="20" t="s">
        <v>2344</v>
      </c>
      <c r="K991" t="s">
        <v>2344</v>
      </c>
    </row>
    <row r="992" spans="2:11" x14ac:dyDescent="0.2">
      <c r="B992" s="21">
        <f t="shared" si="15"/>
        <v>1129</v>
      </c>
      <c r="C992" t="s">
        <v>151</v>
      </c>
      <c r="D992" t="s">
        <v>13</v>
      </c>
      <c r="E992" t="s">
        <v>2751</v>
      </c>
      <c r="F992" t="s">
        <v>64</v>
      </c>
      <c r="G992" s="21">
        <v>1</v>
      </c>
      <c r="H992" s="21">
        <v>0</v>
      </c>
      <c r="I992" t="s">
        <v>968</v>
      </c>
      <c r="J992" s="20" t="s">
        <v>2344</v>
      </c>
      <c r="K992" t="s">
        <v>2344</v>
      </c>
    </row>
    <row r="993" spans="2:11" x14ac:dyDescent="0.2">
      <c r="B993" s="21">
        <f t="shared" si="15"/>
        <v>1128</v>
      </c>
      <c r="C993" t="s">
        <v>321</v>
      </c>
      <c r="D993" t="s">
        <v>14</v>
      </c>
      <c r="E993" t="s">
        <v>2751</v>
      </c>
      <c r="F993" t="s">
        <v>27</v>
      </c>
      <c r="G993" s="21">
        <v>1</v>
      </c>
      <c r="H993" s="21">
        <v>0</v>
      </c>
      <c r="I993" t="s">
        <v>963</v>
      </c>
      <c r="J993" s="20" t="s">
        <v>2345</v>
      </c>
      <c r="K993" t="s">
        <v>2344</v>
      </c>
    </row>
    <row r="994" spans="2:11" x14ac:dyDescent="0.2">
      <c r="B994" s="21">
        <f t="shared" si="15"/>
        <v>1127</v>
      </c>
      <c r="C994" t="s">
        <v>235</v>
      </c>
      <c r="D994" t="s">
        <v>13</v>
      </c>
      <c r="E994" t="s">
        <v>2751</v>
      </c>
      <c r="F994" t="s">
        <v>34</v>
      </c>
      <c r="G994" s="21">
        <v>1</v>
      </c>
      <c r="H994" s="21">
        <v>0</v>
      </c>
      <c r="J994" s="20" t="s">
        <v>2345</v>
      </c>
      <c r="K994" t="s">
        <v>2344</v>
      </c>
    </row>
    <row r="995" spans="2:11" x14ac:dyDescent="0.2">
      <c r="B995" s="21">
        <f t="shared" si="15"/>
        <v>1126</v>
      </c>
      <c r="C995" t="s">
        <v>964</v>
      </c>
      <c r="D995" t="s">
        <v>13</v>
      </c>
      <c r="E995" t="s">
        <v>2751</v>
      </c>
      <c r="F995" t="s">
        <v>43</v>
      </c>
      <c r="G995" s="21">
        <v>1</v>
      </c>
      <c r="H995" s="21">
        <v>0</v>
      </c>
      <c r="J995" s="20" t="s">
        <v>2345</v>
      </c>
      <c r="K995" t="s">
        <v>2344</v>
      </c>
    </row>
    <row r="996" spans="2:11" x14ac:dyDescent="0.2">
      <c r="B996" s="21">
        <f t="shared" si="15"/>
        <v>1125</v>
      </c>
      <c r="C996" t="s">
        <v>235</v>
      </c>
      <c r="D996" t="s">
        <v>13</v>
      </c>
      <c r="E996" t="s">
        <v>2751</v>
      </c>
      <c r="F996" t="s">
        <v>34</v>
      </c>
      <c r="G996" s="21">
        <v>1</v>
      </c>
      <c r="H996" s="21">
        <v>0</v>
      </c>
      <c r="I996" t="s">
        <v>959</v>
      </c>
      <c r="J996" s="20" t="s">
        <v>2346</v>
      </c>
      <c r="K996" t="s">
        <v>2346</v>
      </c>
    </row>
    <row r="997" spans="2:11" x14ac:dyDescent="0.2">
      <c r="B997" s="21">
        <f t="shared" si="15"/>
        <v>1124</v>
      </c>
      <c r="C997" t="s">
        <v>687</v>
      </c>
      <c r="D997" t="s">
        <v>13</v>
      </c>
      <c r="E997" t="s">
        <v>2751</v>
      </c>
      <c r="F997" t="s">
        <v>27</v>
      </c>
      <c r="G997" s="21">
        <v>1</v>
      </c>
      <c r="H997" s="21">
        <v>0</v>
      </c>
      <c r="I997" t="s">
        <v>958</v>
      </c>
      <c r="J997" s="20" t="s">
        <v>2346</v>
      </c>
      <c r="K997" t="s">
        <v>2346</v>
      </c>
    </row>
    <row r="998" spans="2:11" x14ac:dyDescent="0.2">
      <c r="B998" s="21">
        <f t="shared" si="15"/>
        <v>1123</v>
      </c>
      <c r="C998" t="s">
        <v>32</v>
      </c>
      <c r="D998" t="s">
        <v>13</v>
      </c>
      <c r="E998" t="s">
        <v>2751</v>
      </c>
      <c r="F998" t="s">
        <v>42</v>
      </c>
      <c r="G998" s="21">
        <v>1</v>
      </c>
      <c r="H998" s="21">
        <v>0</v>
      </c>
      <c r="I998" t="s">
        <v>960</v>
      </c>
      <c r="J998" s="20" t="s">
        <v>2346</v>
      </c>
      <c r="K998" t="s">
        <v>2346</v>
      </c>
    </row>
    <row r="999" spans="2:11" x14ac:dyDescent="0.2">
      <c r="B999" s="21">
        <f t="shared" si="15"/>
        <v>1122</v>
      </c>
      <c r="C999" t="s">
        <v>616</v>
      </c>
      <c r="D999" t="s">
        <v>13</v>
      </c>
      <c r="E999" t="s">
        <v>2751</v>
      </c>
      <c r="F999" t="s">
        <v>64</v>
      </c>
      <c r="G999" s="21">
        <v>1</v>
      </c>
      <c r="H999" s="21">
        <v>0</v>
      </c>
      <c r="I999" t="s">
        <v>961</v>
      </c>
      <c r="J999" s="20" t="s">
        <v>2346</v>
      </c>
      <c r="K999" t="s">
        <v>2346</v>
      </c>
    </row>
    <row r="1000" spans="2:11" x14ac:dyDescent="0.2">
      <c r="B1000" s="21">
        <f t="shared" si="15"/>
        <v>1121</v>
      </c>
      <c r="C1000" t="s">
        <v>321</v>
      </c>
      <c r="D1000" t="s">
        <v>14</v>
      </c>
      <c r="E1000" t="s">
        <v>2751</v>
      </c>
      <c r="F1000" t="s">
        <v>27</v>
      </c>
      <c r="G1000" s="21">
        <v>1</v>
      </c>
      <c r="H1000" s="21">
        <v>0</v>
      </c>
      <c r="I1000" t="s">
        <v>962</v>
      </c>
      <c r="J1000" s="20" t="s">
        <v>2346</v>
      </c>
      <c r="K1000" t="s">
        <v>2346</v>
      </c>
    </row>
    <row r="1001" spans="2:11" x14ac:dyDescent="0.2">
      <c r="B1001" s="21">
        <f t="shared" si="15"/>
        <v>1120</v>
      </c>
      <c r="C1001" t="s">
        <v>901</v>
      </c>
      <c r="D1001" t="s">
        <v>13</v>
      </c>
      <c r="E1001" t="s">
        <v>2751</v>
      </c>
      <c r="F1001" t="s">
        <v>27</v>
      </c>
      <c r="G1001" s="21">
        <v>1</v>
      </c>
      <c r="H1001" s="21">
        <v>0</v>
      </c>
      <c r="I1001" t="s">
        <v>957</v>
      </c>
      <c r="J1001" s="20" t="s">
        <v>2347</v>
      </c>
      <c r="K1001" t="s">
        <v>2347</v>
      </c>
    </row>
    <row r="1002" spans="2:11" x14ac:dyDescent="0.2">
      <c r="B1002" s="21">
        <f t="shared" si="15"/>
        <v>1119</v>
      </c>
      <c r="C1002" t="s">
        <v>151</v>
      </c>
      <c r="D1002" t="s">
        <v>13</v>
      </c>
      <c r="E1002" t="s">
        <v>2751</v>
      </c>
      <c r="F1002" t="s">
        <v>64</v>
      </c>
      <c r="G1002" s="21">
        <v>1</v>
      </c>
      <c r="H1002" s="21">
        <v>0</v>
      </c>
      <c r="I1002" t="s">
        <v>955</v>
      </c>
      <c r="J1002" s="20" t="s">
        <v>2347</v>
      </c>
      <c r="K1002" t="s">
        <v>2347</v>
      </c>
    </row>
    <row r="1003" spans="2:11" x14ac:dyDescent="0.2">
      <c r="B1003" s="21">
        <f t="shared" si="15"/>
        <v>1118</v>
      </c>
      <c r="C1003" t="s">
        <v>780</v>
      </c>
      <c r="D1003" t="s">
        <v>13</v>
      </c>
      <c r="E1003" t="s">
        <v>2751</v>
      </c>
      <c r="F1003" t="s">
        <v>8</v>
      </c>
      <c r="G1003" s="21">
        <v>1</v>
      </c>
      <c r="H1003" s="21">
        <v>0</v>
      </c>
      <c r="I1003" t="s">
        <v>956</v>
      </c>
      <c r="J1003" s="20" t="s">
        <v>2347</v>
      </c>
      <c r="K1003" t="s">
        <v>2347</v>
      </c>
    </row>
    <row r="1004" spans="2:11" x14ac:dyDescent="0.2">
      <c r="B1004" s="21">
        <f t="shared" si="15"/>
        <v>1117</v>
      </c>
      <c r="C1004" t="s">
        <v>235</v>
      </c>
      <c r="D1004" t="s">
        <v>13</v>
      </c>
      <c r="E1004" t="s">
        <v>2751</v>
      </c>
      <c r="F1004" t="s">
        <v>34</v>
      </c>
      <c r="G1004" s="21">
        <v>1</v>
      </c>
      <c r="H1004" s="21">
        <v>0</v>
      </c>
      <c r="J1004" s="20" t="s">
        <v>2347</v>
      </c>
      <c r="K1004" t="s">
        <v>2346</v>
      </c>
    </row>
    <row r="1005" spans="2:11" x14ac:dyDescent="0.2">
      <c r="B1005" s="21">
        <f t="shared" si="15"/>
        <v>1116</v>
      </c>
      <c r="C1005" t="s">
        <v>321</v>
      </c>
      <c r="D1005" t="s">
        <v>14</v>
      </c>
      <c r="E1005" t="s">
        <v>2751</v>
      </c>
      <c r="F1005" t="s">
        <v>27</v>
      </c>
      <c r="G1005" s="21">
        <v>1</v>
      </c>
      <c r="H1005" s="21">
        <v>0</v>
      </c>
      <c r="I1005" t="s">
        <v>951</v>
      </c>
      <c r="J1005" s="20" t="s">
        <v>2348</v>
      </c>
      <c r="K1005" t="s">
        <v>2348</v>
      </c>
    </row>
    <row r="1006" spans="2:11" x14ac:dyDescent="0.2">
      <c r="B1006" s="21">
        <f t="shared" si="15"/>
        <v>1115</v>
      </c>
      <c r="C1006" t="s">
        <v>235</v>
      </c>
      <c r="D1006" t="s">
        <v>13</v>
      </c>
      <c r="E1006" t="s">
        <v>2751</v>
      </c>
      <c r="F1006" t="s">
        <v>34</v>
      </c>
      <c r="G1006" s="21">
        <v>1</v>
      </c>
      <c r="H1006" s="21">
        <v>0</v>
      </c>
      <c r="I1006" t="s">
        <v>954</v>
      </c>
      <c r="J1006" s="20" t="s">
        <v>2348</v>
      </c>
      <c r="K1006" t="s">
        <v>2348</v>
      </c>
    </row>
    <row r="1007" spans="2:11" x14ac:dyDescent="0.2">
      <c r="B1007" s="21">
        <f t="shared" si="15"/>
        <v>1114</v>
      </c>
      <c r="C1007" t="s">
        <v>891</v>
      </c>
      <c r="D1007" t="s">
        <v>13</v>
      </c>
      <c r="E1007" t="s">
        <v>2751</v>
      </c>
      <c r="F1007" t="s">
        <v>64</v>
      </c>
      <c r="G1007" s="21">
        <v>1</v>
      </c>
      <c r="H1007" s="21">
        <v>0</v>
      </c>
      <c r="I1007" t="s">
        <v>952</v>
      </c>
      <c r="J1007" s="20" t="s">
        <v>2348</v>
      </c>
      <c r="K1007" t="s">
        <v>2348</v>
      </c>
    </row>
    <row r="1008" spans="2:11" x14ac:dyDescent="0.2">
      <c r="B1008" s="21">
        <f t="shared" si="15"/>
        <v>1113</v>
      </c>
      <c r="C1008" t="s">
        <v>901</v>
      </c>
      <c r="D1008" t="s">
        <v>13</v>
      </c>
      <c r="E1008" t="s">
        <v>2751</v>
      </c>
      <c r="F1008" t="s">
        <v>27</v>
      </c>
      <c r="G1008" s="21">
        <v>1</v>
      </c>
      <c r="H1008" s="21">
        <v>0</v>
      </c>
      <c r="J1008" s="20" t="s">
        <v>2348</v>
      </c>
      <c r="K1008" t="s">
        <v>2347</v>
      </c>
    </row>
    <row r="1009" spans="2:11" x14ac:dyDescent="0.2">
      <c r="B1009" s="21">
        <f t="shared" si="15"/>
        <v>1112</v>
      </c>
      <c r="C1009" t="s">
        <v>151</v>
      </c>
      <c r="D1009" t="s">
        <v>13</v>
      </c>
      <c r="E1009" t="s">
        <v>2751</v>
      </c>
      <c r="F1009" t="s">
        <v>64</v>
      </c>
      <c r="G1009" s="21">
        <v>1</v>
      </c>
      <c r="H1009" s="21">
        <v>0</v>
      </c>
      <c r="J1009" s="20" t="s">
        <v>2348</v>
      </c>
      <c r="K1009" t="s">
        <v>2347</v>
      </c>
    </row>
    <row r="1010" spans="2:11" x14ac:dyDescent="0.2">
      <c r="B1010" s="21">
        <f t="shared" si="15"/>
        <v>1111</v>
      </c>
      <c r="C1010" t="s">
        <v>616</v>
      </c>
      <c r="D1010" t="s">
        <v>13</v>
      </c>
      <c r="E1010" t="s">
        <v>2751</v>
      </c>
      <c r="F1010" t="s">
        <v>34</v>
      </c>
      <c r="G1010" s="21">
        <v>1</v>
      </c>
      <c r="H1010" s="21">
        <v>0</v>
      </c>
      <c r="I1010" t="s">
        <v>953</v>
      </c>
      <c r="J1010" s="20" t="s">
        <v>2348</v>
      </c>
      <c r="K1010" t="s">
        <v>2348</v>
      </c>
    </row>
    <row r="1011" spans="2:11" x14ac:dyDescent="0.2">
      <c r="B1011" s="21">
        <f t="shared" si="15"/>
        <v>1110</v>
      </c>
      <c r="C1011" t="s">
        <v>321</v>
      </c>
      <c r="D1011" t="s">
        <v>14</v>
      </c>
      <c r="E1011" t="s">
        <v>2751</v>
      </c>
      <c r="F1011" t="s">
        <v>27</v>
      </c>
      <c r="G1011" s="21">
        <v>1</v>
      </c>
      <c r="H1011" s="21">
        <v>0</v>
      </c>
      <c r="I1011" t="s">
        <v>950</v>
      </c>
      <c r="J1011" s="20" t="s">
        <v>2349</v>
      </c>
      <c r="K1011" t="s">
        <v>2348</v>
      </c>
    </row>
    <row r="1012" spans="2:11" x14ac:dyDescent="0.2">
      <c r="B1012" s="21">
        <f t="shared" si="15"/>
        <v>1109</v>
      </c>
      <c r="C1012" t="s">
        <v>235</v>
      </c>
      <c r="D1012" t="s">
        <v>13</v>
      </c>
      <c r="E1012" t="s">
        <v>2751</v>
      </c>
      <c r="F1012" t="s">
        <v>43</v>
      </c>
      <c r="G1012" s="21">
        <v>1</v>
      </c>
      <c r="H1012" s="21">
        <v>0</v>
      </c>
      <c r="J1012" s="20" t="s">
        <v>2349</v>
      </c>
      <c r="K1012" t="s">
        <v>2348</v>
      </c>
    </row>
    <row r="1013" spans="2:11" x14ac:dyDescent="0.2">
      <c r="B1013" s="21">
        <f t="shared" si="15"/>
        <v>1108</v>
      </c>
      <c r="C1013" t="s">
        <v>891</v>
      </c>
      <c r="D1013" t="s">
        <v>13</v>
      </c>
      <c r="E1013" t="s">
        <v>2751</v>
      </c>
      <c r="F1013" t="s">
        <v>64</v>
      </c>
      <c r="G1013" s="21">
        <v>1</v>
      </c>
      <c r="H1013" s="21">
        <v>0</v>
      </c>
      <c r="I1013" t="s">
        <v>947</v>
      </c>
      <c r="J1013" s="20" t="s">
        <v>2349</v>
      </c>
      <c r="K1013" t="s">
        <v>2348</v>
      </c>
    </row>
    <row r="1014" spans="2:11" x14ac:dyDescent="0.2">
      <c r="B1014" s="21">
        <f t="shared" si="15"/>
        <v>1107</v>
      </c>
      <c r="C1014" t="s">
        <v>901</v>
      </c>
      <c r="D1014" t="s">
        <v>13</v>
      </c>
      <c r="E1014" t="s">
        <v>2751</v>
      </c>
      <c r="F1014" t="s">
        <v>8</v>
      </c>
      <c r="G1014" s="21">
        <v>1</v>
      </c>
      <c r="H1014" s="21">
        <v>0</v>
      </c>
      <c r="J1014" s="20" t="s">
        <v>2349</v>
      </c>
      <c r="K1014" t="s">
        <v>2348</v>
      </c>
    </row>
    <row r="1015" spans="2:11" x14ac:dyDescent="0.2">
      <c r="B1015" s="21">
        <f t="shared" si="15"/>
        <v>1106</v>
      </c>
      <c r="C1015" t="s">
        <v>321</v>
      </c>
      <c r="D1015" t="s">
        <v>14</v>
      </c>
      <c r="E1015" t="s">
        <v>2751</v>
      </c>
      <c r="F1015" t="s">
        <v>27</v>
      </c>
      <c r="G1015" s="21">
        <v>1</v>
      </c>
      <c r="H1015" s="21">
        <v>0</v>
      </c>
      <c r="I1015" t="s">
        <v>949</v>
      </c>
      <c r="J1015" s="20" t="s">
        <v>2350</v>
      </c>
      <c r="K1015" t="s">
        <v>2350</v>
      </c>
    </row>
    <row r="1016" spans="2:11" x14ac:dyDescent="0.2">
      <c r="B1016" s="21">
        <f t="shared" si="15"/>
        <v>1105</v>
      </c>
      <c r="C1016" t="s">
        <v>235</v>
      </c>
      <c r="D1016" t="s">
        <v>13</v>
      </c>
      <c r="E1016" t="s">
        <v>2751</v>
      </c>
      <c r="F1016" t="s">
        <v>43</v>
      </c>
      <c r="G1016" s="21">
        <v>1</v>
      </c>
      <c r="H1016" s="21">
        <v>0</v>
      </c>
      <c r="J1016" s="20" t="s">
        <v>2350</v>
      </c>
      <c r="K1016" t="s">
        <v>2693</v>
      </c>
    </row>
    <row r="1017" spans="2:11" x14ac:dyDescent="0.2">
      <c r="B1017" s="21">
        <f t="shared" si="15"/>
        <v>1104</v>
      </c>
      <c r="C1017" t="s">
        <v>891</v>
      </c>
      <c r="D1017" t="s">
        <v>13</v>
      </c>
      <c r="E1017" t="s">
        <v>2751</v>
      </c>
      <c r="F1017" t="s">
        <v>64</v>
      </c>
      <c r="G1017" s="21">
        <v>1</v>
      </c>
      <c r="H1017" s="21">
        <v>0</v>
      </c>
      <c r="I1017" t="s">
        <v>947</v>
      </c>
      <c r="J1017" s="20" t="s">
        <v>2350</v>
      </c>
      <c r="K1017" t="s">
        <v>2693</v>
      </c>
    </row>
    <row r="1018" spans="2:11" x14ac:dyDescent="0.2">
      <c r="B1018" s="21">
        <f t="shared" si="15"/>
        <v>1103</v>
      </c>
      <c r="C1018" t="s">
        <v>901</v>
      </c>
      <c r="D1018" t="s">
        <v>13</v>
      </c>
      <c r="E1018" t="s">
        <v>2751</v>
      </c>
      <c r="F1018" t="s">
        <v>8</v>
      </c>
      <c r="G1018" s="21">
        <v>1</v>
      </c>
      <c r="H1018" s="21">
        <v>0</v>
      </c>
      <c r="I1018" t="s">
        <v>948</v>
      </c>
      <c r="J1018" s="20" t="s">
        <v>2350</v>
      </c>
      <c r="K1018" t="s">
        <v>2350</v>
      </c>
    </row>
    <row r="1019" spans="2:11" x14ac:dyDescent="0.2">
      <c r="B1019" s="21">
        <f t="shared" si="15"/>
        <v>1102</v>
      </c>
      <c r="C1019" t="s">
        <v>321</v>
      </c>
      <c r="D1019" t="s">
        <v>14</v>
      </c>
      <c r="E1019" t="s">
        <v>2751</v>
      </c>
      <c r="F1019" t="s">
        <v>27</v>
      </c>
      <c r="G1019" s="21">
        <v>1</v>
      </c>
      <c r="H1019" s="21">
        <v>0</v>
      </c>
      <c r="I1019" t="s">
        <v>946</v>
      </c>
      <c r="J1019" s="20" t="s">
        <v>2351</v>
      </c>
      <c r="K1019" t="s">
        <v>2350</v>
      </c>
    </row>
    <row r="1020" spans="2:11" x14ac:dyDescent="0.2">
      <c r="B1020" s="21">
        <f t="shared" si="15"/>
        <v>1101</v>
      </c>
      <c r="C1020" t="s">
        <v>891</v>
      </c>
      <c r="D1020" t="s">
        <v>13</v>
      </c>
      <c r="E1020" t="s">
        <v>2751</v>
      </c>
      <c r="F1020" t="s">
        <v>64</v>
      </c>
      <c r="G1020" s="21">
        <v>1</v>
      </c>
      <c r="H1020" s="21">
        <v>0</v>
      </c>
      <c r="I1020" t="s">
        <v>945</v>
      </c>
      <c r="J1020" s="20" t="s">
        <v>2351</v>
      </c>
      <c r="K1020" t="s">
        <v>2351</v>
      </c>
    </row>
    <row r="1021" spans="2:11" x14ac:dyDescent="0.2">
      <c r="B1021" s="21">
        <f t="shared" si="15"/>
        <v>1100</v>
      </c>
      <c r="C1021" t="s">
        <v>616</v>
      </c>
      <c r="D1021" t="s">
        <v>13</v>
      </c>
      <c r="E1021" t="s">
        <v>2751</v>
      </c>
      <c r="F1021" t="s">
        <v>34</v>
      </c>
      <c r="G1021" s="21">
        <v>1</v>
      </c>
      <c r="H1021" s="21">
        <v>0</v>
      </c>
      <c r="I1021" t="s">
        <v>942</v>
      </c>
      <c r="J1021" s="20" t="s">
        <v>2352</v>
      </c>
      <c r="K1021" t="s">
        <v>2352</v>
      </c>
    </row>
    <row r="1022" spans="2:11" x14ac:dyDescent="0.2">
      <c r="B1022" s="21">
        <f t="shared" si="15"/>
        <v>1099</v>
      </c>
      <c r="C1022" t="s">
        <v>321</v>
      </c>
      <c r="D1022" t="s">
        <v>14</v>
      </c>
      <c r="E1022" t="s">
        <v>2751</v>
      </c>
      <c r="F1022" t="s">
        <v>43</v>
      </c>
      <c r="G1022" s="21">
        <v>1</v>
      </c>
      <c r="H1022" s="21">
        <v>0</v>
      </c>
      <c r="I1022" t="s">
        <v>943</v>
      </c>
      <c r="J1022" s="20" t="s">
        <v>2352</v>
      </c>
      <c r="K1022" t="s">
        <v>2351</v>
      </c>
    </row>
    <row r="1023" spans="2:11" x14ac:dyDescent="0.2">
      <c r="B1023" s="21">
        <f t="shared" si="15"/>
        <v>1098</v>
      </c>
      <c r="C1023" t="s">
        <v>151</v>
      </c>
      <c r="D1023" t="s">
        <v>13</v>
      </c>
      <c r="E1023" t="s">
        <v>2751</v>
      </c>
      <c r="F1023" t="s">
        <v>64</v>
      </c>
      <c r="G1023" s="21">
        <v>1</v>
      </c>
      <c r="H1023" s="21">
        <v>0</v>
      </c>
      <c r="I1023" t="s">
        <v>944</v>
      </c>
      <c r="J1023" s="20" t="s">
        <v>2352</v>
      </c>
      <c r="K1023" t="s">
        <v>2352</v>
      </c>
    </row>
    <row r="1024" spans="2:11" x14ac:dyDescent="0.2">
      <c r="B1024" s="21">
        <f t="shared" si="15"/>
        <v>1097</v>
      </c>
      <c r="C1024" t="s">
        <v>616</v>
      </c>
      <c r="D1024" t="s">
        <v>13</v>
      </c>
      <c r="E1024" t="s">
        <v>2751</v>
      </c>
      <c r="F1024" t="s">
        <v>34</v>
      </c>
      <c r="G1024" s="21">
        <v>1</v>
      </c>
      <c r="H1024" s="21">
        <v>0</v>
      </c>
      <c r="J1024" s="20" t="s">
        <v>2353</v>
      </c>
      <c r="K1024" t="s">
        <v>2352</v>
      </c>
    </row>
    <row r="1025" spans="2:11" x14ac:dyDescent="0.2">
      <c r="B1025" s="21">
        <f t="shared" si="15"/>
        <v>1096</v>
      </c>
      <c r="C1025" t="s">
        <v>321</v>
      </c>
      <c r="D1025" t="s">
        <v>14</v>
      </c>
      <c r="E1025" t="s">
        <v>2751</v>
      </c>
      <c r="F1025" t="s">
        <v>43</v>
      </c>
      <c r="G1025" s="21">
        <v>1</v>
      </c>
      <c r="H1025" s="21">
        <v>0</v>
      </c>
      <c r="J1025" s="20" t="s">
        <v>2353</v>
      </c>
      <c r="K1025" t="s">
        <v>2352</v>
      </c>
    </row>
    <row r="1026" spans="2:11" x14ac:dyDescent="0.2">
      <c r="B1026" s="21">
        <f t="shared" si="15"/>
        <v>1095</v>
      </c>
      <c r="C1026" t="s">
        <v>235</v>
      </c>
      <c r="D1026" t="s">
        <v>13</v>
      </c>
      <c r="E1026" t="s">
        <v>2751</v>
      </c>
      <c r="F1026" t="s">
        <v>43</v>
      </c>
      <c r="G1026" s="21">
        <v>1</v>
      </c>
      <c r="H1026" s="21">
        <v>0</v>
      </c>
      <c r="I1026" t="s">
        <v>940</v>
      </c>
      <c r="J1026" s="20" t="s">
        <v>2353</v>
      </c>
      <c r="K1026" t="s">
        <v>2353</v>
      </c>
    </row>
    <row r="1027" spans="2:11" x14ac:dyDescent="0.2">
      <c r="B1027" s="21">
        <f t="shared" si="15"/>
        <v>1094</v>
      </c>
      <c r="C1027" t="s">
        <v>38</v>
      </c>
      <c r="D1027" t="s">
        <v>13</v>
      </c>
      <c r="E1027" t="s">
        <v>2751</v>
      </c>
      <c r="F1027" t="s">
        <v>49</v>
      </c>
      <c r="G1027" s="21">
        <v>1</v>
      </c>
      <c r="H1027" s="21">
        <v>0</v>
      </c>
      <c r="I1027" t="s">
        <v>941</v>
      </c>
      <c r="J1027" s="20" t="s">
        <v>2353</v>
      </c>
      <c r="K1027" t="s">
        <v>2353</v>
      </c>
    </row>
    <row r="1028" spans="2:11" x14ac:dyDescent="0.2">
      <c r="B1028" s="21">
        <f t="shared" si="15"/>
        <v>1093</v>
      </c>
      <c r="C1028" t="s">
        <v>616</v>
      </c>
      <c r="D1028" t="s">
        <v>13</v>
      </c>
      <c r="E1028" t="s">
        <v>2751</v>
      </c>
      <c r="F1028" t="s">
        <v>8</v>
      </c>
      <c r="G1028" s="21">
        <v>1</v>
      </c>
      <c r="H1028" s="21">
        <v>0</v>
      </c>
      <c r="I1028" t="s">
        <v>935</v>
      </c>
      <c r="J1028" s="20" t="s">
        <v>2354</v>
      </c>
      <c r="K1028" t="s">
        <v>2354</v>
      </c>
    </row>
    <row r="1029" spans="2:11" x14ac:dyDescent="0.2">
      <c r="B1029" s="21">
        <f t="shared" ref="B1029:B1092" si="16">B1028-1</f>
        <v>1092</v>
      </c>
      <c r="C1029" t="s">
        <v>616</v>
      </c>
      <c r="D1029" t="s">
        <v>13</v>
      </c>
      <c r="E1029" t="s">
        <v>2751</v>
      </c>
      <c r="F1029" t="s">
        <v>21</v>
      </c>
      <c r="G1029" s="21">
        <v>1</v>
      </c>
      <c r="H1029" s="21">
        <v>0</v>
      </c>
      <c r="I1029" t="s">
        <v>933</v>
      </c>
      <c r="J1029" s="20" t="s">
        <v>2354</v>
      </c>
      <c r="K1029" t="s">
        <v>2354</v>
      </c>
    </row>
    <row r="1030" spans="2:11" x14ac:dyDescent="0.2">
      <c r="B1030" s="21">
        <f t="shared" si="16"/>
        <v>1091</v>
      </c>
      <c r="C1030" t="s">
        <v>616</v>
      </c>
      <c r="D1030" t="s">
        <v>13</v>
      </c>
      <c r="E1030" t="s">
        <v>2751</v>
      </c>
      <c r="F1030" t="s">
        <v>34</v>
      </c>
      <c r="G1030" s="21">
        <v>1</v>
      </c>
      <c r="H1030" s="21">
        <v>0</v>
      </c>
      <c r="I1030" t="s">
        <v>937</v>
      </c>
      <c r="J1030" s="20" t="s">
        <v>2354</v>
      </c>
      <c r="K1030" t="s">
        <v>2353</v>
      </c>
    </row>
    <row r="1031" spans="2:11" x14ac:dyDescent="0.2">
      <c r="B1031" s="21">
        <f t="shared" si="16"/>
        <v>1090</v>
      </c>
      <c r="C1031" t="s">
        <v>930</v>
      </c>
      <c r="D1031" t="s">
        <v>13</v>
      </c>
      <c r="E1031" t="s">
        <v>2751</v>
      </c>
      <c r="F1031" t="s">
        <v>27</v>
      </c>
      <c r="G1031" s="21">
        <v>1</v>
      </c>
      <c r="H1031" s="21">
        <v>0</v>
      </c>
      <c r="I1031" t="s">
        <v>936</v>
      </c>
      <c r="J1031" s="20" t="s">
        <v>2354</v>
      </c>
      <c r="K1031" t="s">
        <v>2354</v>
      </c>
    </row>
    <row r="1032" spans="2:11" x14ac:dyDescent="0.2">
      <c r="B1032" s="21">
        <f t="shared" si="16"/>
        <v>1089</v>
      </c>
      <c r="C1032" t="s">
        <v>321</v>
      </c>
      <c r="D1032" t="s">
        <v>14</v>
      </c>
      <c r="E1032" t="s">
        <v>2751</v>
      </c>
      <c r="F1032" t="s">
        <v>43</v>
      </c>
      <c r="G1032" s="21">
        <v>1</v>
      </c>
      <c r="H1032" s="21">
        <v>0</v>
      </c>
      <c r="J1032" s="20" t="s">
        <v>2354</v>
      </c>
      <c r="K1032" t="s">
        <v>2353</v>
      </c>
    </row>
    <row r="1033" spans="2:11" x14ac:dyDescent="0.2">
      <c r="B1033" s="21">
        <f t="shared" si="16"/>
        <v>1088</v>
      </c>
      <c r="C1033" t="s">
        <v>687</v>
      </c>
      <c r="D1033" t="s">
        <v>13</v>
      </c>
      <c r="E1033" t="s">
        <v>2751</v>
      </c>
      <c r="F1033" t="s">
        <v>64</v>
      </c>
      <c r="G1033" s="21">
        <v>1</v>
      </c>
      <c r="H1033" s="21">
        <v>0</v>
      </c>
      <c r="J1033" s="20" t="s">
        <v>2354</v>
      </c>
      <c r="K1033" t="s">
        <v>2353</v>
      </c>
    </row>
    <row r="1034" spans="2:11" x14ac:dyDescent="0.2">
      <c r="B1034" s="21">
        <f t="shared" si="16"/>
        <v>1087</v>
      </c>
      <c r="C1034" t="s">
        <v>901</v>
      </c>
      <c r="D1034" t="s">
        <v>13</v>
      </c>
      <c r="E1034" t="s">
        <v>2751</v>
      </c>
      <c r="F1034" t="s">
        <v>8</v>
      </c>
      <c r="G1034" s="21">
        <v>1</v>
      </c>
      <c r="H1034" s="21">
        <v>0</v>
      </c>
      <c r="I1034" t="s">
        <v>934</v>
      </c>
      <c r="J1034" s="20" t="s">
        <v>2354</v>
      </c>
      <c r="K1034" t="s">
        <v>2354</v>
      </c>
    </row>
    <row r="1035" spans="2:11" x14ac:dyDescent="0.2">
      <c r="B1035" s="21">
        <f t="shared" si="16"/>
        <v>1086</v>
      </c>
      <c r="C1035" t="s">
        <v>235</v>
      </c>
      <c r="D1035" t="s">
        <v>13</v>
      </c>
      <c r="E1035" t="s">
        <v>2751</v>
      </c>
      <c r="F1035" t="s">
        <v>43</v>
      </c>
      <c r="G1035" s="21">
        <v>1</v>
      </c>
      <c r="H1035" s="21">
        <v>0</v>
      </c>
      <c r="I1035" t="s">
        <v>939</v>
      </c>
      <c r="J1035" s="20" t="s">
        <v>2354</v>
      </c>
      <c r="K1035" t="s">
        <v>2353</v>
      </c>
    </row>
    <row r="1036" spans="2:11" x14ac:dyDescent="0.2">
      <c r="B1036" s="21">
        <f t="shared" si="16"/>
        <v>1085</v>
      </c>
      <c r="C1036" t="s">
        <v>616</v>
      </c>
      <c r="D1036" t="s">
        <v>13</v>
      </c>
      <c r="E1036" t="s">
        <v>2751</v>
      </c>
      <c r="F1036" t="s">
        <v>8</v>
      </c>
      <c r="G1036" s="21">
        <v>1</v>
      </c>
      <c r="H1036" s="21">
        <v>0</v>
      </c>
      <c r="I1036" t="s">
        <v>932</v>
      </c>
      <c r="J1036" s="20" t="s">
        <v>2355</v>
      </c>
      <c r="K1036" t="s">
        <v>2354</v>
      </c>
    </row>
    <row r="1037" spans="2:11" x14ac:dyDescent="0.2">
      <c r="B1037" s="21">
        <f t="shared" si="16"/>
        <v>1084</v>
      </c>
      <c r="C1037" t="s">
        <v>930</v>
      </c>
      <c r="D1037" t="s">
        <v>13</v>
      </c>
      <c r="E1037" t="s">
        <v>2751</v>
      </c>
      <c r="F1037" t="s">
        <v>43</v>
      </c>
      <c r="G1037" s="21">
        <v>1</v>
      </c>
      <c r="H1037" s="21">
        <v>0</v>
      </c>
      <c r="I1037" t="s">
        <v>938</v>
      </c>
      <c r="J1037" s="20" t="s">
        <v>2355</v>
      </c>
      <c r="K1037" t="s">
        <v>2354</v>
      </c>
    </row>
    <row r="1038" spans="2:11" x14ac:dyDescent="0.2">
      <c r="B1038" s="21">
        <f t="shared" si="16"/>
        <v>1083</v>
      </c>
      <c r="C1038" t="s">
        <v>321</v>
      </c>
      <c r="D1038" t="s">
        <v>14</v>
      </c>
      <c r="E1038" t="s">
        <v>2751</v>
      </c>
      <c r="F1038" t="s">
        <v>43</v>
      </c>
      <c r="G1038" s="21">
        <v>1</v>
      </c>
      <c r="H1038" s="21">
        <v>0</v>
      </c>
      <c r="J1038" s="20" t="s">
        <v>2355</v>
      </c>
      <c r="K1038" t="s">
        <v>2354</v>
      </c>
    </row>
    <row r="1039" spans="2:11" x14ac:dyDescent="0.2">
      <c r="B1039" s="21">
        <f t="shared" si="16"/>
        <v>1082</v>
      </c>
      <c r="C1039" t="s">
        <v>687</v>
      </c>
      <c r="D1039" t="s">
        <v>13</v>
      </c>
      <c r="E1039" t="s">
        <v>2751</v>
      </c>
      <c r="F1039" t="s">
        <v>64</v>
      </c>
      <c r="G1039" s="21">
        <v>1</v>
      </c>
      <c r="H1039" s="21">
        <v>0</v>
      </c>
      <c r="J1039" s="20" t="s">
        <v>2355</v>
      </c>
      <c r="K1039" t="s">
        <v>2354</v>
      </c>
    </row>
    <row r="1040" spans="2:11" x14ac:dyDescent="0.2">
      <c r="B1040" s="21">
        <f t="shared" si="16"/>
        <v>1081</v>
      </c>
      <c r="C1040" t="s">
        <v>616</v>
      </c>
      <c r="D1040" t="s">
        <v>13</v>
      </c>
      <c r="E1040" t="s">
        <v>2751</v>
      </c>
      <c r="F1040" t="s">
        <v>8</v>
      </c>
      <c r="G1040" s="21">
        <v>1</v>
      </c>
      <c r="H1040" s="21">
        <v>0</v>
      </c>
      <c r="J1040" s="20" t="s">
        <v>2356</v>
      </c>
      <c r="K1040" t="s">
        <v>2694</v>
      </c>
    </row>
    <row r="1041" spans="2:11" x14ac:dyDescent="0.2">
      <c r="B1041" s="21">
        <f t="shared" si="16"/>
        <v>1080</v>
      </c>
      <c r="C1041" t="s">
        <v>235</v>
      </c>
      <c r="D1041" t="s">
        <v>13</v>
      </c>
      <c r="E1041" t="s">
        <v>2751</v>
      </c>
      <c r="F1041" t="s">
        <v>42</v>
      </c>
      <c r="G1041" s="21">
        <v>1</v>
      </c>
      <c r="H1041" s="21">
        <v>0</v>
      </c>
      <c r="J1041" s="20" t="s">
        <v>2356</v>
      </c>
      <c r="K1041" t="s">
        <v>2694</v>
      </c>
    </row>
    <row r="1042" spans="2:11" x14ac:dyDescent="0.2">
      <c r="B1042" s="21">
        <f t="shared" si="16"/>
        <v>1079</v>
      </c>
      <c r="C1042" t="s">
        <v>616</v>
      </c>
      <c r="D1042" t="s">
        <v>13</v>
      </c>
      <c r="E1042" t="s">
        <v>2751</v>
      </c>
      <c r="F1042" t="s">
        <v>4</v>
      </c>
      <c r="G1042" s="21">
        <v>1</v>
      </c>
      <c r="H1042" s="21">
        <v>0</v>
      </c>
      <c r="I1042" t="s">
        <v>929</v>
      </c>
      <c r="J1042" s="20" t="s">
        <v>2356</v>
      </c>
      <c r="K1042" t="s">
        <v>2356</v>
      </c>
    </row>
    <row r="1043" spans="2:11" x14ac:dyDescent="0.2">
      <c r="B1043" s="21">
        <f t="shared" si="16"/>
        <v>1078</v>
      </c>
      <c r="C1043" t="s">
        <v>930</v>
      </c>
      <c r="D1043" t="s">
        <v>13</v>
      </c>
      <c r="E1043" t="s">
        <v>2751</v>
      </c>
      <c r="F1043" t="s">
        <v>43</v>
      </c>
      <c r="G1043" s="21">
        <v>1</v>
      </c>
      <c r="H1043" s="21">
        <v>0</v>
      </c>
      <c r="I1043" t="s">
        <v>931</v>
      </c>
      <c r="J1043" s="20" t="s">
        <v>2356</v>
      </c>
      <c r="K1043" t="s">
        <v>2694</v>
      </c>
    </row>
    <row r="1044" spans="2:11" x14ac:dyDescent="0.2">
      <c r="B1044" s="21">
        <f t="shared" si="16"/>
        <v>1077</v>
      </c>
      <c r="C1044" t="s">
        <v>616</v>
      </c>
      <c r="D1044" t="s">
        <v>13</v>
      </c>
      <c r="E1044" t="s">
        <v>2751</v>
      </c>
      <c r="F1044" t="s">
        <v>34</v>
      </c>
      <c r="G1044" s="21">
        <v>1</v>
      </c>
      <c r="H1044" s="21">
        <v>0</v>
      </c>
      <c r="I1044" t="s">
        <v>926</v>
      </c>
      <c r="J1044" s="20" t="s">
        <v>2357</v>
      </c>
      <c r="K1044" t="s">
        <v>2357</v>
      </c>
    </row>
    <row r="1045" spans="2:11" x14ac:dyDescent="0.2">
      <c r="B1045" s="21">
        <f t="shared" si="16"/>
        <v>1076</v>
      </c>
      <c r="C1045" t="s">
        <v>235</v>
      </c>
      <c r="D1045" t="s">
        <v>13</v>
      </c>
      <c r="E1045" t="s">
        <v>2751</v>
      </c>
      <c r="F1045" t="s">
        <v>42</v>
      </c>
      <c r="G1045" s="21">
        <v>1</v>
      </c>
      <c r="H1045" s="21">
        <v>0</v>
      </c>
      <c r="I1045" t="s">
        <v>925</v>
      </c>
      <c r="J1045" s="20" t="s">
        <v>2357</v>
      </c>
      <c r="K1045" t="s">
        <v>2357</v>
      </c>
    </row>
    <row r="1046" spans="2:11" x14ac:dyDescent="0.2">
      <c r="B1046" s="21">
        <f t="shared" si="16"/>
        <v>1075</v>
      </c>
      <c r="C1046" t="s">
        <v>235</v>
      </c>
      <c r="D1046" t="s">
        <v>13</v>
      </c>
      <c r="E1046" t="s">
        <v>2751</v>
      </c>
      <c r="F1046" t="s">
        <v>34</v>
      </c>
      <c r="G1046" s="21">
        <v>1</v>
      </c>
      <c r="H1046" s="21">
        <v>0</v>
      </c>
      <c r="I1046" t="s">
        <v>928</v>
      </c>
      <c r="J1046" s="20" t="s">
        <v>2357</v>
      </c>
      <c r="K1046" t="s">
        <v>2357</v>
      </c>
    </row>
    <row r="1047" spans="2:11" x14ac:dyDescent="0.2">
      <c r="B1047" s="21">
        <f t="shared" si="16"/>
        <v>1074</v>
      </c>
      <c r="C1047" t="s">
        <v>151</v>
      </c>
      <c r="D1047" t="s">
        <v>13</v>
      </c>
      <c r="E1047" t="s">
        <v>2751</v>
      </c>
      <c r="F1047" t="s">
        <v>64</v>
      </c>
      <c r="G1047" s="21">
        <v>1</v>
      </c>
      <c r="H1047" s="21">
        <v>0</v>
      </c>
      <c r="I1047" t="s">
        <v>927</v>
      </c>
      <c r="J1047" s="20" t="s">
        <v>2357</v>
      </c>
      <c r="K1047" t="s">
        <v>2357</v>
      </c>
    </row>
    <row r="1048" spans="2:11" x14ac:dyDescent="0.2">
      <c r="B1048" s="21">
        <f t="shared" si="16"/>
        <v>1073</v>
      </c>
      <c r="C1048" t="s">
        <v>616</v>
      </c>
      <c r="D1048" t="s">
        <v>13</v>
      </c>
      <c r="E1048" t="s">
        <v>2751</v>
      </c>
      <c r="F1048" t="s">
        <v>34</v>
      </c>
      <c r="G1048" s="21">
        <v>1</v>
      </c>
      <c r="H1048" s="21">
        <v>0</v>
      </c>
      <c r="I1048" t="s">
        <v>919</v>
      </c>
      <c r="J1048" s="20" t="s">
        <v>2358</v>
      </c>
      <c r="K1048" t="s">
        <v>2358</v>
      </c>
    </row>
    <row r="1049" spans="2:11" x14ac:dyDescent="0.2">
      <c r="B1049" s="21">
        <f t="shared" si="16"/>
        <v>1072</v>
      </c>
      <c r="C1049" t="s">
        <v>891</v>
      </c>
      <c r="D1049" t="s">
        <v>13</v>
      </c>
      <c r="E1049" t="s">
        <v>2751</v>
      </c>
      <c r="F1049" t="s">
        <v>34</v>
      </c>
      <c r="G1049" s="21">
        <v>1</v>
      </c>
      <c r="H1049" s="21">
        <v>0</v>
      </c>
      <c r="I1049" t="s">
        <v>924</v>
      </c>
      <c r="J1049" s="20" t="s">
        <v>2358</v>
      </c>
      <c r="K1049" t="s">
        <v>2358</v>
      </c>
    </row>
    <row r="1050" spans="2:11" x14ac:dyDescent="0.2">
      <c r="B1050" s="21">
        <f t="shared" si="16"/>
        <v>1071</v>
      </c>
      <c r="C1050" t="s">
        <v>235</v>
      </c>
      <c r="D1050" t="s">
        <v>13</v>
      </c>
      <c r="E1050" t="s">
        <v>2751</v>
      </c>
      <c r="F1050" t="s">
        <v>34</v>
      </c>
      <c r="G1050" s="21">
        <v>1</v>
      </c>
      <c r="H1050" s="21">
        <v>0</v>
      </c>
      <c r="I1050" t="s">
        <v>923</v>
      </c>
      <c r="J1050" s="20" t="s">
        <v>2358</v>
      </c>
      <c r="K1050" t="s">
        <v>2357</v>
      </c>
    </row>
    <row r="1051" spans="2:11" x14ac:dyDescent="0.2">
      <c r="B1051" s="21">
        <f t="shared" si="16"/>
        <v>1070</v>
      </c>
      <c r="C1051" t="s">
        <v>235</v>
      </c>
      <c r="D1051" t="s">
        <v>13</v>
      </c>
      <c r="E1051" t="s">
        <v>2751</v>
      </c>
      <c r="F1051" t="s">
        <v>42</v>
      </c>
      <c r="G1051" s="21">
        <v>1</v>
      </c>
      <c r="H1051" s="21">
        <v>0</v>
      </c>
      <c r="I1051" t="s">
        <v>922</v>
      </c>
      <c r="J1051" s="20" t="s">
        <v>2358</v>
      </c>
      <c r="K1051" t="s">
        <v>2358</v>
      </c>
    </row>
    <row r="1052" spans="2:11" x14ac:dyDescent="0.2">
      <c r="B1052" s="21">
        <f t="shared" si="16"/>
        <v>1069</v>
      </c>
      <c r="C1052" t="s">
        <v>235</v>
      </c>
      <c r="D1052" t="s">
        <v>13</v>
      </c>
      <c r="E1052" t="s">
        <v>2751</v>
      </c>
      <c r="F1052" t="s">
        <v>42</v>
      </c>
      <c r="G1052" s="21">
        <v>1</v>
      </c>
      <c r="H1052" s="21">
        <v>0</v>
      </c>
      <c r="I1052" t="s">
        <v>920</v>
      </c>
      <c r="J1052" s="20" t="s">
        <v>2358</v>
      </c>
      <c r="K1052" t="s">
        <v>2358</v>
      </c>
    </row>
    <row r="1053" spans="2:11" x14ac:dyDescent="0.2">
      <c r="B1053" s="21">
        <f t="shared" si="16"/>
        <v>1068</v>
      </c>
      <c r="C1053" t="s">
        <v>235</v>
      </c>
      <c r="D1053" t="s">
        <v>13</v>
      </c>
      <c r="E1053" t="s">
        <v>2751</v>
      </c>
      <c r="F1053" t="s">
        <v>22</v>
      </c>
      <c r="G1053" s="21">
        <v>1</v>
      </c>
      <c r="H1053" s="21">
        <v>0</v>
      </c>
      <c r="I1053" t="s">
        <v>921</v>
      </c>
      <c r="J1053" s="20" t="s">
        <v>2358</v>
      </c>
      <c r="K1053" t="s">
        <v>2358</v>
      </c>
    </row>
    <row r="1054" spans="2:11" x14ac:dyDescent="0.2">
      <c r="B1054" s="21">
        <f t="shared" si="16"/>
        <v>1067</v>
      </c>
      <c r="C1054" t="s">
        <v>616</v>
      </c>
      <c r="D1054" t="s">
        <v>13</v>
      </c>
      <c r="E1054" t="s">
        <v>2751</v>
      </c>
      <c r="F1054" t="s">
        <v>34</v>
      </c>
      <c r="G1054" s="21">
        <v>1</v>
      </c>
      <c r="H1054" s="21">
        <v>0</v>
      </c>
      <c r="I1054" t="s">
        <v>911</v>
      </c>
      <c r="J1054" s="20" t="s">
        <v>2359</v>
      </c>
      <c r="K1054" t="s">
        <v>2358</v>
      </c>
    </row>
    <row r="1055" spans="2:11" x14ac:dyDescent="0.2">
      <c r="B1055" s="21">
        <f t="shared" si="16"/>
        <v>1066</v>
      </c>
      <c r="C1055" t="s">
        <v>578</v>
      </c>
      <c r="D1055" t="s">
        <v>14</v>
      </c>
      <c r="E1055" t="s">
        <v>2751</v>
      </c>
      <c r="F1055" t="s">
        <v>27</v>
      </c>
      <c r="G1055" s="21">
        <v>1</v>
      </c>
      <c r="H1055" s="21">
        <v>0</v>
      </c>
      <c r="J1055" s="20" t="s">
        <v>2359</v>
      </c>
      <c r="K1055" t="s">
        <v>2358</v>
      </c>
    </row>
    <row r="1056" spans="2:11" x14ac:dyDescent="0.2">
      <c r="B1056" s="21">
        <f t="shared" si="16"/>
        <v>1065</v>
      </c>
      <c r="C1056" t="s">
        <v>891</v>
      </c>
      <c r="D1056" t="s">
        <v>13</v>
      </c>
      <c r="E1056" t="s">
        <v>2751</v>
      </c>
      <c r="F1056" t="s">
        <v>34</v>
      </c>
      <c r="G1056" s="21">
        <v>1</v>
      </c>
      <c r="H1056" s="21">
        <v>0</v>
      </c>
      <c r="I1056" t="s">
        <v>917</v>
      </c>
      <c r="J1056" s="20" t="s">
        <v>2359</v>
      </c>
      <c r="K1056" t="s">
        <v>2358</v>
      </c>
    </row>
    <row r="1057" spans="2:11" x14ac:dyDescent="0.2">
      <c r="B1057" s="21">
        <f t="shared" si="16"/>
        <v>1064</v>
      </c>
      <c r="C1057" t="s">
        <v>891</v>
      </c>
      <c r="D1057" t="s">
        <v>13</v>
      </c>
      <c r="E1057" t="s">
        <v>2751</v>
      </c>
      <c r="F1057" t="s">
        <v>8</v>
      </c>
      <c r="G1057" s="21">
        <v>1</v>
      </c>
      <c r="H1057" s="21">
        <v>0</v>
      </c>
      <c r="I1057" t="s">
        <v>917</v>
      </c>
      <c r="J1057" s="20" t="s">
        <v>2359</v>
      </c>
      <c r="K1057" t="s">
        <v>2359</v>
      </c>
    </row>
    <row r="1058" spans="2:11" x14ac:dyDescent="0.2">
      <c r="B1058" s="21">
        <f t="shared" si="16"/>
        <v>1063</v>
      </c>
      <c r="C1058" t="s">
        <v>832</v>
      </c>
      <c r="D1058" t="s">
        <v>13</v>
      </c>
      <c r="E1058" t="s">
        <v>2751</v>
      </c>
      <c r="F1058" t="s">
        <v>27</v>
      </c>
      <c r="G1058" s="21">
        <v>1</v>
      </c>
      <c r="H1058" s="21">
        <v>0</v>
      </c>
      <c r="I1058" t="s">
        <v>916</v>
      </c>
      <c r="J1058" s="20" t="s">
        <v>2359</v>
      </c>
      <c r="K1058" t="s">
        <v>2359</v>
      </c>
    </row>
    <row r="1059" spans="2:11" x14ac:dyDescent="0.2">
      <c r="B1059" s="21">
        <f t="shared" si="16"/>
        <v>1062</v>
      </c>
      <c r="C1059" t="s">
        <v>235</v>
      </c>
      <c r="D1059" t="s">
        <v>13</v>
      </c>
      <c r="E1059" t="s">
        <v>2751</v>
      </c>
      <c r="F1059" t="s">
        <v>8</v>
      </c>
      <c r="G1059" s="21">
        <v>1</v>
      </c>
      <c r="H1059" s="21">
        <v>0</v>
      </c>
      <c r="I1059" t="s">
        <v>918</v>
      </c>
      <c r="J1059" s="20" t="s">
        <v>2359</v>
      </c>
      <c r="K1059" t="s">
        <v>2359</v>
      </c>
    </row>
    <row r="1060" spans="2:11" x14ac:dyDescent="0.2">
      <c r="B1060" s="21">
        <f t="shared" si="16"/>
        <v>1061</v>
      </c>
      <c r="C1060" t="s">
        <v>235</v>
      </c>
      <c r="D1060" t="s">
        <v>13</v>
      </c>
      <c r="E1060" t="s">
        <v>2751</v>
      </c>
      <c r="F1060" t="s">
        <v>42</v>
      </c>
      <c r="G1060" s="21">
        <v>1</v>
      </c>
      <c r="H1060" s="21">
        <v>0</v>
      </c>
      <c r="I1060" t="s">
        <v>913</v>
      </c>
      <c r="J1060" s="20" t="s">
        <v>2360</v>
      </c>
      <c r="K1060" t="s">
        <v>2360</v>
      </c>
    </row>
    <row r="1061" spans="2:11" x14ac:dyDescent="0.2">
      <c r="B1061" s="21">
        <f t="shared" si="16"/>
        <v>1060</v>
      </c>
      <c r="C1061" t="s">
        <v>616</v>
      </c>
      <c r="D1061" t="s">
        <v>13</v>
      </c>
      <c r="E1061" t="s">
        <v>2751</v>
      </c>
      <c r="F1061" t="s">
        <v>34</v>
      </c>
      <c r="G1061" s="21">
        <v>1</v>
      </c>
      <c r="H1061" s="21">
        <v>0</v>
      </c>
      <c r="I1061" t="s">
        <v>911</v>
      </c>
      <c r="J1061" s="20" t="s">
        <v>2360</v>
      </c>
      <c r="K1061" t="s">
        <v>2359</v>
      </c>
    </row>
    <row r="1062" spans="2:11" x14ac:dyDescent="0.2">
      <c r="B1062" s="21">
        <f t="shared" si="16"/>
        <v>1059</v>
      </c>
      <c r="C1062" t="s">
        <v>578</v>
      </c>
      <c r="D1062" t="s">
        <v>14</v>
      </c>
      <c r="E1062" t="s">
        <v>2751</v>
      </c>
      <c r="F1062" t="s">
        <v>27</v>
      </c>
      <c r="G1062" s="21">
        <v>1</v>
      </c>
      <c r="H1062" s="21">
        <v>0</v>
      </c>
      <c r="I1062" t="s">
        <v>912</v>
      </c>
      <c r="J1062" s="20" t="s">
        <v>2360</v>
      </c>
      <c r="K1062" t="s">
        <v>2359</v>
      </c>
    </row>
    <row r="1063" spans="2:11" x14ac:dyDescent="0.2">
      <c r="B1063" s="21">
        <f t="shared" si="16"/>
        <v>1058</v>
      </c>
      <c r="C1063" t="s">
        <v>151</v>
      </c>
      <c r="D1063" t="s">
        <v>13</v>
      </c>
      <c r="E1063" t="s">
        <v>2751</v>
      </c>
      <c r="F1063" t="s">
        <v>64</v>
      </c>
      <c r="G1063" s="21">
        <v>1</v>
      </c>
      <c r="H1063" s="21">
        <v>0</v>
      </c>
      <c r="I1063" t="s">
        <v>914</v>
      </c>
      <c r="J1063" s="20" t="s">
        <v>2360</v>
      </c>
      <c r="K1063" t="s">
        <v>2360</v>
      </c>
    </row>
    <row r="1064" spans="2:11" x14ac:dyDescent="0.2">
      <c r="B1064" s="21">
        <f t="shared" si="16"/>
        <v>1057</v>
      </c>
      <c r="C1064" t="s">
        <v>891</v>
      </c>
      <c r="D1064" t="s">
        <v>13</v>
      </c>
      <c r="E1064" t="s">
        <v>2751</v>
      </c>
      <c r="F1064" t="s">
        <v>49</v>
      </c>
      <c r="G1064" s="21">
        <v>1</v>
      </c>
      <c r="H1064" s="21">
        <v>0</v>
      </c>
      <c r="I1064" t="s">
        <v>915</v>
      </c>
      <c r="J1064" s="20" t="s">
        <v>2360</v>
      </c>
      <c r="K1064" t="s">
        <v>2360</v>
      </c>
    </row>
    <row r="1065" spans="2:11" x14ac:dyDescent="0.2">
      <c r="B1065" s="21">
        <f t="shared" si="16"/>
        <v>1056</v>
      </c>
      <c r="C1065" t="s">
        <v>235</v>
      </c>
      <c r="D1065" t="s">
        <v>13</v>
      </c>
      <c r="E1065" t="s">
        <v>2751</v>
      </c>
      <c r="F1065" t="s">
        <v>42</v>
      </c>
      <c r="G1065" s="21">
        <v>1</v>
      </c>
      <c r="H1065" s="21">
        <v>0</v>
      </c>
      <c r="I1065" t="s">
        <v>910</v>
      </c>
      <c r="J1065" s="20" t="s">
        <v>2361</v>
      </c>
      <c r="K1065" t="s">
        <v>2360</v>
      </c>
    </row>
    <row r="1066" spans="2:11" x14ac:dyDescent="0.2">
      <c r="B1066" s="21">
        <f t="shared" si="16"/>
        <v>1055</v>
      </c>
      <c r="C1066" t="s">
        <v>616</v>
      </c>
      <c r="D1066" t="s">
        <v>13</v>
      </c>
      <c r="E1066" t="s">
        <v>2751</v>
      </c>
      <c r="F1066" t="s">
        <v>34</v>
      </c>
      <c r="G1066" s="21">
        <v>1</v>
      </c>
      <c r="H1066" s="21">
        <v>0</v>
      </c>
      <c r="J1066" s="20" t="s">
        <v>2361</v>
      </c>
      <c r="K1066" t="s">
        <v>2360</v>
      </c>
    </row>
    <row r="1067" spans="2:11" x14ac:dyDescent="0.2">
      <c r="B1067" s="21">
        <f t="shared" si="16"/>
        <v>1054</v>
      </c>
      <c r="C1067" t="s">
        <v>578</v>
      </c>
      <c r="D1067" t="s">
        <v>14</v>
      </c>
      <c r="E1067" t="s">
        <v>2751</v>
      </c>
      <c r="F1067" t="s">
        <v>27</v>
      </c>
      <c r="G1067" s="21">
        <v>1</v>
      </c>
      <c r="H1067" s="21">
        <v>0</v>
      </c>
      <c r="J1067" s="20" t="s">
        <v>2361</v>
      </c>
      <c r="K1067" t="s">
        <v>2360</v>
      </c>
    </row>
    <row r="1068" spans="2:11" x14ac:dyDescent="0.2">
      <c r="B1068" s="21">
        <f t="shared" si="16"/>
        <v>1053</v>
      </c>
      <c r="C1068" t="s">
        <v>235</v>
      </c>
      <c r="D1068" t="s">
        <v>13</v>
      </c>
      <c r="E1068" t="s">
        <v>2751</v>
      </c>
      <c r="F1068" t="s">
        <v>42</v>
      </c>
      <c r="G1068" s="21">
        <v>1</v>
      </c>
      <c r="H1068" s="21">
        <v>0</v>
      </c>
      <c r="I1068" t="s">
        <v>909</v>
      </c>
      <c r="J1068" s="20" t="s">
        <v>2362</v>
      </c>
      <c r="K1068" t="s">
        <v>2695</v>
      </c>
    </row>
    <row r="1069" spans="2:11" x14ac:dyDescent="0.2">
      <c r="B1069" s="21">
        <f t="shared" si="16"/>
        <v>1052</v>
      </c>
      <c r="C1069" t="s">
        <v>616</v>
      </c>
      <c r="D1069" t="s">
        <v>13</v>
      </c>
      <c r="E1069" t="s">
        <v>2751</v>
      </c>
      <c r="F1069" t="s">
        <v>34</v>
      </c>
      <c r="G1069" s="21">
        <v>1</v>
      </c>
      <c r="H1069" s="21">
        <v>0</v>
      </c>
      <c r="J1069" s="20" t="s">
        <v>2362</v>
      </c>
      <c r="K1069" t="s">
        <v>2695</v>
      </c>
    </row>
    <row r="1070" spans="2:11" x14ac:dyDescent="0.2">
      <c r="B1070" s="21">
        <f t="shared" si="16"/>
        <v>1051</v>
      </c>
      <c r="C1070" t="s">
        <v>891</v>
      </c>
      <c r="D1070" t="s">
        <v>13</v>
      </c>
      <c r="E1070" t="s">
        <v>2751</v>
      </c>
      <c r="F1070" t="s">
        <v>27</v>
      </c>
      <c r="G1070" s="21">
        <v>1</v>
      </c>
      <c r="H1070" s="21">
        <v>0</v>
      </c>
      <c r="J1070" s="20" t="s">
        <v>2362</v>
      </c>
      <c r="K1070" t="s">
        <v>2695</v>
      </c>
    </row>
    <row r="1071" spans="2:11" x14ac:dyDescent="0.2">
      <c r="B1071" s="21">
        <f t="shared" si="16"/>
        <v>1050</v>
      </c>
      <c r="C1071" t="s">
        <v>65</v>
      </c>
      <c r="D1071" t="s">
        <v>14</v>
      </c>
      <c r="E1071" t="s">
        <v>2751</v>
      </c>
      <c r="F1071" t="s">
        <v>27</v>
      </c>
      <c r="G1071" s="21">
        <v>1</v>
      </c>
      <c r="H1071" s="21">
        <v>0</v>
      </c>
      <c r="J1071" s="20" t="s">
        <v>2362</v>
      </c>
      <c r="K1071" t="s">
        <v>2695</v>
      </c>
    </row>
    <row r="1072" spans="2:11" x14ac:dyDescent="0.2">
      <c r="B1072" s="21">
        <f t="shared" si="16"/>
        <v>1049</v>
      </c>
      <c r="C1072" t="s">
        <v>616</v>
      </c>
      <c r="D1072" t="s">
        <v>13</v>
      </c>
      <c r="E1072" t="s">
        <v>2751</v>
      </c>
      <c r="F1072" t="s">
        <v>8</v>
      </c>
      <c r="G1072" s="21">
        <v>1</v>
      </c>
      <c r="H1072" s="21">
        <v>0</v>
      </c>
      <c r="J1072" s="20" t="s">
        <v>2363</v>
      </c>
      <c r="K1072" t="s">
        <v>2362</v>
      </c>
    </row>
    <row r="1073" spans="2:11" x14ac:dyDescent="0.2">
      <c r="B1073" s="21">
        <f t="shared" si="16"/>
        <v>1048</v>
      </c>
      <c r="C1073" t="s">
        <v>151</v>
      </c>
      <c r="D1073" t="s">
        <v>13</v>
      </c>
      <c r="E1073" t="s">
        <v>2751</v>
      </c>
      <c r="F1073" t="s">
        <v>27</v>
      </c>
      <c r="G1073" s="21">
        <v>1</v>
      </c>
      <c r="H1073" s="21">
        <v>0</v>
      </c>
      <c r="I1073" t="s">
        <v>905</v>
      </c>
      <c r="J1073" s="20" t="s">
        <v>2363</v>
      </c>
      <c r="K1073" t="s">
        <v>2363</v>
      </c>
    </row>
    <row r="1074" spans="2:11" x14ac:dyDescent="0.2">
      <c r="B1074" s="21">
        <f t="shared" si="16"/>
        <v>1047</v>
      </c>
      <c r="C1074" t="s">
        <v>235</v>
      </c>
      <c r="D1074" t="s">
        <v>13</v>
      </c>
      <c r="E1074" t="s">
        <v>2751</v>
      </c>
      <c r="F1074" t="s">
        <v>42</v>
      </c>
      <c r="G1074" s="21">
        <v>1</v>
      </c>
      <c r="H1074" s="21">
        <v>0</v>
      </c>
      <c r="I1074" t="s">
        <v>906</v>
      </c>
      <c r="J1074" s="20" t="s">
        <v>2363</v>
      </c>
      <c r="K1074" t="s">
        <v>2362</v>
      </c>
    </row>
    <row r="1075" spans="2:11" x14ac:dyDescent="0.2">
      <c r="B1075" s="21">
        <f t="shared" si="16"/>
        <v>1046</v>
      </c>
      <c r="C1075" t="s">
        <v>891</v>
      </c>
      <c r="D1075" t="s">
        <v>13</v>
      </c>
      <c r="E1075" t="s">
        <v>2751</v>
      </c>
      <c r="F1075" t="s">
        <v>27</v>
      </c>
      <c r="G1075" s="21">
        <v>1</v>
      </c>
      <c r="H1075" s="21">
        <v>0</v>
      </c>
      <c r="I1075" t="s">
        <v>907</v>
      </c>
      <c r="J1075" s="20" t="s">
        <v>2363</v>
      </c>
      <c r="K1075" t="s">
        <v>2363</v>
      </c>
    </row>
    <row r="1076" spans="2:11" x14ac:dyDescent="0.2">
      <c r="B1076" s="21">
        <f t="shared" si="16"/>
        <v>1045</v>
      </c>
      <c r="C1076" t="s">
        <v>616</v>
      </c>
      <c r="D1076" t="s">
        <v>13</v>
      </c>
      <c r="E1076" t="s">
        <v>2751</v>
      </c>
      <c r="F1076" t="s">
        <v>34</v>
      </c>
      <c r="G1076" s="21">
        <v>1</v>
      </c>
      <c r="H1076" s="21">
        <v>0</v>
      </c>
      <c r="I1076" t="s">
        <v>908</v>
      </c>
      <c r="J1076" s="20" t="s">
        <v>2363</v>
      </c>
      <c r="K1076" t="s">
        <v>2362</v>
      </c>
    </row>
    <row r="1077" spans="2:11" x14ac:dyDescent="0.2">
      <c r="B1077" s="21">
        <f t="shared" si="16"/>
        <v>1044</v>
      </c>
      <c r="C1077" t="s">
        <v>235</v>
      </c>
      <c r="D1077" t="s">
        <v>13</v>
      </c>
      <c r="E1077" t="s">
        <v>2751</v>
      </c>
      <c r="F1077" t="s">
        <v>43</v>
      </c>
      <c r="G1077" s="21">
        <v>1</v>
      </c>
      <c r="H1077" s="21">
        <v>0</v>
      </c>
      <c r="I1077" t="s">
        <v>903</v>
      </c>
      <c r="J1077" s="20" t="s">
        <v>2364</v>
      </c>
      <c r="K1077" t="s">
        <v>2364</v>
      </c>
    </row>
    <row r="1078" spans="2:11" x14ac:dyDescent="0.2">
      <c r="B1078" s="21">
        <f t="shared" si="16"/>
        <v>1043</v>
      </c>
      <c r="C1078" t="s">
        <v>616</v>
      </c>
      <c r="D1078" t="s">
        <v>13</v>
      </c>
      <c r="E1078" t="s">
        <v>2751</v>
      </c>
      <c r="F1078" t="s">
        <v>49</v>
      </c>
      <c r="G1078" s="21">
        <v>1</v>
      </c>
      <c r="H1078" s="21">
        <v>0</v>
      </c>
      <c r="I1078" t="s">
        <v>904</v>
      </c>
      <c r="J1078" s="20" t="s">
        <v>2364</v>
      </c>
      <c r="K1078" t="s">
        <v>2363</v>
      </c>
    </row>
    <row r="1079" spans="2:11" x14ac:dyDescent="0.2">
      <c r="B1079" s="21">
        <f t="shared" si="16"/>
        <v>1042</v>
      </c>
      <c r="C1079" t="s">
        <v>235</v>
      </c>
      <c r="D1079" t="s">
        <v>13</v>
      </c>
      <c r="E1079" t="s">
        <v>2751</v>
      </c>
      <c r="F1079" t="s">
        <v>49</v>
      </c>
      <c r="G1079" s="21">
        <v>1</v>
      </c>
      <c r="H1079" s="21">
        <v>0</v>
      </c>
      <c r="J1079" s="20" t="s">
        <v>2365</v>
      </c>
      <c r="K1079" t="s">
        <v>2364</v>
      </c>
    </row>
    <row r="1080" spans="2:11" x14ac:dyDescent="0.2">
      <c r="B1080" s="21">
        <f t="shared" si="16"/>
        <v>1041</v>
      </c>
      <c r="C1080" t="s">
        <v>616</v>
      </c>
      <c r="D1080" t="s">
        <v>13</v>
      </c>
      <c r="E1080" t="s">
        <v>2751</v>
      </c>
      <c r="F1080" t="s">
        <v>49</v>
      </c>
      <c r="G1080" s="21">
        <v>1</v>
      </c>
      <c r="H1080" s="21">
        <v>0</v>
      </c>
      <c r="I1080" t="s">
        <v>902</v>
      </c>
      <c r="J1080" s="20" t="s">
        <v>2365</v>
      </c>
      <c r="K1080" t="s">
        <v>2365</v>
      </c>
    </row>
    <row r="1081" spans="2:11" x14ac:dyDescent="0.2">
      <c r="B1081" s="21">
        <f t="shared" si="16"/>
        <v>1040</v>
      </c>
      <c r="C1081" t="s">
        <v>235</v>
      </c>
      <c r="D1081" t="s">
        <v>13</v>
      </c>
      <c r="E1081" t="s">
        <v>2751</v>
      </c>
      <c r="F1081" t="s">
        <v>49</v>
      </c>
      <c r="G1081" s="21">
        <v>1</v>
      </c>
      <c r="H1081" s="21">
        <v>0</v>
      </c>
      <c r="I1081" t="s">
        <v>898</v>
      </c>
      <c r="J1081" s="20" t="s">
        <v>2366</v>
      </c>
      <c r="K1081" t="s">
        <v>2365</v>
      </c>
    </row>
    <row r="1082" spans="2:11" x14ac:dyDescent="0.2">
      <c r="B1082" s="21">
        <f t="shared" si="16"/>
        <v>1039</v>
      </c>
      <c r="C1082" t="s">
        <v>235</v>
      </c>
      <c r="D1082" t="s">
        <v>13</v>
      </c>
      <c r="E1082" t="s">
        <v>2751</v>
      </c>
      <c r="F1082" t="s">
        <v>22</v>
      </c>
      <c r="G1082" s="21">
        <v>1</v>
      </c>
      <c r="H1082" s="21">
        <v>0</v>
      </c>
      <c r="I1082" t="s">
        <v>899</v>
      </c>
      <c r="J1082" s="20" t="s">
        <v>2366</v>
      </c>
      <c r="K1082" t="s">
        <v>2366</v>
      </c>
    </row>
    <row r="1083" spans="2:11" x14ac:dyDescent="0.2">
      <c r="B1083" s="21">
        <f t="shared" si="16"/>
        <v>1038</v>
      </c>
      <c r="C1083" t="s">
        <v>616</v>
      </c>
      <c r="D1083" t="s">
        <v>13</v>
      </c>
      <c r="E1083" t="s">
        <v>2751</v>
      </c>
      <c r="F1083" t="s">
        <v>8</v>
      </c>
      <c r="G1083" s="21">
        <v>1</v>
      </c>
      <c r="H1083" s="21">
        <v>0</v>
      </c>
      <c r="I1083" t="s">
        <v>897</v>
      </c>
      <c r="J1083" s="20" t="s">
        <v>2366</v>
      </c>
      <c r="K1083" t="s">
        <v>2366</v>
      </c>
    </row>
    <row r="1084" spans="2:11" x14ac:dyDescent="0.2">
      <c r="B1084" s="21">
        <f t="shared" si="16"/>
        <v>1037</v>
      </c>
      <c r="C1084" t="s">
        <v>901</v>
      </c>
      <c r="D1084" t="s">
        <v>13</v>
      </c>
      <c r="E1084" t="s">
        <v>2751</v>
      </c>
      <c r="F1084" t="s">
        <v>8</v>
      </c>
      <c r="G1084" s="21">
        <v>1</v>
      </c>
      <c r="H1084" s="21">
        <v>0</v>
      </c>
      <c r="I1084" t="s">
        <v>900</v>
      </c>
      <c r="J1084" s="20" t="s">
        <v>2366</v>
      </c>
      <c r="K1084" t="s">
        <v>2366</v>
      </c>
    </row>
    <row r="1085" spans="2:11" x14ac:dyDescent="0.2">
      <c r="B1085" s="21">
        <f t="shared" si="16"/>
        <v>1036</v>
      </c>
      <c r="C1085" t="s">
        <v>235</v>
      </c>
      <c r="D1085" t="s">
        <v>13</v>
      </c>
      <c r="E1085" t="s">
        <v>2751</v>
      </c>
      <c r="F1085" t="s">
        <v>21</v>
      </c>
      <c r="G1085" s="21">
        <v>1</v>
      </c>
      <c r="H1085" s="21">
        <v>0</v>
      </c>
      <c r="I1085" t="s">
        <v>896</v>
      </c>
      <c r="J1085" s="20" t="s">
        <v>2367</v>
      </c>
      <c r="K1085" t="s">
        <v>2367</v>
      </c>
    </row>
    <row r="1086" spans="2:11" x14ac:dyDescent="0.2">
      <c r="B1086" s="21">
        <f t="shared" si="16"/>
        <v>1035</v>
      </c>
      <c r="C1086" t="s">
        <v>235</v>
      </c>
      <c r="D1086" t="s">
        <v>13</v>
      </c>
      <c r="E1086" t="s">
        <v>2751</v>
      </c>
      <c r="F1086" t="s">
        <v>31</v>
      </c>
      <c r="G1086" s="21">
        <v>1</v>
      </c>
      <c r="H1086" s="21">
        <v>0</v>
      </c>
      <c r="J1086" s="20" t="s">
        <v>2367</v>
      </c>
      <c r="K1086" t="s">
        <v>2366</v>
      </c>
    </row>
    <row r="1087" spans="2:11" x14ac:dyDescent="0.2">
      <c r="B1087" s="21">
        <f t="shared" si="16"/>
        <v>1034</v>
      </c>
      <c r="C1087" t="s">
        <v>235</v>
      </c>
      <c r="D1087" t="s">
        <v>13</v>
      </c>
      <c r="E1087" t="s">
        <v>2751</v>
      </c>
      <c r="F1087" t="s">
        <v>34</v>
      </c>
      <c r="G1087" s="21">
        <v>1</v>
      </c>
      <c r="H1087" s="21">
        <v>0</v>
      </c>
      <c r="I1087" t="s">
        <v>894</v>
      </c>
      <c r="J1087" s="20" t="s">
        <v>2368</v>
      </c>
      <c r="K1087" t="s">
        <v>2696</v>
      </c>
    </row>
    <row r="1088" spans="2:11" x14ac:dyDescent="0.2">
      <c r="B1088" s="21">
        <f t="shared" si="16"/>
        <v>1033</v>
      </c>
      <c r="C1088" t="s">
        <v>891</v>
      </c>
      <c r="D1088" t="s">
        <v>13</v>
      </c>
      <c r="E1088" t="s">
        <v>2751</v>
      </c>
      <c r="F1088" t="s">
        <v>27</v>
      </c>
      <c r="G1088" s="21">
        <v>1</v>
      </c>
      <c r="H1088" s="21">
        <v>0</v>
      </c>
      <c r="I1088" t="s">
        <v>895</v>
      </c>
      <c r="J1088" s="20" t="s">
        <v>2368</v>
      </c>
      <c r="K1088" t="s">
        <v>2368</v>
      </c>
    </row>
    <row r="1089" spans="2:11" x14ac:dyDescent="0.2">
      <c r="B1089" s="21">
        <f t="shared" si="16"/>
        <v>1032</v>
      </c>
      <c r="C1089" t="s">
        <v>235</v>
      </c>
      <c r="D1089" t="s">
        <v>13</v>
      </c>
      <c r="E1089" t="s">
        <v>2751</v>
      </c>
      <c r="F1089" t="s">
        <v>8</v>
      </c>
      <c r="G1089" s="21">
        <v>1</v>
      </c>
      <c r="H1089" s="21">
        <v>0</v>
      </c>
      <c r="I1089" t="s">
        <v>893</v>
      </c>
      <c r="J1089" s="20" t="s">
        <v>2368</v>
      </c>
      <c r="K1089" t="s">
        <v>2368</v>
      </c>
    </row>
    <row r="1090" spans="2:11" x14ac:dyDescent="0.2">
      <c r="B1090" s="21">
        <f t="shared" si="16"/>
        <v>1031</v>
      </c>
      <c r="C1090" t="s">
        <v>151</v>
      </c>
      <c r="D1090" t="s">
        <v>13</v>
      </c>
      <c r="E1090" t="s">
        <v>2751</v>
      </c>
      <c r="F1090" t="s">
        <v>64</v>
      </c>
      <c r="G1090" s="21">
        <v>1</v>
      </c>
      <c r="H1090" s="21">
        <v>0</v>
      </c>
      <c r="I1090" t="s">
        <v>889</v>
      </c>
      <c r="J1090" s="20" t="s">
        <v>2368</v>
      </c>
      <c r="K1090" t="s">
        <v>2368</v>
      </c>
    </row>
    <row r="1091" spans="2:11" x14ac:dyDescent="0.2">
      <c r="B1091" s="21">
        <f t="shared" si="16"/>
        <v>1030</v>
      </c>
      <c r="C1091" t="s">
        <v>235</v>
      </c>
      <c r="D1091" t="s">
        <v>13</v>
      </c>
      <c r="E1091" t="s">
        <v>2751</v>
      </c>
      <c r="F1091" t="s">
        <v>34</v>
      </c>
      <c r="G1091" s="21">
        <v>1</v>
      </c>
      <c r="H1091" s="21">
        <v>0</v>
      </c>
      <c r="I1091" t="s">
        <v>892</v>
      </c>
      <c r="J1091" s="20" t="s">
        <v>2369</v>
      </c>
      <c r="K1091" t="s">
        <v>2368</v>
      </c>
    </row>
    <row r="1092" spans="2:11" x14ac:dyDescent="0.2">
      <c r="B1092" s="21">
        <f t="shared" si="16"/>
        <v>1029</v>
      </c>
      <c r="C1092" t="s">
        <v>235</v>
      </c>
      <c r="D1092" t="s">
        <v>13</v>
      </c>
      <c r="E1092" t="s">
        <v>2751</v>
      </c>
      <c r="F1092" t="s">
        <v>31</v>
      </c>
      <c r="G1092" s="21">
        <v>1</v>
      </c>
      <c r="H1092" s="21">
        <v>0</v>
      </c>
      <c r="I1092" t="s">
        <v>888</v>
      </c>
      <c r="J1092" s="20" t="s">
        <v>2370</v>
      </c>
      <c r="K1092" t="s">
        <v>2370</v>
      </c>
    </row>
    <row r="1093" spans="2:11" x14ac:dyDescent="0.2">
      <c r="B1093" s="21">
        <f t="shared" ref="B1093:B1156" si="17">B1092-1</f>
        <v>1028</v>
      </c>
      <c r="C1093" t="s">
        <v>235</v>
      </c>
      <c r="D1093" t="s">
        <v>13</v>
      </c>
      <c r="E1093" t="s">
        <v>2751</v>
      </c>
      <c r="F1093" t="s">
        <v>34</v>
      </c>
      <c r="G1093" s="21">
        <v>1</v>
      </c>
      <c r="H1093" s="21">
        <v>0</v>
      </c>
      <c r="I1093" t="s">
        <v>890</v>
      </c>
      <c r="J1093" s="20" t="s">
        <v>2370</v>
      </c>
      <c r="K1093" t="s">
        <v>2369</v>
      </c>
    </row>
    <row r="1094" spans="2:11" x14ac:dyDescent="0.2">
      <c r="B1094" s="21">
        <f t="shared" si="17"/>
        <v>1027</v>
      </c>
      <c r="C1094" t="s">
        <v>151</v>
      </c>
      <c r="D1094" t="s">
        <v>13</v>
      </c>
      <c r="E1094" t="s">
        <v>2751</v>
      </c>
      <c r="F1094" t="s">
        <v>64</v>
      </c>
      <c r="G1094" s="21">
        <v>1</v>
      </c>
      <c r="H1094" s="21">
        <v>0</v>
      </c>
      <c r="I1094" t="s">
        <v>889</v>
      </c>
      <c r="J1094" s="20" t="s">
        <v>2370</v>
      </c>
      <c r="K1094" t="s">
        <v>2369</v>
      </c>
    </row>
    <row r="1095" spans="2:11" x14ac:dyDescent="0.2">
      <c r="B1095" s="21">
        <f t="shared" si="17"/>
        <v>1026</v>
      </c>
      <c r="C1095" t="s">
        <v>235</v>
      </c>
      <c r="D1095" t="s">
        <v>13</v>
      </c>
      <c r="E1095" t="s">
        <v>2751</v>
      </c>
      <c r="F1095" t="s">
        <v>31</v>
      </c>
      <c r="G1095" s="21">
        <v>1</v>
      </c>
      <c r="H1095" s="21">
        <v>0</v>
      </c>
      <c r="I1095" t="s">
        <v>884</v>
      </c>
      <c r="J1095" s="20" t="s">
        <v>2371</v>
      </c>
      <c r="K1095" t="s">
        <v>2370</v>
      </c>
    </row>
    <row r="1096" spans="2:11" x14ac:dyDescent="0.2">
      <c r="B1096" s="21">
        <f t="shared" si="17"/>
        <v>1025</v>
      </c>
      <c r="C1096" t="s">
        <v>235</v>
      </c>
      <c r="D1096" t="s">
        <v>13</v>
      </c>
      <c r="E1096" t="s">
        <v>2751</v>
      </c>
      <c r="F1096" t="s">
        <v>49</v>
      </c>
      <c r="G1096" s="21">
        <v>1</v>
      </c>
      <c r="H1096" s="21">
        <v>0</v>
      </c>
      <c r="I1096" t="s">
        <v>885</v>
      </c>
      <c r="J1096" s="20" t="s">
        <v>2371</v>
      </c>
      <c r="K1096" t="s">
        <v>2370</v>
      </c>
    </row>
    <row r="1097" spans="2:11" x14ac:dyDescent="0.2">
      <c r="B1097" s="21">
        <f t="shared" si="17"/>
        <v>1024</v>
      </c>
      <c r="C1097" t="s">
        <v>235</v>
      </c>
      <c r="D1097" t="s">
        <v>13</v>
      </c>
      <c r="E1097" t="s">
        <v>2751</v>
      </c>
      <c r="F1097" t="s">
        <v>34</v>
      </c>
      <c r="G1097" s="21">
        <v>1</v>
      </c>
      <c r="H1097" s="21">
        <v>0</v>
      </c>
      <c r="I1097" t="s">
        <v>886</v>
      </c>
      <c r="J1097" s="20" t="s">
        <v>2371</v>
      </c>
      <c r="K1097" t="s">
        <v>2370</v>
      </c>
    </row>
    <row r="1098" spans="2:11" x14ac:dyDescent="0.2">
      <c r="B1098" s="21">
        <f t="shared" si="17"/>
        <v>1023</v>
      </c>
      <c r="C1098" t="s">
        <v>151</v>
      </c>
      <c r="D1098" t="s">
        <v>13</v>
      </c>
      <c r="E1098" t="s">
        <v>2751</v>
      </c>
      <c r="F1098" t="s">
        <v>64</v>
      </c>
      <c r="G1098" s="21">
        <v>1</v>
      </c>
      <c r="H1098" s="21">
        <v>0</v>
      </c>
      <c r="J1098" s="20" t="s">
        <v>2371</v>
      </c>
      <c r="K1098" t="s">
        <v>2370</v>
      </c>
    </row>
    <row r="1099" spans="2:11" x14ac:dyDescent="0.2">
      <c r="B1099" s="21">
        <f t="shared" si="17"/>
        <v>1022</v>
      </c>
      <c r="C1099" t="s">
        <v>616</v>
      </c>
      <c r="D1099" t="s">
        <v>13</v>
      </c>
      <c r="E1099" t="s">
        <v>2751</v>
      </c>
      <c r="F1099" t="s">
        <v>8</v>
      </c>
      <c r="G1099" s="21">
        <v>1</v>
      </c>
      <c r="H1099" s="21">
        <v>0</v>
      </c>
      <c r="I1099" t="s">
        <v>887</v>
      </c>
      <c r="J1099" s="20" t="s">
        <v>2371</v>
      </c>
      <c r="K1099" t="s">
        <v>2371</v>
      </c>
    </row>
    <row r="1100" spans="2:11" x14ac:dyDescent="0.2">
      <c r="B1100" s="21">
        <f t="shared" si="17"/>
        <v>1021</v>
      </c>
      <c r="C1100" t="s">
        <v>235</v>
      </c>
      <c r="D1100" t="s">
        <v>13</v>
      </c>
      <c r="E1100" t="s">
        <v>2751</v>
      </c>
      <c r="F1100" t="s">
        <v>31</v>
      </c>
      <c r="G1100" s="21">
        <v>1</v>
      </c>
      <c r="H1100" s="21">
        <v>0</v>
      </c>
      <c r="I1100" t="s">
        <v>881</v>
      </c>
      <c r="J1100" s="20" t="s">
        <v>2372</v>
      </c>
      <c r="K1100" t="s">
        <v>2371</v>
      </c>
    </row>
    <row r="1101" spans="2:11" x14ac:dyDescent="0.2">
      <c r="B1101" s="21">
        <f t="shared" si="17"/>
        <v>1020</v>
      </c>
      <c r="C1101" t="s">
        <v>235</v>
      </c>
      <c r="D1101" t="s">
        <v>13</v>
      </c>
      <c r="E1101" t="s">
        <v>2751</v>
      </c>
      <c r="F1101" t="s">
        <v>49</v>
      </c>
      <c r="G1101" s="21">
        <v>1</v>
      </c>
      <c r="H1101" s="21">
        <v>0</v>
      </c>
      <c r="I1101" t="s">
        <v>880</v>
      </c>
      <c r="J1101" s="20" t="s">
        <v>2372</v>
      </c>
      <c r="K1101" t="s">
        <v>2371</v>
      </c>
    </row>
    <row r="1102" spans="2:11" x14ac:dyDescent="0.2">
      <c r="B1102" s="21">
        <f t="shared" si="17"/>
        <v>1019</v>
      </c>
      <c r="C1102" t="s">
        <v>235</v>
      </c>
      <c r="D1102" t="s">
        <v>13</v>
      </c>
      <c r="E1102" t="s">
        <v>2751</v>
      </c>
      <c r="F1102" t="s">
        <v>34</v>
      </c>
      <c r="G1102" s="21">
        <v>1</v>
      </c>
      <c r="H1102" s="21">
        <v>0</v>
      </c>
      <c r="I1102" t="s">
        <v>882</v>
      </c>
      <c r="J1102" s="20" t="s">
        <v>2372</v>
      </c>
      <c r="K1102" t="s">
        <v>2371</v>
      </c>
    </row>
    <row r="1103" spans="2:11" x14ac:dyDescent="0.2">
      <c r="B1103" s="21">
        <f t="shared" si="17"/>
        <v>1018</v>
      </c>
      <c r="C1103" t="s">
        <v>616</v>
      </c>
      <c r="D1103" t="s">
        <v>13</v>
      </c>
      <c r="E1103" t="s">
        <v>2751</v>
      </c>
      <c r="F1103" t="s">
        <v>8</v>
      </c>
      <c r="G1103" s="21">
        <v>1</v>
      </c>
      <c r="H1103" s="21">
        <v>0</v>
      </c>
      <c r="I1103" t="s">
        <v>883</v>
      </c>
      <c r="J1103" s="20" t="s">
        <v>2372</v>
      </c>
      <c r="K1103" t="s">
        <v>2372</v>
      </c>
    </row>
    <row r="1104" spans="2:11" x14ac:dyDescent="0.2">
      <c r="B1104" s="21">
        <f t="shared" si="17"/>
        <v>1017</v>
      </c>
      <c r="C1104" t="s">
        <v>235</v>
      </c>
      <c r="D1104" t="s">
        <v>13</v>
      </c>
      <c r="E1104" t="s">
        <v>2751</v>
      </c>
      <c r="F1104" t="s">
        <v>31</v>
      </c>
      <c r="G1104" s="21">
        <v>1</v>
      </c>
      <c r="H1104" s="21">
        <v>0</v>
      </c>
      <c r="I1104" t="s">
        <v>874</v>
      </c>
      <c r="J1104" s="20" t="s">
        <v>2373</v>
      </c>
      <c r="K1104" t="s">
        <v>2697</v>
      </c>
    </row>
    <row r="1105" spans="2:11" x14ac:dyDescent="0.2">
      <c r="B1105" s="21">
        <f t="shared" si="17"/>
        <v>1016</v>
      </c>
      <c r="C1105" t="s">
        <v>235</v>
      </c>
      <c r="D1105" t="s">
        <v>13</v>
      </c>
      <c r="E1105" t="s">
        <v>2751</v>
      </c>
      <c r="F1105" t="s">
        <v>8</v>
      </c>
      <c r="G1105" s="21">
        <v>1</v>
      </c>
      <c r="H1105" s="21">
        <v>0</v>
      </c>
      <c r="I1105" t="s">
        <v>875</v>
      </c>
      <c r="J1105" s="20" t="s">
        <v>2373</v>
      </c>
      <c r="K1105" t="s">
        <v>2373</v>
      </c>
    </row>
    <row r="1106" spans="2:11" x14ac:dyDescent="0.2">
      <c r="B1106" s="21">
        <f t="shared" si="17"/>
        <v>1015</v>
      </c>
      <c r="C1106" t="s">
        <v>235</v>
      </c>
      <c r="D1106" t="s">
        <v>13</v>
      </c>
      <c r="E1106" t="s">
        <v>2751</v>
      </c>
      <c r="F1106" t="s">
        <v>49</v>
      </c>
      <c r="G1106" s="21">
        <v>1</v>
      </c>
      <c r="H1106" s="21">
        <v>0</v>
      </c>
      <c r="I1106" t="s">
        <v>876</v>
      </c>
      <c r="J1106" s="20" t="s">
        <v>2373</v>
      </c>
      <c r="K1106" t="s">
        <v>2697</v>
      </c>
    </row>
    <row r="1107" spans="2:11" x14ac:dyDescent="0.2">
      <c r="B1107" s="21">
        <f t="shared" si="17"/>
        <v>1014</v>
      </c>
      <c r="C1107" t="s">
        <v>151</v>
      </c>
      <c r="D1107" t="s">
        <v>13</v>
      </c>
      <c r="E1107" t="s">
        <v>2751</v>
      </c>
      <c r="F1107" t="s">
        <v>64</v>
      </c>
      <c r="G1107" s="21">
        <v>1</v>
      </c>
      <c r="H1107" s="21">
        <v>0</v>
      </c>
      <c r="I1107" t="s">
        <v>879</v>
      </c>
      <c r="J1107" s="20" t="s">
        <v>2373</v>
      </c>
      <c r="K1107" t="s">
        <v>2373</v>
      </c>
    </row>
    <row r="1108" spans="2:11" x14ac:dyDescent="0.2">
      <c r="B1108" s="21">
        <f t="shared" si="17"/>
        <v>1013</v>
      </c>
      <c r="C1108" t="s">
        <v>148</v>
      </c>
      <c r="D1108" t="s">
        <v>13</v>
      </c>
      <c r="E1108" t="s">
        <v>2751</v>
      </c>
      <c r="F1108" t="s">
        <v>27</v>
      </c>
      <c r="G1108" s="21">
        <v>1</v>
      </c>
      <c r="H1108" s="21">
        <v>0</v>
      </c>
      <c r="I1108" t="s">
        <v>878</v>
      </c>
      <c r="J1108" s="20" t="s">
        <v>2373</v>
      </c>
      <c r="K1108" t="s">
        <v>2373</v>
      </c>
    </row>
    <row r="1109" spans="2:11" x14ac:dyDescent="0.2">
      <c r="B1109" s="21">
        <f t="shared" si="17"/>
        <v>1012</v>
      </c>
      <c r="C1109" t="s">
        <v>616</v>
      </c>
      <c r="D1109" t="s">
        <v>13</v>
      </c>
      <c r="E1109" t="s">
        <v>2751</v>
      </c>
      <c r="F1109" t="s">
        <v>8</v>
      </c>
      <c r="G1109" s="21">
        <v>1</v>
      </c>
      <c r="H1109" s="21">
        <v>0</v>
      </c>
      <c r="I1109" t="s">
        <v>877</v>
      </c>
      <c r="J1109" s="20" t="s">
        <v>2373</v>
      </c>
      <c r="K1109" t="s">
        <v>2373</v>
      </c>
    </row>
    <row r="1110" spans="2:11" x14ac:dyDescent="0.2">
      <c r="B1110" s="21">
        <f t="shared" si="17"/>
        <v>1011</v>
      </c>
      <c r="C1110" t="s">
        <v>235</v>
      </c>
      <c r="D1110" t="s">
        <v>13</v>
      </c>
      <c r="E1110" t="s">
        <v>2751</v>
      </c>
      <c r="F1110" t="s">
        <v>34</v>
      </c>
      <c r="G1110" s="21">
        <v>1</v>
      </c>
      <c r="H1110" s="21">
        <v>0</v>
      </c>
      <c r="I1110" t="s">
        <v>873</v>
      </c>
      <c r="J1110" s="20" t="s">
        <v>2374</v>
      </c>
      <c r="K1110" t="s">
        <v>2374</v>
      </c>
    </row>
    <row r="1111" spans="2:11" x14ac:dyDescent="0.2">
      <c r="B1111" s="21">
        <f t="shared" si="17"/>
        <v>1010</v>
      </c>
      <c r="C1111" t="s">
        <v>616</v>
      </c>
      <c r="D1111" t="s">
        <v>13</v>
      </c>
      <c r="E1111" t="s">
        <v>2751</v>
      </c>
      <c r="F1111" t="s">
        <v>49</v>
      </c>
      <c r="G1111" s="21">
        <v>1</v>
      </c>
      <c r="H1111" s="21">
        <v>0</v>
      </c>
      <c r="I1111" t="s">
        <v>872</v>
      </c>
      <c r="J1111" s="20" t="s">
        <v>2374</v>
      </c>
      <c r="K1111" t="s">
        <v>2373</v>
      </c>
    </row>
    <row r="1112" spans="2:11" x14ac:dyDescent="0.2">
      <c r="B1112" s="21">
        <f t="shared" si="17"/>
        <v>1009</v>
      </c>
      <c r="C1112" t="s">
        <v>151</v>
      </c>
      <c r="D1112" t="s">
        <v>13</v>
      </c>
      <c r="E1112" t="s">
        <v>2751</v>
      </c>
      <c r="F1112" t="s">
        <v>34</v>
      </c>
      <c r="G1112" s="21">
        <v>1</v>
      </c>
      <c r="H1112" s="21">
        <v>0</v>
      </c>
      <c r="I1112" t="s">
        <v>871</v>
      </c>
      <c r="J1112" s="20" t="s">
        <v>2374</v>
      </c>
      <c r="K1112" t="s">
        <v>2374</v>
      </c>
    </row>
    <row r="1113" spans="2:11" x14ac:dyDescent="0.2">
      <c r="B1113" s="21">
        <f t="shared" si="17"/>
        <v>1008</v>
      </c>
      <c r="C1113" t="s">
        <v>235</v>
      </c>
      <c r="D1113" t="s">
        <v>13</v>
      </c>
      <c r="E1113" t="s">
        <v>2751</v>
      </c>
      <c r="F1113" t="s">
        <v>34</v>
      </c>
      <c r="G1113" s="21">
        <v>1</v>
      </c>
      <c r="H1113" s="21">
        <v>0</v>
      </c>
      <c r="J1113" s="20" t="s">
        <v>2375</v>
      </c>
      <c r="K1113" t="s">
        <v>2374</v>
      </c>
    </row>
    <row r="1114" spans="2:11" x14ac:dyDescent="0.2">
      <c r="B1114" s="21">
        <f t="shared" si="17"/>
        <v>1007</v>
      </c>
      <c r="C1114" t="s">
        <v>616</v>
      </c>
      <c r="D1114" t="s">
        <v>13</v>
      </c>
      <c r="E1114" t="s">
        <v>2751</v>
      </c>
      <c r="F1114" t="s">
        <v>49</v>
      </c>
      <c r="G1114" s="21">
        <v>1</v>
      </c>
      <c r="H1114" s="21">
        <v>0</v>
      </c>
      <c r="J1114" s="20" t="s">
        <v>2375</v>
      </c>
      <c r="K1114" t="s">
        <v>2374</v>
      </c>
    </row>
    <row r="1115" spans="2:11" x14ac:dyDescent="0.2">
      <c r="B1115" s="21">
        <f t="shared" si="17"/>
        <v>1006</v>
      </c>
      <c r="C1115" t="s">
        <v>151</v>
      </c>
      <c r="D1115" t="s">
        <v>13</v>
      </c>
      <c r="E1115" t="s">
        <v>2751</v>
      </c>
      <c r="F1115" t="s">
        <v>34</v>
      </c>
      <c r="G1115" s="21">
        <v>1</v>
      </c>
      <c r="H1115" s="21">
        <v>0</v>
      </c>
      <c r="I1115" t="s">
        <v>870</v>
      </c>
      <c r="J1115" s="20" t="s">
        <v>2375</v>
      </c>
      <c r="K1115" t="s">
        <v>2374</v>
      </c>
    </row>
    <row r="1116" spans="2:11" x14ac:dyDescent="0.2">
      <c r="B1116" s="21">
        <f t="shared" si="17"/>
        <v>1005</v>
      </c>
      <c r="C1116" t="s">
        <v>235</v>
      </c>
      <c r="D1116" t="s">
        <v>13</v>
      </c>
      <c r="E1116" t="s">
        <v>2751</v>
      </c>
      <c r="F1116" t="s">
        <v>34</v>
      </c>
      <c r="G1116" s="21">
        <v>1</v>
      </c>
      <c r="H1116" s="21">
        <v>0</v>
      </c>
      <c r="I1116" t="s">
        <v>865</v>
      </c>
      <c r="J1116" s="20" t="s">
        <v>2376</v>
      </c>
      <c r="K1116" t="s">
        <v>2375</v>
      </c>
    </row>
    <row r="1117" spans="2:11" x14ac:dyDescent="0.2">
      <c r="B1117" s="21">
        <f t="shared" si="17"/>
        <v>1004</v>
      </c>
      <c r="C1117" t="s">
        <v>616</v>
      </c>
      <c r="D1117" t="s">
        <v>13</v>
      </c>
      <c r="E1117" t="s">
        <v>2751</v>
      </c>
      <c r="F1117" t="s">
        <v>49</v>
      </c>
      <c r="G1117" s="21">
        <v>1</v>
      </c>
      <c r="H1117" s="21">
        <v>0</v>
      </c>
      <c r="I1117" t="s">
        <v>866</v>
      </c>
      <c r="J1117" s="20" t="s">
        <v>2376</v>
      </c>
      <c r="K1117" t="s">
        <v>2375</v>
      </c>
    </row>
    <row r="1118" spans="2:11" x14ac:dyDescent="0.2">
      <c r="B1118" s="21">
        <f t="shared" si="17"/>
        <v>1003</v>
      </c>
      <c r="C1118" t="s">
        <v>151</v>
      </c>
      <c r="D1118" t="s">
        <v>13</v>
      </c>
      <c r="E1118" t="s">
        <v>2751</v>
      </c>
      <c r="F1118" t="s">
        <v>64</v>
      </c>
      <c r="G1118" s="21">
        <v>1</v>
      </c>
      <c r="H1118" s="21">
        <v>0</v>
      </c>
      <c r="I1118" t="s">
        <v>867</v>
      </c>
      <c r="J1118" s="20" t="s">
        <v>2376</v>
      </c>
      <c r="K1118" t="s">
        <v>2376</v>
      </c>
    </row>
    <row r="1119" spans="2:11" x14ac:dyDescent="0.2">
      <c r="B1119" s="21">
        <f t="shared" si="17"/>
        <v>1002</v>
      </c>
      <c r="C1119" t="s">
        <v>151</v>
      </c>
      <c r="D1119" t="s">
        <v>13</v>
      </c>
      <c r="E1119" t="s">
        <v>2751</v>
      </c>
      <c r="F1119" t="s">
        <v>34</v>
      </c>
      <c r="G1119" s="21">
        <v>1</v>
      </c>
      <c r="H1119" s="21">
        <v>0</v>
      </c>
      <c r="I1119" t="s">
        <v>869</v>
      </c>
      <c r="J1119" s="20" t="s">
        <v>2376</v>
      </c>
      <c r="K1119" t="s">
        <v>2375</v>
      </c>
    </row>
    <row r="1120" spans="2:11" x14ac:dyDescent="0.2">
      <c r="B1120" s="21">
        <f t="shared" si="17"/>
        <v>1001</v>
      </c>
      <c r="C1120" t="s">
        <v>151</v>
      </c>
      <c r="D1120" t="s">
        <v>13</v>
      </c>
      <c r="E1120" t="s">
        <v>2751</v>
      </c>
      <c r="F1120" t="s">
        <v>27</v>
      </c>
      <c r="G1120" s="21">
        <v>1</v>
      </c>
      <c r="H1120" s="21">
        <v>0</v>
      </c>
      <c r="I1120" t="s">
        <v>868</v>
      </c>
      <c r="J1120" s="20" t="s">
        <v>2376</v>
      </c>
      <c r="K1120" t="s">
        <v>2375</v>
      </c>
    </row>
    <row r="1121" spans="2:11" x14ac:dyDescent="0.2">
      <c r="B1121" s="21">
        <f t="shared" si="17"/>
        <v>1000</v>
      </c>
      <c r="C1121" t="s">
        <v>235</v>
      </c>
      <c r="D1121" t="s">
        <v>13</v>
      </c>
      <c r="E1121" t="s">
        <v>2751</v>
      </c>
      <c r="F1121" t="s">
        <v>34</v>
      </c>
      <c r="G1121" s="21">
        <v>1</v>
      </c>
      <c r="H1121" s="21">
        <v>0</v>
      </c>
      <c r="J1121" s="20" t="s">
        <v>2377</v>
      </c>
      <c r="K1121" t="s">
        <v>2376</v>
      </c>
    </row>
    <row r="1122" spans="2:11" x14ac:dyDescent="0.2">
      <c r="B1122" s="21">
        <f t="shared" si="17"/>
        <v>999</v>
      </c>
      <c r="C1122" t="s">
        <v>151</v>
      </c>
      <c r="D1122" t="s">
        <v>13</v>
      </c>
      <c r="E1122" t="s">
        <v>2751</v>
      </c>
      <c r="F1122" t="s">
        <v>64</v>
      </c>
      <c r="G1122" s="21">
        <v>1</v>
      </c>
      <c r="H1122" s="21">
        <v>0</v>
      </c>
      <c r="I1122" t="s">
        <v>864</v>
      </c>
      <c r="J1122" s="20" t="s">
        <v>2377</v>
      </c>
      <c r="K1122" t="s">
        <v>2377</v>
      </c>
    </row>
    <row r="1123" spans="2:11" x14ac:dyDescent="0.2">
      <c r="B1123" s="21">
        <f t="shared" si="17"/>
        <v>998</v>
      </c>
      <c r="C1123" t="s">
        <v>616</v>
      </c>
      <c r="D1123" t="s">
        <v>13</v>
      </c>
      <c r="E1123" t="s">
        <v>2751</v>
      </c>
      <c r="F1123" t="s">
        <v>8</v>
      </c>
      <c r="G1123" s="21">
        <v>1</v>
      </c>
      <c r="H1123" s="21">
        <v>0</v>
      </c>
      <c r="I1123" t="s">
        <v>863</v>
      </c>
      <c r="J1123" s="20" t="s">
        <v>2377</v>
      </c>
      <c r="K1123" t="s">
        <v>2377</v>
      </c>
    </row>
    <row r="1124" spans="2:11" x14ac:dyDescent="0.2">
      <c r="B1124" s="21">
        <f t="shared" si="17"/>
        <v>997</v>
      </c>
      <c r="C1124" t="s">
        <v>235</v>
      </c>
      <c r="D1124" t="s">
        <v>13</v>
      </c>
      <c r="E1124" t="s">
        <v>2751</v>
      </c>
      <c r="F1124" t="s">
        <v>34</v>
      </c>
      <c r="G1124" s="21">
        <v>1</v>
      </c>
      <c r="H1124" s="21">
        <v>0</v>
      </c>
      <c r="J1124" s="20" t="s">
        <v>2378</v>
      </c>
      <c r="K1124" t="s">
        <v>2698</v>
      </c>
    </row>
    <row r="1125" spans="2:11" x14ac:dyDescent="0.2">
      <c r="B1125" s="21">
        <f t="shared" si="17"/>
        <v>996</v>
      </c>
      <c r="C1125" t="s">
        <v>861</v>
      </c>
      <c r="D1125" t="s">
        <v>13</v>
      </c>
      <c r="E1125" t="s">
        <v>2751</v>
      </c>
      <c r="F1125" t="s">
        <v>27</v>
      </c>
      <c r="G1125" s="21">
        <v>1</v>
      </c>
      <c r="H1125" s="21">
        <v>0</v>
      </c>
      <c r="I1125" t="s">
        <v>862</v>
      </c>
      <c r="J1125" s="20" t="s">
        <v>2378</v>
      </c>
      <c r="K1125" t="s">
        <v>2378</v>
      </c>
    </row>
    <row r="1126" spans="2:11" x14ac:dyDescent="0.2">
      <c r="B1126" s="21">
        <f t="shared" si="17"/>
        <v>995</v>
      </c>
      <c r="C1126" t="s">
        <v>235</v>
      </c>
      <c r="D1126" t="s">
        <v>13</v>
      </c>
      <c r="E1126" t="s">
        <v>2751</v>
      </c>
      <c r="F1126" t="s">
        <v>34</v>
      </c>
      <c r="G1126" s="21">
        <v>1</v>
      </c>
      <c r="H1126" s="21">
        <v>0</v>
      </c>
      <c r="I1126" t="s">
        <v>858</v>
      </c>
      <c r="J1126" s="20" t="s">
        <v>2379</v>
      </c>
      <c r="K1126" t="s">
        <v>2379</v>
      </c>
    </row>
    <row r="1127" spans="2:11" x14ac:dyDescent="0.2">
      <c r="B1127" s="21">
        <f t="shared" si="17"/>
        <v>994</v>
      </c>
      <c r="C1127" t="s">
        <v>235</v>
      </c>
      <c r="D1127" t="s">
        <v>13</v>
      </c>
      <c r="E1127" t="s">
        <v>2751</v>
      </c>
      <c r="F1127" t="s">
        <v>43</v>
      </c>
      <c r="G1127" s="21">
        <v>1</v>
      </c>
      <c r="H1127" s="21">
        <v>0</v>
      </c>
      <c r="I1127" t="s">
        <v>859</v>
      </c>
      <c r="J1127" s="20" t="s">
        <v>2379</v>
      </c>
      <c r="K1127" t="s">
        <v>2379</v>
      </c>
    </row>
    <row r="1128" spans="2:11" x14ac:dyDescent="0.2">
      <c r="B1128" s="21">
        <f t="shared" si="17"/>
        <v>993</v>
      </c>
      <c r="C1128" t="s">
        <v>832</v>
      </c>
      <c r="D1128" t="s">
        <v>13</v>
      </c>
      <c r="E1128" t="s">
        <v>2751</v>
      </c>
      <c r="F1128" t="s">
        <v>27</v>
      </c>
      <c r="G1128" s="21">
        <v>1</v>
      </c>
      <c r="H1128" s="21">
        <v>0</v>
      </c>
      <c r="I1128" t="s">
        <v>860</v>
      </c>
      <c r="J1128" s="20" t="s">
        <v>2379</v>
      </c>
      <c r="K1128" t="s">
        <v>2379</v>
      </c>
    </row>
    <row r="1129" spans="2:11" x14ac:dyDescent="0.2">
      <c r="B1129" s="21">
        <f t="shared" si="17"/>
        <v>992</v>
      </c>
      <c r="C1129" t="s">
        <v>235</v>
      </c>
      <c r="D1129" t="s">
        <v>13</v>
      </c>
      <c r="E1129" t="s">
        <v>2751</v>
      </c>
      <c r="F1129" t="s">
        <v>34</v>
      </c>
      <c r="G1129" s="21">
        <v>1</v>
      </c>
      <c r="H1129" s="21">
        <v>0</v>
      </c>
      <c r="I1129" t="s">
        <v>855</v>
      </c>
      <c r="J1129" s="20" t="s">
        <v>2380</v>
      </c>
      <c r="K1129" t="s">
        <v>2379</v>
      </c>
    </row>
    <row r="1130" spans="2:11" x14ac:dyDescent="0.2">
      <c r="B1130" s="21">
        <f t="shared" si="17"/>
        <v>991</v>
      </c>
      <c r="C1130" t="s">
        <v>235</v>
      </c>
      <c r="D1130" t="s">
        <v>13</v>
      </c>
      <c r="E1130" t="s">
        <v>2751</v>
      </c>
      <c r="F1130" t="s">
        <v>43</v>
      </c>
      <c r="G1130" s="21">
        <v>1</v>
      </c>
      <c r="H1130" s="21">
        <v>0</v>
      </c>
      <c r="I1130" t="s">
        <v>854</v>
      </c>
      <c r="J1130" s="20" t="s">
        <v>2380</v>
      </c>
      <c r="K1130" t="s">
        <v>2379</v>
      </c>
    </row>
    <row r="1131" spans="2:11" x14ac:dyDescent="0.2">
      <c r="B1131" s="21">
        <f t="shared" si="17"/>
        <v>990</v>
      </c>
      <c r="C1131" t="s">
        <v>832</v>
      </c>
      <c r="D1131" t="s">
        <v>13</v>
      </c>
      <c r="E1131" t="s">
        <v>2751</v>
      </c>
      <c r="F1131" t="s">
        <v>27</v>
      </c>
      <c r="G1131" s="21">
        <v>1</v>
      </c>
      <c r="H1131" s="21">
        <v>0</v>
      </c>
      <c r="I1131" t="s">
        <v>856</v>
      </c>
      <c r="J1131" s="20" t="s">
        <v>2380</v>
      </c>
      <c r="K1131" t="s">
        <v>2380</v>
      </c>
    </row>
    <row r="1132" spans="2:11" x14ac:dyDescent="0.2">
      <c r="B1132" s="21">
        <f t="shared" si="17"/>
        <v>989</v>
      </c>
      <c r="C1132" t="s">
        <v>151</v>
      </c>
      <c r="D1132" t="s">
        <v>13</v>
      </c>
      <c r="E1132" t="s">
        <v>2751</v>
      </c>
      <c r="F1132" t="s">
        <v>34</v>
      </c>
      <c r="G1132" s="21">
        <v>1</v>
      </c>
      <c r="H1132" s="21">
        <v>0</v>
      </c>
      <c r="I1132" t="s">
        <v>857</v>
      </c>
      <c r="J1132" s="20" t="s">
        <v>2380</v>
      </c>
      <c r="K1132" t="s">
        <v>2379</v>
      </c>
    </row>
    <row r="1133" spans="2:11" x14ac:dyDescent="0.2">
      <c r="B1133" s="21">
        <f t="shared" si="17"/>
        <v>988</v>
      </c>
      <c r="C1133" t="s">
        <v>151</v>
      </c>
      <c r="D1133" t="s">
        <v>13</v>
      </c>
      <c r="E1133" t="s">
        <v>2751</v>
      </c>
      <c r="F1133" t="s">
        <v>34</v>
      </c>
      <c r="G1133" s="21">
        <v>1</v>
      </c>
      <c r="H1133" s="21">
        <v>0</v>
      </c>
      <c r="I1133" t="s">
        <v>849</v>
      </c>
      <c r="J1133" s="20" t="s">
        <v>2381</v>
      </c>
      <c r="K1133" t="s">
        <v>2380</v>
      </c>
    </row>
    <row r="1134" spans="2:11" x14ac:dyDescent="0.2">
      <c r="B1134" s="21">
        <f t="shared" si="17"/>
        <v>987</v>
      </c>
      <c r="C1134" t="s">
        <v>235</v>
      </c>
      <c r="D1134" t="s">
        <v>13</v>
      </c>
      <c r="E1134" t="s">
        <v>2751</v>
      </c>
      <c r="F1134" t="s">
        <v>34</v>
      </c>
      <c r="G1134" s="21">
        <v>1</v>
      </c>
      <c r="H1134" s="21">
        <v>0</v>
      </c>
      <c r="I1134" t="s">
        <v>848</v>
      </c>
      <c r="J1134" s="20" t="s">
        <v>2381</v>
      </c>
      <c r="K1134" t="s">
        <v>2380</v>
      </c>
    </row>
    <row r="1135" spans="2:11" x14ac:dyDescent="0.2">
      <c r="B1135" s="21">
        <f t="shared" si="17"/>
        <v>986</v>
      </c>
      <c r="C1135" t="s">
        <v>235</v>
      </c>
      <c r="D1135" t="s">
        <v>13</v>
      </c>
      <c r="E1135" t="s">
        <v>2751</v>
      </c>
      <c r="F1135" t="s">
        <v>43</v>
      </c>
      <c r="G1135" s="21">
        <v>1</v>
      </c>
      <c r="H1135" s="21">
        <v>0</v>
      </c>
      <c r="I1135" t="s">
        <v>847</v>
      </c>
      <c r="J1135" s="20" t="s">
        <v>2381</v>
      </c>
      <c r="K1135" t="s">
        <v>2380</v>
      </c>
    </row>
    <row r="1136" spans="2:11" x14ac:dyDescent="0.2">
      <c r="B1136" s="21">
        <f t="shared" si="17"/>
        <v>985</v>
      </c>
      <c r="C1136" t="s">
        <v>616</v>
      </c>
      <c r="D1136" t="s">
        <v>13</v>
      </c>
      <c r="E1136" t="s">
        <v>2751</v>
      </c>
      <c r="F1136" t="s">
        <v>49</v>
      </c>
      <c r="G1136" s="21">
        <v>1</v>
      </c>
      <c r="H1136" s="21">
        <v>0</v>
      </c>
      <c r="I1136" t="s">
        <v>853</v>
      </c>
      <c r="J1136" s="20" t="s">
        <v>2381</v>
      </c>
      <c r="K1136" t="s">
        <v>2381</v>
      </c>
    </row>
    <row r="1137" spans="2:11" x14ac:dyDescent="0.2">
      <c r="B1137" s="21">
        <f t="shared" si="17"/>
        <v>984</v>
      </c>
      <c r="C1137" t="s">
        <v>832</v>
      </c>
      <c r="D1137" t="s">
        <v>13</v>
      </c>
      <c r="E1137" t="s">
        <v>2751</v>
      </c>
      <c r="F1137" t="s">
        <v>27</v>
      </c>
      <c r="G1137" s="21">
        <v>1</v>
      </c>
      <c r="H1137" s="21">
        <v>0</v>
      </c>
      <c r="I1137" t="s">
        <v>851</v>
      </c>
      <c r="J1137" s="20" t="s">
        <v>2381</v>
      </c>
      <c r="K1137" t="s">
        <v>2380</v>
      </c>
    </row>
    <row r="1138" spans="2:11" x14ac:dyDescent="0.2">
      <c r="B1138" s="21">
        <f t="shared" si="17"/>
        <v>983</v>
      </c>
      <c r="C1138" t="s">
        <v>489</v>
      </c>
      <c r="D1138" t="s">
        <v>19</v>
      </c>
      <c r="E1138" t="s">
        <v>2751</v>
      </c>
      <c r="F1138" t="s">
        <v>49</v>
      </c>
      <c r="G1138" s="21">
        <v>1</v>
      </c>
      <c r="H1138" s="21">
        <v>0</v>
      </c>
      <c r="I1138" t="s">
        <v>852</v>
      </c>
      <c r="J1138" s="20" t="s">
        <v>2381</v>
      </c>
      <c r="K1138" t="s">
        <v>2381</v>
      </c>
    </row>
    <row r="1139" spans="2:11" x14ac:dyDescent="0.2">
      <c r="B1139" s="21">
        <f t="shared" si="17"/>
        <v>982</v>
      </c>
      <c r="C1139" t="s">
        <v>780</v>
      </c>
      <c r="D1139" t="s">
        <v>13</v>
      </c>
      <c r="E1139" t="s">
        <v>2751</v>
      </c>
      <c r="F1139" t="s">
        <v>27</v>
      </c>
      <c r="G1139" s="21">
        <v>1</v>
      </c>
      <c r="H1139" s="21">
        <v>0</v>
      </c>
      <c r="I1139" t="s">
        <v>846</v>
      </c>
      <c r="J1139" s="20" t="s">
        <v>2382</v>
      </c>
      <c r="K1139" t="s">
        <v>2382</v>
      </c>
    </row>
    <row r="1140" spans="2:11" x14ac:dyDescent="0.2">
      <c r="B1140" s="21">
        <f t="shared" si="17"/>
        <v>981</v>
      </c>
      <c r="C1140" t="s">
        <v>151</v>
      </c>
      <c r="D1140" t="s">
        <v>13</v>
      </c>
      <c r="E1140" t="s">
        <v>2751</v>
      </c>
      <c r="F1140" t="s">
        <v>34</v>
      </c>
      <c r="G1140" s="21">
        <v>1</v>
      </c>
      <c r="H1140" s="21">
        <v>0</v>
      </c>
      <c r="J1140" s="20" t="s">
        <v>2382</v>
      </c>
      <c r="K1140" t="s">
        <v>2381</v>
      </c>
    </row>
    <row r="1141" spans="2:11" x14ac:dyDescent="0.2">
      <c r="B1141" s="21">
        <f t="shared" si="17"/>
        <v>980</v>
      </c>
      <c r="C1141" t="s">
        <v>235</v>
      </c>
      <c r="D1141" t="s">
        <v>13</v>
      </c>
      <c r="E1141" t="s">
        <v>2751</v>
      </c>
      <c r="F1141" t="s">
        <v>34</v>
      </c>
      <c r="G1141" s="21">
        <v>1</v>
      </c>
      <c r="H1141" s="21">
        <v>0</v>
      </c>
      <c r="J1141" s="20" t="s">
        <v>2382</v>
      </c>
      <c r="K1141" t="s">
        <v>2381</v>
      </c>
    </row>
    <row r="1142" spans="2:11" x14ac:dyDescent="0.2">
      <c r="B1142" s="21">
        <f t="shared" si="17"/>
        <v>979</v>
      </c>
      <c r="C1142" t="s">
        <v>235</v>
      </c>
      <c r="D1142" t="s">
        <v>13</v>
      </c>
      <c r="E1142" t="s">
        <v>2751</v>
      </c>
      <c r="F1142" t="s">
        <v>43</v>
      </c>
      <c r="G1142" s="21">
        <v>1</v>
      </c>
      <c r="H1142" s="21">
        <v>0</v>
      </c>
      <c r="I1142" t="s">
        <v>847</v>
      </c>
      <c r="J1142" s="20" t="s">
        <v>2382</v>
      </c>
      <c r="K1142" t="s">
        <v>2381</v>
      </c>
    </row>
    <row r="1143" spans="2:11" x14ac:dyDescent="0.2">
      <c r="B1143" s="21">
        <f t="shared" si="17"/>
        <v>978</v>
      </c>
      <c r="C1143" t="s">
        <v>780</v>
      </c>
      <c r="D1143" t="s">
        <v>13</v>
      </c>
      <c r="E1143" t="s">
        <v>2751</v>
      </c>
      <c r="F1143" t="s">
        <v>27</v>
      </c>
      <c r="G1143" s="21">
        <v>1</v>
      </c>
      <c r="H1143" s="21">
        <v>0</v>
      </c>
      <c r="J1143" s="20" t="s">
        <v>2383</v>
      </c>
      <c r="K1143" t="s">
        <v>2382</v>
      </c>
    </row>
    <row r="1144" spans="2:11" x14ac:dyDescent="0.2">
      <c r="B1144" s="21">
        <f t="shared" si="17"/>
        <v>977</v>
      </c>
      <c r="C1144" t="s">
        <v>616</v>
      </c>
      <c r="D1144" t="s">
        <v>13</v>
      </c>
      <c r="E1144" t="s">
        <v>2751</v>
      </c>
      <c r="F1144" t="s">
        <v>34</v>
      </c>
      <c r="G1144" s="21">
        <v>1</v>
      </c>
      <c r="H1144" s="21">
        <v>0</v>
      </c>
      <c r="I1144" t="s">
        <v>843</v>
      </c>
      <c r="J1144" s="20" t="s">
        <v>2383</v>
      </c>
      <c r="K1144" t="s">
        <v>2383</v>
      </c>
    </row>
    <row r="1145" spans="2:11" x14ac:dyDescent="0.2">
      <c r="B1145" s="21">
        <f t="shared" si="17"/>
        <v>976</v>
      </c>
      <c r="C1145" t="s">
        <v>151</v>
      </c>
      <c r="D1145" t="s">
        <v>13</v>
      </c>
      <c r="E1145" t="s">
        <v>2751</v>
      </c>
      <c r="F1145" t="s">
        <v>34</v>
      </c>
      <c r="G1145" s="21">
        <v>1</v>
      </c>
      <c r="H1145" s="21">
        <v>0</v>
      </c>
      <c r="J1145" s="20" t="s">
        <v>2383</v>
      </c>
      <c r="K1145" t="s">
        <v>2382</v>
      </c>
    </row>
    <row r="1146" spans="2:11" x14ac:dyDescent="0.2">
      <c r="B1146" s="21">
        <f t="shared" si="17"/>
        <v>975</v>
      </c>
      <c r="C1146" t="s">
        <v>235</v>
      </c>
      <c r="D1146" t="s">
        <v>13</v>
      </c>
      <c r="E1146" t="s">
        <v>2751</v>
      </c>
      <c r="F1146" t="s">
        <v>34</v>
      </c>
      <c r="G1146" s="21">
        <v>1</v>
      </c>
      <c r="H1146" s="21">
        <v>0</v>
      </c>
      <c r="J1146" s="20" t="s">
        <v>2383</v>
      </c>
      <c r="K1146" t="s">
        <v>2382</v>
      </c>
    </row>
    <row r="1147" spans="2:11" x14ac:dyDescent="0.2">
      <c r="B1147" s="21">
        <f t="shared" si="17"/>
        <v>974</v>
      </c>
      <c r="C1147" t="s">
        <v>235</v>
      </c>
      <c r="D1147" t="s">
        <v>13</v>
      </c>
      <c r="E1147" t="s">
        <v>2751</v>
      </c>
      <c r="F1147" t="s">
        <v>43</v>
      </c>
      <c r="G1147" s="21">
        <v>1</v>
      </c>
      <c r="H1147" s="21">
        <v>0</v>
      </c>
      <c r="J1147" s="20" t="s">
        <v>2383</v>
      </c>
      <c r="K1147" t="s">
        <v>2382</v>
      </c>
    </row>
    <row r="1148" spans="2:11" x14ac:dyDescent="0.2">
      <c r="B1148" s="21">
        <f t="shared" si="17"/>
        <v>973</v>
      </c>
      <c r="C1148" t="s">
        <v>780</v>
      </c>
      <c r="D1148" t="s">
        <v>13</v>
      </c>
      <c r="E1148" t="s">
        <v>2751</v>
      </c>
      <c r="F1148" t="s">
        <v>27</v>
      </c>
      <c r="G1148" s="21">
        <v>1</v>
      </c>
      <c r="H1148" s="21">
        <v>0</v>
      </c>
      <c r="J1148" s="20" t="s">
        <v>2384</v>
      </c>
      <c r="K1148" t="s">
        <v>2699</v>
      </c>
    </row>
    <row r="1149" spans="2:11" x14ac:dyDescent="0.2">
      <c r="B1149" s="21">
        <f t="shared" si="17"/>
        <v>972</v>
      </c>
      <c r="C1149" t="s">
        <v>616</v>
      </c>
      <c r="D1149" t="s">
        <v>13</v>
      </c>
      <c r="E1149" t="s">
        <v>2751</v>
      </c>
      <c r="F1149" t="s">
        <v>34</v>
      </c>
      <c r="G1149" s="21">
        <v>1</v>
      </c>
      <c r="H1149" s="21">
        <v>0</v>
      </c>
      <c r="I1149" t="s">
        <v>840</v>
      </c>
      <c r="J1149" s="20" t="s">
        <v>2384</v>
      </c>
      <c r="K1149" t="s">
        <v>2699</v>
      </c>
    </row>
    <row r="1150" spans="2:11" x14ac:dyDescent="0.2">
      <c r="B1150" s="21">
        <f t="shared" si="17"/>
        <v>971</v>
      </c>
      <c r="C1150" t="s">
        <v>151</v>
      </c>
      <c r="D1150" t="s">
        <v>13</v>
      </c>
      <c r="E1150" t="s">
        <v>2751</v>
      </c>
      <c r="F1150" t="s">
        <v>34</v>
      </c>
      <c r="G1150" s="21">
        <v>1</v>
      </c>
      <c r="H1150" s="21">
        <v>0</v>
      </c>
      <c r="J1150" s="20" t="s">
        <v>2384</v>
      </c>
      <c r="K1150" t="s">
        <v>2699</v>
      </c>
    </row>
    <row r="1151" spans="2:11" x14ac:dyDescent="0.2">
      <c r="B1151" s="21">
        <f t="shared" si="17"/>
        <v>970</v>
      </c>
      <c r="C1151" t="s">
        <v>235</v>
      </c>
      <c r="D1151" t="s">
        <v>13</v>
      </c>
      <c r="E1151" t="s">
        <v>2751</v>
      </c>
      <c r="F1151" t="s">
        <v>34</v>
      </c>
      <c r="G1151" s="21">
        <v>1</v>
      </c>
      <c r="H1151" s="21">
        <v>0</v>
      </c>
      <c r="J1151" s="20" t="s">
        <v>2384</v>
      </c>
      <c r="K1151" t="s">
        <v>2699</v>
      </c>
    </row>
    <row r="1152" spans="2:11" x14ac:dyDescent="0.2">
      <c r="B1152" s="21">
        <f t="shared" si="17"/>
        <v>969</v>
      </c>
      <c r="C1152" t="s">
        <v>235</v>
      </c>
      <c r="D1152" t="s">
        <v>13</v>
      </c>
      <c r="E1152" t="s">
        <v>2751</v>
      </c>
      <c r="F1152" t="s">
        <v>43</v>
      </c>
      <c r="G1152" s="21">
        <v>1</v>
      </c>
      <c r="H1152" s="21">
        <v>0</v>
      </c>
      <c r="I1152" t="s">
        <v>842</v>
      </c>
      <c r="J1152" s="20" t="s">
        <v>2384</v>
      </c>
      <c r="K1152" t="s">
        <v>2699</v>
      </c>
    </row>
    <row r="1153" spans="2:11" x14ac:dyDescent="0.2">
      <c r="B1153" s="21">
        <f t="shared" si="17"/>
        <v>968</v>
      </c>
      <c r="C1153" t="s">
        <v>489</v>
      </c>
      <c r="D1153" t="s">
        <v>19</v>
      </c>
      <c r="E1153" t="s">
        <v>2751</v>
      </c>
      <c r="F1153" t="s">
        <v>37</v>
      </c>
      <c r="G1153" s="21">
        <v>1</v>
      </c>
      <c r="H1153" s="21">
        <v>0</v>
      </c>
      <c r="I1153" t="s">
        <v>845</v>
      </c>
      <c r="J1153" s="20" t="s">
        <v>2384</v>
      </c>
      <c r="K1153" t="s">
        <v>2384</v>
      </c>
    </row>
    <row r="1154" spans="2:11" x14ac:dyDescent="0.2">
      <c r="B1154" s="21">
        <f t="shared" si="17"/>
        <v>967</v>
      </c>
      <c r="C1154" t="s">
        <v>780</v>
      </c>
      <c r="D1154" t="s">
        <v>13</v>
      </c>
      <c r="E1154" t="s">
        <v>2751</v>
      </c>
      <c r="F1154" t="s">
        <v>27</v>
      </c>
      <c r="G1154" s="21">
        <v>1</v>
      </c>
      <c r="H1154" s="21">
        <v>0</v>
      </c>
      <c r="J1154" s="20" t="s">
        <v>2385</v>
      </c>
      <c r="K1154" t="s">
        <v>2384</v>
      </c>
    </row>
    <row r="1155" spans="2:11" x14ac:dyDescent="0.2">
      <c r="B1155" s="21">
        <f t="shared" si="17"/>
        <v>966</v>
      </c>
      <c r="C1155" t="s">
        <v>616</v>
      </c>
      <c r="D1155" t="s">
        <v>13</v>
      </c>
      <c r="E1155" t="s">
        <v>2751</v>
      </c>
      <c r="F1155" t="s">
        <v>34</v>
      </c>
      <c r="G1155" s="21">
        <v>1</v>
      </c>
      <c r="H1155" s="21">
        <v>0</v>
      </c>
      <c r="I1155" t="s">
        <v>840</v>
      </c>
      <c r="J1155" s="20" t="s">
        <v>2385</v>
      </c>
      <c r="K1155" t="s">
        <v>2384</v>
      </c>
    </row>
    <row r="1156" spans="2:11" x14ac:dyDescent="0.2">
      <c r="B1156" s="21">
        <f t="shared" si="17"/>
        <v>965</v>
      </c>
      <c r="C1156" t="s">
        <v>151</v>
      </c>
      <c r="D1156" t="s">
        <v>13</v>
      </c>
      <c r="E1156" t="s">
        <v>2751</v>
      </c>
      <c r="F1156" t="s">
        <v>34</v>
      </c>
      <c r="G1156" s="21">
        <v>1</v>
      </c>
      <c r="H1156" s="21">
        <v>0</v>
      </c>
      <c r="J1156" s="20" t="s">
        <v>2385</v>
      </c>
      <c r="K1156" t="s">
        <v>2384</v>
      </c>
    </row>
    <row r="1157" spans="2:11" x14ac:dyDescent="0.2">
      <c r="B1157" s="21">
        <f t="shared" ref="B1157:B1220" si="18">B1156-1</f>
        <v>964</v>
      </c>
      <c r="C1157" t="s">
        <v>235</v>
      </c>
      <c r="D1157" t="s">
        <v>13</v>
      </c>
      <c r="E1157" t="s">
        <v>2751</v>
      </c>
      <c r="F1157" t="s">
        <v>34</v>
      </c>
      <c r="G1157" s="21">
        <v>1</v>
      </c>
      <c r="H1157" s="21">
        <v>0</v>
      </c>
      <c r="J1157" s="20" t="s">
        <v>2385</v>
      </c>
      <c r="K1157" t="s">
        <v>2384</v>
      </c>
    </row>
    <row r="1158" spans="2:11" x14ac:dyDescent="0.2">
      <c r="B1158" s="21">
        <f t="shared" si="18"/>
        <v>963</v>
      </c>
      <c r="C1158" t="s">
        <v>235</v>
      </c>
      <c r="D1158" t="s">
        <v>13</v>
      </c>
      <c r="E1158" t="s">
        <v>2751</v>
      </c>
      <c r="F1158" t="s">
        <v>43</v>
      </c>
      <c r="G1158" s="21">
        <v>1</v>
      </c>
      <c r="H1158" s="21">
        <v>0</v>
      </c>
      <c r="I1158" t="s">
        <v>842</v>
      </c>
      <c r="J1158" s="20" t="s">
        <v>2385</v>
      </c>
      <c r="K1158" t="s">
        <v>2384</v>
      </c>
    </row>
    <row r="1159" spans="2:11" x14ac:dyDescent="0.2">
      <c r="B1159" s="21">
        <f t="shared" si="18"/>
        <v>962</v>
      </c>
      <c r="C1159" t="s">
        <v>489</v>
      </c>
      <c r="D1159" t="s">
        <v>19</v>
      </c>
      <c r="E1159" t="s">
        <v>2751</v>
      </c>
      <c r="F1159" t="s">
        <v>37</v>
      </c>
      <c r="G1159" s="21">
        <v>1</v>
      </c>
      <c r="H1159" s="21">
        <v>0</v>
      </c>
      <c r="I1159" t="s">
        <v>844</v>
      </c>
      <c r="J1159" s="20" t="s">
        <v>2385</v>
      </c>
      <c r="K1159" t="s">
        <v>2385</v>
      </c>
    </row>
    <row r="1160" spans="2:11" x14ac:dyDescent="0.2">
      <c r="B1160" s="21">
        <f t="shared" si="18"/>
        <v>961</v>
      </c>
      <c r="C1160" t="s">
        <v>780</v>
      </c>
      <c r="D1160" t="s">
        <v>13</v>
      </c>
      <c r="E1160" t="s">
        <v>2751</v>
      </c>
      <c r="F1160" t="s">
        <v>27</v>
      </c>
      <c r="G1160" s="21">
        <v>1</v>
      </c>
      <c r="H1160" s="21">
        <v>0</v>
      </c>
      <c r="J1160" s="20" t="s">
        <v>2386</v>
      </c>
      <c r="K1160" t="s">
        <v>2385</v>
      </c>
    </row>
    <row r="1161" spans="2:11" x14ac:dyDescent="0.2">
      <c r="B1161" s="21">
        <f t="shared" si="18"/>
        <v>960</v>
      </c>
      <c r="C1161" t="s">
        <v>616</v>
      </c>
      <c r="D1161" t="s">
        <v>13</v>
      </c>
      <c r="E1161" t="s">
        <v>2751</v>
      </c>
      <c r="F1161" t="s">
        <v>34</v>
      </c>
      <c r="G1161" s="21">
        <v>1</v>
      </c>
      <c r="H1161" s="21">
        <v>0</v>
      </c>
      <c r="I1161" t="s">
        <v>840</v>
      </c>
      <c r="J1161" s="20" t="s">
        <v>2386</v>
      </c>
      <c r="K1161" t="s">
        <v>2385</v>
      </c>
    </row>
    <row r="1162" spans="2:11" x14ac:dyDescent="0.2">
      <c r="B1162" s="21">
        <f t="shared" si="18"/>
        <v>959</v>
      </c>
      <c r="C1162" t="s">
        <v>151</v>
      </c>
      <c r="D1162" t="s">
        <v>13</v>
      </c>
      <c r="E1162" t="s">
        <v>2751</v>
      </c>
      <c r="F1162" t="s">
        <v>34</v>
      </c>
      <c r="G1162" s="21">
        <v>1</v>
      </c>
      <c r="H1162" s="21">
        <v>0</v>
      </c>
      <c r="J1162" s="20" t="s">
        <v>2386</v>
      </c>
      <c r="K1162" t="s">
        <v>2385</v>
      </c>
    </row>
    <row r="1163" spans="2:11" x14ac:dyDescent="0.2">
      <c r="B1163" s="21">
        <f t="shared" si="18"/>
        <v>958</v>
      </c>
      <c r="C1163" t="s">
        <v>235</v>
      </c>
      <c r="D1163" t="s">
        <v>13</v>
      </c>
      <c r="E1163" t="s">
        <v>2751</v>
      </c>
      <c r="F1163" t="s">
        <v>34</v>
      </c>
      <c r="G1163" s="21">
        <v>1</v>
      </c>
      <c r="H1163" s="21">
        <v>0</v>
      </c>
      <c r="J1163" s="20" t="s">
        <v>2386</v>
      </c>
      <c r="K1163" t="s">
        <v>2385</v>
      </c>
    </row>
    <row r="1164" spans="2:11" x14ac:dyDescent="0.2">
      <c r="B1164" s="21">
        <f t="shared" si="18"/>
        <v>957</v>
      </c>
      <c r="C1164" t="s">
        <v>235</v>
      </c>
      <c r="D1164" t="s">
        <v>13</v>
      </c>
      <c r="E1164" t="s">
        <v>2751</v>
      </c>
      <c r="F1164" t="s">
        <v>43</v>
      </c>
      <c r="G1164" s="21">
        <v>1</v>
      </c>
      <c r="H1164" s="21">
        <v>0</v>
      </c>
      <c r="I1164" t="s">
        <v>842</v>
      </c>
      <c r="J1164" s="20" t="s">
        <v>2386</v>
      </c>
      <c r="K1164" t="s">
        <v>2385</v>
      </c>
    </row>
    <row r="1165" spans="2:11" x14ac:dyDescent="0.2">
      <c r="B1165" s="21">
        <f t="shared" si="18"/>
        <v>956</v>
      </c>
      <c r="C1165" t="s">
        <v>63</v>
      </c>
      <c r="D1165" t="s">
        <v>13</v>
      </c>
      <c r="E1165" t="s">
        <v>2751</v>
      </c>
      <c r="F1165" t="s">
        <v>27</v>
      </c>
      <c r="G1165" s="21">
        <v>1</v>
      </c>
      <c r="H1165" s="21">
        <v>0</v>
      </c>
      <c r="I1165" t="s">
        <v>841</v>
      </c>
      <c r="J1165" s="20" t="s">
        <v>2386</v>
      </c>
      <c r="K1165" t="s">
        <v>2386</v>
      </c>
    </row>
    <row r="1166" spans="2:11" x14ac:dyDescent="0.2">
      <c r="B1166" s="21">
        <f t="shared" si="18"/>
        <v>955</v>
      </c>
      <c r="C1166" t="s">
        <v>780</v>
      </c>
      <c r="D1166" t="s">
        <v>13</v>
      </c>
      <c r="E1166" t="s">
        <v>2751</v>
      </c>
      <c r="F1166" t="s">
        <v>27</v>
      </c>
      <c r="G1166" s="21">
        <v>1</v>
      </c>
      <c r="H1166" s="21">
        <v>0</v>
      </c>
      <c r="J1166" s="20" t="s">
        <v>2387</v>
      </c>
      <c r="K1166" t="s">
        <v>2386</v>
      </c>
    </row>
    <row r="1167" spans="2:11" x14ac:dyDescent="0.2">
      <c r="B1167" s="21">
        <f t="shared" si="18"/>
        <v>954</v>
      </c>
      <c r="C1167" t="s">
        <v>616</v>
      </c>
      <c r="D1167" t="s">
        <v>13</v>
      </c>
      <c r="E1167" t="s">
        <v>2751</v>
      </c>
      <c r="F1167" t="s">
        <v>34</v>
      </c>
      <c r="G1167" s="21">
        <v>1</v>
      </c>
      <c r="H1167" s="21">
        <v>0</v>
      </c>
      <c r="I1167" t="s">
        <v>833</v>
      </c>
      <c r="J1167" s="20" t="s">
        <v>2387</v>
      </c>
      <c r="K1167" t="s">
        <v>2386</v>
      </c>
    </row>
    <row r="1168" spans="2:11" x14ac:dyDescent="0.2">
      <c r="B1168" s="21">
        <f t="shared" si="18"/>
        <v>953</v>
      </c>
      <c r="C1168" t="s">
        <v>151</v>
      </c>
      <c r="D1168" t="s">
        <v>13</v>
      </c>
      <c r="E1168" t="s">
        <v>2751</v>
      </c>
      <c r="F1168" t="s">
        <v>34</v>
      </c>
      <c r="G1168" s="21">
        <v>1</v>
      </c>
      <c r="H1168" s="21">
        <v>0</v>
      </c>
      <c r="J1168" s="20" t="s">
        <v>2387</v>
      </c>
      <c r="K1168" t="s">
        <v>2386</v>
      </c>
    </row>
    <row r="1169" spans="2:11" x14ac:dyDescent="0.2">
      <c r="B1169" s="21">
        <f t="shared" si="18"/>
        <v>952</v>
      </c>
      <c r="C1169" t="s">
        <v>235</v>
      </c>
      <c r="D1169" t="s">
        <v>13</v>
      </c>
      <c r="E1169" t="s">
        <v>2751</v>
      </c>
      <c r="F1169" t="s">
        <v>34</v>
      </c>
      <c r="G1169" s="21">
        <v>1</v>
      </c>
      <c r="H1169" s="21">
        <v>0</v>
      </c>
      <c r="J1169" s="20" t="s">
        <v>2387</v>
      </c>
      <c r="K1169" t="s">
        <v>2386</v>
      </c>
    </row>
    <row r="1170" spans="2:11" x14ac:dyDescent="0.2">
      <c r="B1170" s="21">
        <f t="shared" si="18"/>
        <v>951</v>
      </c>
      <c r="C1170" t="s">
        <v>235</v>
      </c>
      <c r="D1170" t="s">
        <v>13</v>
      </c>
      <c r="E1170" t="s">
        <v>2751</v>
      </c>
      <c r="F1170" t="s">
        <v>43</v>
      </c>
      <c r="G1170" s="21">
        <v>1</v>
      </c>
      <c r="H1170" s="21">
        <v>0</v>
      </c>
      <c r="I1170" t="s">
        <v>835</v>
      </c>
      <c r="J1170" s="20" t="s">
        <v>2387</v>
      </c>
      <c r="K1170" t="s">
        <v>2386</v>
      </c>
    </row>
    <row r="1171" spans="2:11" x14ac:dyDescent="0.2">
      <c r="B1171" s="21">
        <f t="shared" si="18"/>
        <v>950</v>
      </c>
      <c r="C1171" t="s">
        <v>830</v>
      </c>
      <c r="D1171" t="s">
        <v>13</v>
      </c>
      <c r="E1171" t="s">
        <v>2751</v>
      </c>
      <c r="F1171" t="s">
        <v>27</v>
      </c>
      <c r="G1171" s="21">
        <v>1</v>
      </c>
      <c r="H1171" s="21">
        <v>0</v>
      </c>
      <c r="I1171" t="s">
        <v>838</v>
      </c>
      <c r="J1171" s="20" t="s">
        <v>2387</v>
      </c>
      <c r="K1171" t="s">
        <v>2387</v>
      </c>
    </row>
    <row r="1172" spans="2:11" x14ac:dyDescent="0.2">
      <c r="B1172" s="21">
        <f t="shared" si="18"/>
        <v>949</v>
      </c>
      <c r="C1172" t="s">
        <v>63</v>
      </c>
      <c r="D1172" t="s">
        <v>13</v>
      </c>
      <c r="E1172" t="s">
        <v>2751</v>
      </c>
      <c r="F1172" t="s">
        <v>27</v>
      </c>
      <c r="G1172" s="21">
        <v>1</v>
      </c>
      <c r="H1172" s="21">
        <v>0</v>
      </c>
      <c r="I1172" t="s">
        <v>839</v>
      </c>
      <c r="J1172" s="20" t="s">
        <v>2387</v>
      </c>
      <c r="K1172" t="s">
        <v>2386</v>
      </c>
    </row>
    <row r="1173" spans="2:11" x14ac:dyDescent="0.2">
      <c r="B1173" s="21">
        <f t="shared" si="18"/>
        <v>948</v>
      </c>
      <c r="C1173" t="s">
        <v>780</v>
      </c>
      <c r="D1173" t="s">
        <v>13</v>
      </c>
      <c r="E1173" t="s">
        <v>2751</v>
      </c>
      <c r="F1173" t="s">
        <v>27</v>
      </c>
      <c r="G1173" s="21">
        <v>1</v>
      </c>
      <c r="H1173" s="21">
        <v>0</v>
      </c>
      <c r="J1173" s="20" t="s">
        <v>2388</v>
      </c>
      <c r="K1173" t="s">
        <v>2387</v>
      </c>
    </row>
    <row r="1174" spans="2:11" x14ac:dyDescent="0.2">
      <c r="B1174" s="21">
        <f t="shared" si="18"/>
        <v>947</v>
      </c>
      <c r="C1174" t="s">
        <v>616</v>
      </c>
      <c r="D1174" t="s">
        <v>13</v>
      </c>
      <c r="E1174" t="s">
        <v>2751</v>
      </c>
      <c r="F1174" t="s">
        <v>34</v>
      </c>
      <c r="G1174" s="21">
        <v>1</v>
      </c>
      <c r="H1174" s="21">
        <v>0</v>
      </c>
      <c r="I1174" t="s">
        <v>833</v>
      </c>
      <c r="J1174" s="20" t="s">
        <v>2388</v>
      </c>
      <c r="K1174" t="s">
        <v>2387</v>
      </c>
    </row>
    <row r="1175" spans="2:11" x14ac:dyDescent="0.2">
      <c r="B1175" s="21">
        <f t="shared" si="18"/>
        <v>946</v>
      </c>
      <c r="C1175" t="s">
        <v>151</v>
      </c>
      <c r="D1175" t="s">
        <v>13</v>
      </c>
      <c r="E1175" t="s">
        <v>2751</v>
      </c>
      <c r="F1175" t="s">
        <v>34</v>
      </c>
      <c r="G1175" s="21">
        <v>1</v>
      </c>
      <c r="H1175" s="21">
        <v>0</v>
      </c>
      <c r="J1175" s="20" t="s">
        <v>2388</v>
      </c>
      <c r="K1175" t="s">
        <v>2387</v>
      </c>
    </row>
    <row r="1176" spans="2:11" x14ac:dyDescent="0.2">
      <c r="B1176" s="21">
        <f t="shared" si="18"/>
        <v>945</v>
      </c>
      <c r="C1176" t="s">
        <v>235</v>
      </c>
      <c r="D1176" t="s">
        <v>13</v>
      </c>
      <c r="E1176" t="s">
        <v>2751</v>
      </c>
      <c r="F1176" t="s">
        <v>34</v>
      </c>
      <c r="G1176" s="21">
        <v>1</v>
      </c>
      <c r="H1176" s="21">
        <v>0</v>
      </c>
      <c r="J1176" s="20" t="s">
        <v>2388</v>
      </c>
      <c r="K1176" t="s">
        <v>2387</v>
      </c>
    </row>
    <row r="1177" spans="2:11" x14ac:dyDescent="0.2">
      <c r="B1177" s="21">
        <f t="shared" si="18"/>
        <v>944</v>
      </c>
      <c r="C1177" t="s">
        <v>235</v>
      </c>
      <c r="D1177" t="s">
        <v>13</v>
      </c>
      <c r="E1177" t="s">
        <v>2751</v>
      </c>
      <c r="F1177" t="s">
        <v>43</v>
      </c>
      <c r="G1177" s="21">
        <v>1</v>
      </c>
      <c r="H1177" s="21">
        <v>0</v>
      </c>
      <c r="J1177" s="20" t="s">
        <v>2388</v>
      </c>
      <c r="K1177" t="s">
        <v>2387</v>
      </c>
    </row>
    <row r="1178" spans="2:11" x14ac:dyDescent="0.2">
      <c r="B1178" s="21">
        <f t="shared" si="18"/>
        <v>943</v>
      </c>
      <c r="C1178" t="s">
        <v>235</v>
      </c>
      <c r="D1178" t="s">
        <v>13</v>
      </c>
      <c r="E1178" t="s">
        <v>2751</v>
      </c>
      <c r="F1178" t="s">
        <v>49</v>
      </c>
      <c r="G1178" s="21">
        <v>1</v>
      </c>
      <c r="H1178" s="21">
        <v>0</v>
      </c>
      <c r="I1178" t="s">
        <v>834</v>
      </c>
      <c r="J1178" s="20" t="s">
        <v>2388</v>
      </c>
      <c r="K1178" t="s">
        <v>2388</v>
      </c>
    </row>
    <row r="1179" spans="2:11" x14ac:dyDescent="0.2">
      <c r="B1179" s="21">
        <f t="shared" si="18"/>
        <v>942</v>
      </c>
      <c r="C1179" t="s">
        <v>830</v>
      </c>
      <c r="D1179" t="s">
        <v>13</v>
      </c>
      <c r="E1179" t="s">
        <v>2751</v>
      </c>
      <c r="F1179" t="s">
        <v>21</v>
      </c>
      <c r="G1179" s="21">
        <v>1</v>
      </c>
      <c r="H1179" s="21">
        <v>0</v>
      </c>
      <c r="I1179" t="s">
        <v>831</v>
      </c>
      <c r="J1179" s="20" t="s">
        <v>2388</v>
      </c>
      <c r="K1179" t="s">
        <v>2388</v>
      </c>
    </row>
    <row r="1180" spans="2:11" x14ac:dyDescent="0.2">
      <c r="B1180" s="21">
        <f t="shared" si="18"/>
        <v>941</v>
      </c>
      <c r="C1180" t="s">
        <v>830</v>
      </c>
      <c r="D1180" t="s">
        <v>13</v>
      </c>
      <c r="E1180" t="s">
        <v>2751</v>
      </c>
      <c r="F1180" t="s">
        <v>27</v>
      </c>
      <c r="G1180" s="21">
        <v>1</v>
      </c>
      <c r="H1180" s="21">
        <v>0</v>
      </c>
      <c r="I1180" t="s">
        <v>837</v>
      </c>
      <c r="J1180" s="20" t="s">
        <v>2388</v>
      </c>
      <c r="K1180" t="s">
        <v>2387</v>
      </c>
    </row>
    <row r="1181" spans="2:11" x14ac:dyDescent="0.2">
      <c r="B1181" s="21">
        <f t="shared" si="18"/>
        <v>940</v>
      </c>
      <c r="C1181" t="s">
        <v>352</v>
      </c>
      <c r="D1181" t="s">
        <v>13</v>
      </c>
      <c r="E1181" t="s">
        <v>2751</v>
      </c>
      <c r="F1181" t="s">
        <v>49</v>
      </c>
      <c r="G1181" s="21">
        <v>1</v>
      </c>
      <c r="H1181" s="21">
        <v>0</v>
      </c>
      <c r="I1181" t="s">
        <v>836</v>
      </c>
      <c r="J1181" s="20" t="s">
        <v>2388</v>
      </c>
      <c r="K1181" t="s">
        <v>2388</v>
      </c>
    </row>
    <row r="1182" spans="2:11" x14ac:dyDescent="0.2">
      <c r="B1182" s="21">
        <f t="shared" si="18"/>
        <v>939</v>
      </c>
      <c r="C1182" t="s">
        <v>832</v>
      </c>
      <c r="D1182" t="s">
        <v>13</v>
      </c>
      <c r="E1182" t="s">
        <v>2751</v>
      </c>
      <c r="F1182" t="s">
        <v>49</v>
      </c>
      <c r="G1182" s="21">
        <v>1</v>
      </c>
      <c r="H1182" s="21">
        <v>0</v>
      </c>
      <c r="I1182" t="s">
        <v>850</v>
      </c>
      <c r="J1182" s="20" t="s">
        <v>2388</v>
      </c>
      <c r="K1182" t="s">
        <v>2387</v>
      </c>
    </row>
    <row r="1183" spans="2:11" x14ac:dyDescent="0.2">
      <c r="B1183" s="21">
        <f t="shared" si="18"/>
        <v>938</v>
      </c>
      <c r="C1183" t="s">
        <v>780</v>
      </c>
      <c r="D1183" t="s">
        <v>13</v>
      </c>
      <c r="E1183" t="s">
        <v>2751</v>
      </c>
      <c r="F1183" t="s">
        <v>27</v>
      </c>
      <c r="G1183" s="21">
        <v>1</v>
      </c>
      <c r="H1183" s="21">
        <v>0</v>
      </c>
      <c r="I1183" t="s">
        <v>829</v>
      </c>
      <c r="J1183" s="20" t="s">
        <v>2389</v>
      </c>
      <c r="K1183" t="s">
        <v>2388</v>
      </c>
    </row>
    <row r="1184" spans="2:11" x14ac:dyDescent="0.2">
      <c r="B1184" s="21">
        <f t="shared" si="18"/>
        <v>937</v>
      </c>
      <c r="C1184" t="s">
        <v>616</v>
      </c>
      <c r="D1184" t="s">
        <v>13</v>
      </c>
      <c r="E1184" t="s">
        <v>2751</v>
      </c>
      <c r="F1184" t="s">
        <v>34</v>
      </c>
      <c r="G1184" s="21">
        <v>1</v>
      </c>
      <c r="H1184" s="21">
        <v>0</v>
      </c>
      <c r="J1184" s="20" t="s">
        <v>2389</v>
      </c>
      <c r="K1184" t="s">
        <v>2388</v>
      </c>
    </row>
    <row r="1185" spans="2:11" x14ac:dyDescent="0.2">
      <c r="B1185" s="21">
        <f t="shared" si="18"/>
        <v>936</v>
      </c>
      <c r="C1185" t="s">
        <v>151</v>
      </c>
      <c r="D1185" t="s">
        <v>13</v>
      </c>
      <c r="E1185" t="s">
        <v>2751</v>
      </c>
      <c r="F1185" t="s">
        <v>34</v>
      </c>
      <c r="G1185" s="21">
        <v>1</v>
      </c>
      <c r="H1185" s="21">
        <v>0</v>
      </c>
      <c r="I1185" t="s">
        <v>828</v>
      </c>
      <c r="J1185" s="20" t="s">
        <v>2389</v>
      </c>
      <c r="K1185" t="s">
        <v>2388</v>
      </c>
    </row>
    <row r="1186" spans="2:11" x14ac:dyDescent="0.2">
      <c r="B1186" s="21">
        <f t="shared" si="18"/>
        <v>935</v>
      </c>
      <c r="C1186" t="s">
        <v>235</v>
      </c>
      <c r="D1186" t="s">
        <v>13</v>
      </c>
      <c r="E1186" t="s">
        <v>2751</v>
      </c>
      <c r="F1186" t="s">
        <v>21</v>
      </c>
      <c r="G1186" s="21">
        <v>1</v>
      </c>
      <c r="H1186" s="21">
        <v>0</v>
      </c>
      <c r="I1186" t="s">
        <v>825</v>
      </c>
      <c r="J1186" s="20" t="s">
        <v>2389</v>
      </c>
      <c r="K1186" t="s">
        <v>2389</v>
      </c>
    </row>
    <row r="1187" spans="2:11" x14ac:dyDescent="0.2">
      <c r="B1187" s="21">
        <f t="shared" si="18"/>
        <v>934</v>
      </c>
      <c r="C1187" t="s">
        <v>235</v>
      </c>
      <c r="D1187" t="s">
        <v>13</v>
      </c>
      <c r="E1187" t="s">
        <v>2751</v>
      </c>
      <c r="F1187" t="s">
        <v>34</v>
      </c>
      <c r="G1187" s="21">
        <v>1</v>
      </c>
      <c r="H1187" s="21">
        <v>0</v>
      </c>
      <c r="I1187" t="s">
        <v>826</v>
      </c>
      <c r="J1187" s="20" t="s">
        <v>2389</v>
      </c>
      <c r="K1187" t="s">
        <v>2388</v>
      </c>
    </row>
    <row r="1188" spans="2:11" x14ac:dyDescent="0.2">
      <c r="B1188" s="21">
        <f t="shared" si="18"/>
        <v>933</v>
      </c>
      <c r="C1188" t="s">
        <v>235</v>
      </c>
      <c r="D1188" t="s">
        <v>13</v>
      </c>
      <c r="E1188" t="s">
        <v>2751</v>
      </c>
      <c r="F1188" t="s">
        <v>43</v>
      </c>
      <c r="G1188" s="21">
        <v>1</v>
      </c>
      <c r="H1188" s="21">
        <v>0</v>
      </c>
      <c r="I1188" t="s">
        <v>827</v>
      </c>
      <c r="J1188" s="20" t="s">
        <v>2389</v>
      </c>
      <c r="K1188" t="s">
        <v>2388</v>
      </c>
    </row>
    <row r="1189" spans="2:11" x14ac:dyDescent="0.2">
      <c r="B1189" s="21">
        <f t="shared" si="18"/>
        <v>932</v>
      </c>
      <c r="C1189" t="s">
        <v>780</v>
      </c>
      <c r="D1189" t="s">
        <v>13</v>
      </c>
      <c r="E1189" t="s">
        <v>2751</v>
      </c>
      <c r="F1189" t="s">
        <v>27</v>
      </c>
      <c r="G1189" s="21">
        <v>1</v>
      </c>
      <c r="H1189" s="21">
        <v>0</v>
      </c>
      <c r="I1189" t="s">
        <v>822</v>
      </c>
      <c r="J1189" s="20" t="s">
        <v>2390</v>
      </c>
      <c r="K1189" t="s">
        <v>2700</v>
      </c>
    </row>
    <row r="1190" spans="2:11" x14ac:dyDescent="0.2">
      <c r="B1190" s="21">
        <f t="shared" si="18"/>
        <v>931</v>
      </c>
      <c r="C1190" t="s">
        <v>616</v>
      </c>
      <c r="D1190" t="s">
        <v>13</v>
      </c>
      <c r="E1190" t="s">
        <v>2751</v>
      </c>
      <c r="F1190" t="s">
        <v>34</v>
      </c>
      <c r="G1190" s="21">
        <v>1</v>
      </c>
      <c r="H1190" s="21">
        <v>0</v>
      </c>
      <c r="J1190" s="20" t="s">
        <v>2390</v>
      </c>
      <c r="K1190" t="s">
        <v>2700</v>
      </c>
    </row>
    <row r="1191" spans="2:11" x14ac:dyDescent="0.2">
      <c r="B1191" s="21">
        <f t="shared" si="18"/>
        <v>930</v>
      </c>
      <c r="C1191" t="s">
        <v>151</v>
      </c>
      <c r="D1191" t="s">
        <v>13</v>
      </c>
      <c r="E1191" t="s">
        <v>2751</v>
      </c>
      <c r="F1191" t="s">
        <v>34</v>
      </c>
      <c r="G1191" s="21">
        <v>1</v>
      </c>
      <c r="H1191" s="21">
        <v>0</v>
      </c>
      <c r="J1191" s="20" t="s">
        <v>2390</v>
      </c>
      <c r="K1191" t="s">
        <v>2700</v>
      </c>
    </row>
    <row r="1192" spans="2:11" x14ac:dyDescent="0.2">
      <c r="B1192" s="21">
        <f t="shared" si="18"/>
        <v>929</v>
      </c>
      <c r="C1192" t="s">
        <v>235</v>
      </c>
      <c r="D1192" t="s">
        <v>13</v>
      </c>
      <c r="E1192" t="s">
        <v>2751</v>
      </c>
      <c r="F1192" t="s">
        <v>43</v>
      </c>
      <c r="G1192" s="21">
        <v>1</v>
      </c>
      <c r="H1192" s="21">
        <v>0</v>
      </c>
      <c r="I1192" t="s">
        <v>824</v>
      </c>
      <c r="J1192" s="20" t="s">
        <v>2390</v>
      </c>
      <c r="K1192" t="s">
        <v>2700</v>
      </c>
    </row>
    <row r="1193" spans="2:11" x14ac:dyDescent="0.2">
      <c r="B1193" s="21">
        <f t="shared" si="18"/>
        <v>928</v>
      </c>
      <c r="C1193" t="s">
        <v>780</v>
      </c>
      <c r="D1193" t="s">
        <v>13</v>
      </c>
      <c r="E1193" t="s">
        <v>2751</v>
      </c>
      <c r="F1193" t="s">
        <v>27</v>
      </c>
      <c r="G1193" s="21">
        <v>1</v>
      </c>
      <c r="H1193" s="21">
        <v>0</v>
      </c>
      <c r="J1193" s="20" t="s">
        <v>2391</v>
      </c>
      <c r="K1193" t="s">
        <v>2701</v>
      </c>
    </row>
    <row r="1194" spans="2:11" x14ac:dyDescent="0.2">
      <c r="B1194" s="21">
        <f t="shared" si="18"/>
        <v>927</v>
      </c>
      <c r="C1194" t="s">
        <v>235</v>
      </c>
      <c r="D1194" t="s">
        <v>13</v>
      </c>
      <c r="E1194" t="s">
        <v>2751</v>
      </c>
      <c r="F1194" t="s">
        <v>43</v>
      </c>
      <c r="G1194" s="21">
        <v>1</v>
      </c>
      <c r="H1194" s="21">
        <v>0</v>
      </c>
      <c r="J1194" s="20" t="s">
        <v>2391</v>
      </c>
      <c r="K1194" t="s">
        <v>2701</v>
      </c>
    </row>
    <row r="1195" spans="2:11" x14ac:dyDescent="0.2">
      <c r="B1195" s="21">
        <f t="shared" si="18"/>
        <v>926</v>
      </c>
      <c r="C1195" t="s">
        <v>578</v>
      </c>
      <c r="D1195" t="s">
        <v>14</v>
      </c>
      <c r="E1195" t="s">
        <v>2751</v>
      </c>
      <c r="F1195" t="s">
        <v>27</v>
      </c>
      <c r="G1195" s="21">
        <v>1</v>
      </c>
      <c r="H1195" s="21">
        <v>0</v>
      </c>
      <c r="J1195" s="20" t="s">
        <v>2391</v>
      </c>
      <c r="K1195" t="s">
        <v>2701</v>
      </c>
    </row>
    <row r="1196" spans="2:11" x14ac:dyDescent="0.2">
      <c r="B1196" s="21">
        <f t="shared" si="18"/>
        <v>925</v>
      </c>
      <c r="C1196" t="s">
        <v>616</v>
      </c>
      <c r="D1196" t="s">
        <v>13</v>
      </c>
      <c r="E1196" t="s">
        <v>2751</v>
      </c>
      <c r="F1196" t="s">
        <v>21</v>
      </c>
      <c r="G1196" s="21">
        <v>1</v>
      </c>
      <c r="H1196" s="21">
        <v>0</v>
      </c>
      <c r="I1196" t="s">
        <v>823</v>
      </c>
      <c r="J1196" s="20" t="s">
        <v>2391</v>
      </c>
      <c r="K1196" t="s">
        <v>2391</v>
      </c>
    </row>
    <row r="1197" spans="2:11" x14ac:dyDescent="0.2">
      <c r="B1197" s="21">
        <f t="shared" si="18"/>
        <v>924</v>
      </c>
      <c r="C1197" t="s">
        <v>780</v>
      </c>
      <c r="D1197" t="s">
        <v>13</v>
      </c>
      <c r="E1197" t="s">
        <v>2751</v>
      </c>
      <c r="F1197" t="s">
        <v>27</v>
      </c>
      <c r="G1197" s="21">
        <v>1</v>
      </c>
      <c r="H1197" s="21">
        <v>0</v>
      </c>
      <c r="I1197" t="s">
        <v>820</v>
      </c>
      <c r="J1197" s="20" t="s">
        <v>2392</v>
      </c>
      <c r="K1197" t="s">
        <v>2391</v>
      </c>
    </row>
    <row r="1198" spans="2:11" x14ac:dyDescent="0.2">
      <c r="B1198" s="21">
        <f t="shared" si="18"/>
        <v>923</v>
      </c>
      <c r="C1198" t="s">
        <v>235</v>
      </c>
      <c r="D1198" t="s">
        <v>13</v>
      </c>
      <c r="E1198" t="s">
        <v>2751</v>
      </c>
      <c r="F1198" t="s">
        <v>43</v>
      </c>
      <c r="G1198" s="21">
        <v>1</v>
      </c>
      <c r="H1198" s="21">
        <v>0</v>
      </c>
      <c r="I1198" t="s">
        <v>819</v>
      </c>
      <c r="J1198" s="20" t="s">
        <v>2392</v>
      </c>
      <c r="K1198" t="s">
        <v>2391</v>
      </c>
    </row>
    <row r="1199" spans="2:11" x14ac:dyDescent="0.2">
      <c r="B1199" s="21">
        <f t="shared" si="18"/>
        <v>922</v>
      </c>
      <c r="C1199" t="s">
        <v>578</v>
      </c>
      <c r="D1199" t="s">
        <v>14</v>
      </c>
      <c r="E1199" t="s">
        <v>2751</v>
      </c>
      <c r="F1199" t="s">
        <v>27</v>
      </c>
      <c r="G1199" s="21">
        <v>1</v>
      </c>
      <c r="H1199" s="21">
        <v>0</v>
      </c>
      <c r="J1199" s="20" t="s">
        <v>2392</v>
      </c>
      <c r="K1199" t="s">
        <v>2391</v>
      </c>
    </row>
    <row r="1200" spans="2:11" x14ac:dyDescent="0.2">
      <c r="B1200" s="21">
        <f t="shared" si="18"/>
        <v>921</v>
      </c>
      <c r="C1200" t="s">
        <v>616</v>
      </c>
      <c r="D1200" t="s">
        <v>13</v>
      </c>
      <c r="E1200" t="s">
        <v>2751</v>
      </c>
      <c r="F1200" t="s">
        <v>27</v>
      </c>
      <c r="G1200" s="21">
        <v>1</v>
      </c>
      <c r="H1200" s="21">
        <v>0</v>
      </c>
      <c r="I1200" t="s">
        <v>821</v>
      </c>
      <c r="J1200" s="20" t="s">
        <v>2392</v>
      </c>
      <c r="K1200" t="s">
        <v>2392</v>
      </c>
    </row>
    <row r="1201" spans="2:11" x14ac:dyDescent="0.2">
      <c r="B1201" s="21">
        <f t="shared" si="18"/>
        <v>920</v>
      </c>
      <c r="C1201" t="s">
        <v>780</v>
      </c>
      <c r="D1201" t="s">
        <v>13</v>
      </c>
      <c r="E1201" t="s">
        <v>2751</v>
      </c>
      <c r="F1201" t="s">
        <v>27</v>
      </c>
      <c r="G1201" s="21">
        <v>1</v>
      </c>
      <c r="H1201" s="21">
        <v>0</v>
      </c>
      <c r="J1201" s="20" t="s">
        <v>2393</v>
      </c>
      <c r="K1201" t="s">
        <v>2392</v>
      </c>
    </row>
    <row r="1202" spans="2:11" x14ac:dyDescent="0.2">
      <c r="B1202" s="21">
        <f t="shared" si="18"/>
        <v>919</v>
      </c>
      <c r="C1202" t="s">
        <v>235</v>
      </c>
      <c r="D1202" t="s">
        <v>13</v>
      </c>
      <c r="E1202" t="s">
        <v>2751</v>
      </c>
      <c r="F1202" t="s">
        <v>43</v>
      </c>
      <c r="G1202" s="21">
        <v>1</v>
      </c>
      <c r="H1202" s="21">
        <v>0</v>
      </c>
      <c r="I1202" t="s">
        <v>817</v>
      </c>
      <c r="J1202" s="20" t="s">
        <v>2393</v>
      </c>
      <c r="K1202" t="s">
        <v>2392</v>
      </c>
    </row>
    <row r="1203" spans="2:11" x14ac:dyDescent="0.2">
      <c r="B1203" s="21">
        <f t="shared" si="18"/>
        <v>918</v>
      </c>
      <c r="C1203" t="s">
        <v>578</v>
      </c>
      <c r="D1203" t="s">
        <v>14</v>
      </c>
      <c r="E1203" t="s">
        <v>2751</v>
      </c>
      <c r="F1203" t="s">
        <v>27</v>
      </c>
      <c r="G1203" s="21">
        <v>1</v>
      </c>
      <c r="H1203" s="21">
        <v>0</v>
      </c>
      <c r="I1203" t="s">
        <v>818</v>
      </c>
      <c r="J1203" s="20" t="s">
        <v>2393</v>
      </c>
      <c r="K1203" t="s">
        <v>2392</v>
      </c>
    </row>
    <row r="1204" spans="2:11" x14ac:dyDescent="0.2">
      <c r="B1204" s="21">
        <f t="shared" si="18"/>
        <v>917</v>
      </c>
      <c r="C1204" t="s">
        <v>499</v>
      </c>
      <c r="D1204" t="s">
        <v>13</v>
      </c>
      <c r="E1204" t="s">
        <v>2751</v>
      </c>
      <c r="F1204" t="s">
        <v>64</v>
      </c>
      <c r="G1204" s="21">
        <v>1</v>
      </c>
      <c r="H1204" s="21">
        <v>0</v>
      </c>
      <c r="I1204" t="s">
        <v>815</v>
      </c>
      <c r="J1204" s="20" t="s">
        <v>2393</v>
      </c>
      <c r="K1204" t="s">
        <v>2393</v>
      </c>
    </row>
    <row r="1205" spans="2:11" x14ac:dyDescent="0.2">
      <c r="B1205" s="21">
        <f t="shared" si="18"/>
        <v>916</v>
      </c>
      <c r="C1205" t="s">
        <v>540</v>
      </c>
      <c r="D1205" t="s">
        <v>13</v>
      </c>
      <c r="E1205" t="s">
        <v>2751</v>
      </c>
      <c r="F1205" t="s">
        <v>27</v>
      </c>
      <c r="G1205" s="21">
        <v>1</v>
      </c>
      <c r="H1205" s="21">
        <v>0</v>
      </c>
      <c r="I1205" t="s">
        <v>816</v>
      </c>
      <c r="J1205" s="20" t="s">
        <v>2393</v>
      </c>
      <c r="K1205" t="s">
        <v>2393</v>
      </c>
    </row>
    <row r="1206" spans="2:11" x14ac:dyDescent="0.2">
      <c r="B1206" s="21">
        <f t="shared" si="18"/>
        <v>915</v>
      </c>
      <c r="C1206" t="s">
        <v>780</v>
      </c>
      <c r="D1206" t="s">
        <v>13</v>
      </c>
      <c r="E1206" t="s">
        <v>2751</v>
      </c>
      <c r="F1206" t="s">
        <v>27</v>
      </c>
      <c r="G1206" s="21">
        <v>1</v>
      </c>
      <c r="H1206" s="21">
        <v>0</v>
      </c>
      <c r="I1206" t="s">
        <v>813</v>
      </c>
      <c r="J1206" s="20" t="s">
        <v>2394</v>
      </c>
      <c r="K1206" t="s">
        <v>2393</v>
      </c>
    </row>
    <row r="1207" spans="2:11" x14ac:dyDescent="0.2">
      <c r="B1207" s="21">
        <f t="shared" si="18"/>
        <v>914</v>
      </c>
      <c r="C1207" t="s">
        <v>235</v>
      </c>
      <c r="D1207" t="s">
        <v>13</v>
      </c>
      <c r="E1207" t="s">
        <v>2751</v>
      </c>
      <c r="F1207" t="s">
        <v>43</v>
      </c>
      <c r="G1207" s="21">
        <v>1</v>
      </c>
      <c r="H1207" s="21">
        <v>0</v>
      </c>
      <c r="I1207" t="s">
        <v>812</v>
      </c>
      <c r="J1207" s="20" t="s">
        <v>2394</v>
      </c>
      <c r="K1207" t="s">
        <v>2393</v>
      </c>
    </row>
    <row r="1208" spans="2:11" x14ac:dyDescent="0.2">
      <c r="B1208" s="21">
        <f t="shared" si="18"/>
        <v>913</v>
      </c>
      <c r="C1208" t="s">
        <v>578</v>
      </c>
      <c r="D1208" t="s">
        <v>14</v>
      </c>
      <c r="E1208" t="s">
        <v>2751</v>
      </c>
      <c r="F1208" t="s">
        <v>27</v>
      </c>
      <c r="G1208" s="21">
        <v>1</v>
      </c>
      <c r="H1208" s="21">
        <v>0</v>
      </c>
      <c r="I1208" t="s">
        <v>814</v>
      </c>
      <c r="J1208" s="20" t="s">
        <v>2394</v>
      </c>
      <c r="K1208" t="s">
        <v>2393</v>
      </c>
    </row>
    <row r="1209" spans="2:11" x14ac:dyDescent="0.2">
      <c r="B1209" s="21">
        <f t="shared" si="18"/>
        <v>912</v>
      </c>
      <c r="C1209" t="s">
        <v>780</v>
      </c>
      <c r="D1209" t="s">
        <v>13</v>
      </c>
      <c r="E1209" t="s">
        <v>2751</v>
      </c>
      <c r="F1209" t="s">
        <v>27</v>
      </c>
      <c r="G1209" s="21">
        <v>1</v>
      </c>
      <c r="H1209" s="21">
        <v>0</v>
      </c>
      <c r="I1209" t="s">
        <v>810</v>
      </c>
      <c r="J1209" s="20" t="s">
        <v>2395</v>
      </c>
      <c r="K1209" t="s">
        <v>2702</v>
      </c>
    </row>
    <row r="1210" spans="2:11" x14ac:dyDescent="0.2">
      <c r="B1210" s="21">
        <f t="shared" si="18"/>
        <v>911</v>
      </c>
      <c r="C1210" t="s">
        <v>235</v>
      </c>
      <c r="D1210" t="s">
        <v>13</v>
      </c>
      <c r="E1210" t="s">
        <v>2751</v>
      </c>
      <c r="F1210" t="s">
        <v>27</v>
      </c>
      <c r="G1210" s="21">
        <v>1</v>
      </c>
      <c r="H1210" s="21">
        <v>0</v>
      </c>
      <c r="I1210" t="s">
        <v>808</v>
      </c>
      <c r="J1210" s="20" t="s">
        <v>2395</v>
      </c>
      <c r="K1210" t="s">
        <v>2395</v>
      </c>
    </row>
    <row r="1211" spans="2:11" x14ac:dyDescent="0.2">
      <c r="B1211" s="21">
        <f t="shared" si="18"/>
        <v>910</v>
      </c>
      <c r="C1211" t="s">
        <v>235</v>
      </c>
      <c r="D1211" t="s">
        <v>13</v>
      </c>
      <c r="E1211" t="s">
        <v>2751</v>
      </c>
      <c r="F1211" t="s">
        <v>43</v>
      </c>
      <c r="G1211" s="21">
        <v>1</v>
      </c>
      <c r="H1211" s="21">
        <v>0</v>
      </c>
      <c r="I1211" t="s">
        <v>807</v>
      </c>
      <c r="J1211" s="20" t="s">
        <v>2395</v>
      </c>
      <c r="K1211" t="s">
        <v>2702</v>
      </c>
    </row>
    <row r="1212" spans="2:11" x14ac:dyDescent="0.2">
      <c r="B1212" s="21">
        <f t="shared" si="18"/>
        <v>909</v>
      </c>
      <c r="C1212" t="s">
        <v>235</v>
      </c>
      <c r="D1212" t="s">
        <v>13</v>
      </c>
      <c r="E1212" t="s">
        <v>2751</v>
      </c>
      <c r="F1212" t="s">
        <v>22</v>
      </c>
      <c r="G1212" s="21">
        <v>1</v>
      </c>
      <c r="H1212" s="21">
        <v>0</v>
      </c>
      <c r="I1212" t="s">
        <v>811</v>
      </c>
      <c r="J1212" s="20" t="s">
        <v>2395</v>
      </c>
      <c r="K1212" t="s">
        <v>2395</v>
      </c>
    </row>
    <row r="1213" spans="2:11" x14ac:dyDescent="0.2">
      <c r="B1213" s="21">
        <f t="shared" si="18"/>
        <v>908</v>
      </c>
      <c r="C1213" t="s">
        <v>499</v>
      </c>
      <c r="D1213" t="s">
        <v>13</v>
      </c>
      <c r="E1213" t="s">
        <v>2751</v>
      </c>
      <c r="F1213" t="s">
        <v>8</v>
      </c>
      <c r="G1213" s="21">
        <v>1</v>
      </c>
      <c r="H1213" s="21">
        <v>0</v>
      </c>
      <c r="I1213" t="s">
        <v>809</v>
      </c>
      <c r="J1213" s="20" t="s">
        <v>2395</v>
      </c>
      <c r="K1213" t="s">
        <v>2395</v>
      </c>
    </row>
    <row r="1214" spans="2:11" x14ac:dyDescent="0.2">
      <c r="B1214" s="21">
        <f t="shared" si="18"/>
        <v>907</v>
      </c>
      <c r="C1214" t="s">
        <v>780</v>
      </c>
      <c r="D1214" t="s">
        <v>13</v>
      </c>
      <c r="E1214" t="s">
        <v>2751</v>
      </c>
      <c r="F1214" t="s">
        <v>27</v>
      </c>
      <c r="G1214" s="21">
        <v>1</v>
      </c>
      <c r="H1214" s="21">
        <v>0</v>
      </c>
      <c r="I1214" t="s">
        <v>806</v>
      </c>
      <c r="J1214" s="20" t="s">
        <v>2396</v>
      </c>
      <c r="K1214" t="s">
        <v>2395</v>
      </c>
    </row>
    <row r="1215" spans="2:11" x14ac:dyDescent="0.2">
      <c r="B1215" s="21">
        <f t="shared" si="18"/>
        <v>906</v>
      </c>
      <c r="C1215" t="s">
        <v>235</v>
      </c>
      <c r="D1215" t="s">
        <v>13</v>
      </c>
      <c r="E1215" t="s">
        <v>2751</v>
      </c>
      <c r="F1215" t="s">
        <v>27</v>
      </c>
      <c r="G1215" s="21">
        <v>1</v>
      </c>
      <c r="H1215" s="21">
        <v>0</v>
      </c>
      <c r="I1215" t="s">
        <v>803</v>
      </c>
      <c r="J1215" s="20" t="s">
        <v>2396</v>
      </c>
      <c r="K1215" t="s">
        <v>2395</v>
      </c>
    </row>
    <row r="1216" spans="2:11" x14ac:dyDescent="0.2">
      <c r="B1216" s="21">
        <f t="shared" si="18"/>
        <v>905</v>
      </c>
      <c r="C1216" t="s">
        <v>235</v>
      </c>
      <c r="D1216" t="s">
        <v>13</v>
      </c>
      <c r="E1216" t="s">
        <v>2751</v>
      </c>
      <c r="F1216" t="s">
        <v>21</v>
      </c>
      <c r="G1216" s="21">
        <v>1</v>
      </c>
      <c r="H1216" s="21">
        <v>0</v>
      </c>
      <c r="I1216" t="s">
        <v>805</v>
      </c>
      <c r="J1216" s="20" t="s">
        <v>2396</v>
      </c>
      <c r="K1216" t="s">
        <v>2396</v>
      </c>
    </row>
    <row r="1217" spans="2:11" x14ac:dyDescent="0.2">
      <c r="B1217" s="21">
        <f t="shared" si="18"/>
        <v>904</v>
      </c>
      <c r="C1217" t="s">
        <v>345</v>
      </c>
      <c r="D1217" t="s">
        <v>13</v>
      </c>
      <c r="E1217" t="s">
        <v>2751</v>
      </c>
      <c r="F1217" t="s">
        <v>34</v>
      </c>
      <c r="G1217" s="21">
        <v>1</v>
      </c>
      <c r="H1217" s="21">
        <v>0</v>
      </c>
      <c r="I1217" t="s">
        <v>804</v>
      </c>
      <c r="J1217" s="20" t="s">
        <v>2396</v>
      </c>
      <c r="K1217" t="s">
        <v>2396</v>
      </c>
    </row>
    <row r="1218" spans="2:11" x14ac:dyDescent="0.2">
      <c r="B1218" s="21">
        <f t="shared" si="18"/>
        <v>903</v>
      </c>
      <c r="C1218" t="s">
        <v>780</v>
      </c>
      <c r="D1218" t="s">
        <v>13</v>
      </c>
      <c r="E1218" t="s">
        <v>2751</v>
      </c>
      <c r="F1218" t="s">
        <v>27</v>
      </c>
      <c r="G1218" s="21">
        <v>1</v>
      </c>
      <c r="H1218" s="21">
        <v>0</v>
      </c>
      <c r="I1218" t="s">
        <v>799</v>
      </c>
      <c r="J1218" s="20" t="s">
        <v>2397</v>
      </c>
      <c r="K1218" t="s">
        <v>2396</v>
      </c>
    </row>
    <row r="1219" spans="2:11" x14ac:dyDescent="0.2">
      <c r="B1219" s="21">
        <f t="shared" si="18"/>
        <v>902</v>
      </c>
      <c r="C1219" t="s">
        <v>235</v>
      </c>
      <c r="D1219" t="s">
        <v>13</v>
      </c>
      <c r="E1219" t="s">
        <v>2751</v>
      </c>
      <c r="F1219" t="s">
        <v>27</v>
      </c>
      <c r="G1219" s="21">
        <v>1</v>
      </c>
      <c r="H1219" s="21">
        <v>0</v>
      </c>
      <c r="I1219" t="s">
        <v>802</v>
      </c>
      <c r="J1219" s="20" t="s">
        <v>2397</v>
      </c>
      <c r="K1219" t="s">
        <v>2396</v>
      </c>
    </row>
    <row r="1220" spans="2:11" x14ac:dyDescent="0.2">
      <c r="B1220" s="21">
        <f t="shared" si="18"/>
        <v>901</v>
      </c>
      <c r="C1220" t="s">
        <v>770</v>
      </c>
      <c r="D1220" t="s">
        <v>13</v>
      </c>
      <c r="E1220" t="s">
        <v>2751</v>
      </c>
      <c r="F1220" t="s">
        <v>34</v>
      </c>
      <c r="G1220" s="21">
        <v>1</v>
      </c>
      <c r="H1220" s="21">
        <v>0</v>
      </c>
      <c r="I1220" t="s">
        <v>801</v>
      </c>
      <c r="J1220" s="20" t="s">
        <v>2397</v>
      </c>
      <c r="K1220" t="s">
        <v>2397</v>
      </c>
    </row>
    <row r="1221" spans="2:11" x14ac:dyDescent="0.2">
      <c r="B1221" s="21">
        <f t="shared" ref="B1221:B1284" si="19">B1220-1</f>
        <v>900</v>
      </c>
      <c r="C1221" t="s">
        <v>677</v>
      </c>
      <c r="D1221" t="s">
        <v>13</v>
      </c>
      <c r="E1221" t="s">
        <v>2751</v>
      </c>
      <c r="F1221" t="s">
        <v>27</v>
      </c>
      <c r="G1221" s="21">
        <v>1</v>
      </c>
      <c r="H1221" s="21">
        <v>0</v>
      </c>
      <c r="I1221" t="s">
        <v>800</v>
      </c>
      <c r="J1221" s="20" t="s">
        <v>2397</v>
      </c>
      <c r="K1221" t="s">
        <v>2397</v>
      </c>
    </row>
    <row r="1222" spans="2:11" x14ac:dyDescent="0.2">
      <c r="B1222" s="21">
        <f t="shared" si="19"/>
        <v>899</v>
      </c>
      <c r="C1222" t="s">
        <v>780</v>
      </c>
      <c r="D1222" t="s">
        <v>13</v>
      </c>
      <c r="E1222" t="s">
        <v>2751</v>
      </c>
      <c r="F1222" t="s">
        <v>27</v>
      </c>
      <c r="G1222" s="21">
        <v>1</v>
      </c>
      <c r="H1222" s="21">
        <v>0</v>
      </c>
      <c r="I1222" t="s">
        <v>798</v>
      </c>
      <c r="J1222" s="20" t="s">
        <v>2398</v>
      </c>
      <c r="K1222" t="s">
        <v>2397</v>
      </c>
    </row>
    <row r="1223" spans="2:11" x14ac:dyDescent="0.2">
      <c r="B1223" s="21">
        <f t="shared" si="19"/>
        <v>898</v>
      </c>
      <c r="C1223" t="s">
        <v>235</v>
      </c>
      <c r="D1223" t="s">
        <v>13</v>
      </c>
      <c r="E1223" t="s">
        <v>2751</v>
      </c>
      <c r="F1223" t="s">
        <v>27</v>
      </c>
      <c r="G1223" s="21">
        <v>1</v>
      </c>
      <c r="H1223" s="21">
        <v>0</v>
      </c>
      <c r="I1223" t="s">
        <v>795</v>
      </c>
      <c r="J1223" s="20" t="s">
        <v>2398</v>
      </c>
      <c r="K1223" t="s">
        <v>2397</v>
      </c>
    </row>
    <row r="1224" spans="2:11" x14ac:dyDescent="0.2">
      <c r="B1224" s="21">
        <f t="shared" si="19"/>
        <v>897</v>
      </c>
      <c r="C1224" t="s">
        <v>235</v>
      </c>
      <c r="D1224" t="s">
        <v>13</v>
      </c>
      <c r="E1224" t="s">
        <v>2751</v>
      </c>
      <c r="F1224" t="s">
        <v>69</v>
      </c>
      <c r="G1224" s="21">
        <v>1</v>
      </c>
      <c r="H1224" s="21">
        <v>0</v>
      </c>
      <c r="I1224" t="s">
        <v>796</v>
      </c>
      <c r="J1224" s="20" t="s">
        <v>2398</v>
      </c>
      <c r="K1224" t="s">
        <v>2398</v>
      </c>
    </row>
    <row r="1225" spans="2:11" x14ac:dyDescent="0.2">
      <c r="B1225" s="21">
        <f t="shared" si="19"/>
        <v>896</v>
      </c>
      <c r="C1225" t="s">
        <v>235</v>
      </c>
      <c r="D1225" t="s">
        <v>13</v>
      </c>
      <c r="E1225" t="s">
        <v>2751</v>
      </c>
      <c r="F1225" t="s">
        <v>21</v>
      </c>
      <c r="G1225" s="21">
        <v>1</v>
      </c>
      <c r="H1225" s="21">
        <v>0</v>
      </c>
      <c r="I1225" t="s">
        <v>797</v>
      </c>
      <c r="J1225" s="20" t="s">
        <v>2398</v>
      </c>
      <c r="K1225" t="s">
        <v>2398</v>
      </c>
    </row>
    <row r="1226" spans="2:11" x14ac:dyDescent="0.2">
      <c r="B1226" s="21">
        <f t="shared" si="19"/>
        <v>895</v>
      </c>
      <c r="C1226" t="s">
        <v>770</v>
      </c>
      <c r="D1226" t="s">
        <v>13</v>
      </c>
      <c r="E1226" t="s">
        <v>2751</v>
      </c>
      <c r="F1226" t="s">
        <v>34</v>
      </c>
      <c r="G1226" s="21">
        <v>1</v>
      </c>
      <c r="H1226" s="21">
        <v>0</v>
      </c>
      <c r="J1226" s="20" t="s">
        <v>2398</v>
      </c>
      <c r="K1226" t="s">
        <v>2397</v>
      </c>
    </row>
    <row r="1227" spans="2:11" x14ac:dyDescent="0.2">
      <c r="B1227" s="21">
        <f t="shared" si="19"/>
        <v>894</v>
      </c>
      <c r="C1227" t="s">
        <v>84</v>
      </c>
      <c r="D1227" t="s">
        <v>13</v>
      </c>
      <c r="E1227" t="s">
        <v>2751</v>
      </c>
      <c r="F1227" t="s">
        <v>8</v>
      </c>
      <c r="G1227" s="21">
        <v>1</v>
      </c>
      <c r="H1227" s="21">
        <v>0</v>
      </c>
      <c r="I1227" t="s">
        <v>793</v>
      </c>
      <c r="J1227" s="20" t="s">
        <v>2399</v>
      </c>
      <c r="K1227" t="s">
        <v>2398</v>
      </c>
    </row>
    <row r="1228" spans="2:11" x14ac:dyDescent="0.2">
      <c r="B1228" s="21">
        <f t="shared" si="19"/>
        <v>893</v>
      </c>
      <c r="C1228" t="s">
        <v>780</v>
      </c>
      <c r="D1228" t="s">
        <v>13</v>
      </c>
      <c r="E1228" t="s">
        <v>2751</v>
      </c>
      <c r="F1228" t="s">
        <v>27</v>
      </c>
      <c r="G1228" s="21">
        <v>1</v>
      </c>
      <c r="H1228" s="21">
        <v>0</v>
      </c>
      <c r="I1228" t="s">
        <v>793</v>
      </c>
      <c r="J1228" s="20" t="s">
        <v>2399</v>
      </c>
      <c r="K1228" t="s">
        <v>2398</v>
      </c>
    </row>
    <row r="1229" spans="2:11" x14ac:dyDescent="0.2">
      <c r="B1229" s="21">
        <f t="shared" si="19"/>
        <v>892</v>
      </c>
      <c r="C1229" t="s">
        <v>235</v>
      </c>
      <c r="D1229" t="s">
        <v>13</v>
      </c>
      <c r="E1229" t="s">
        <v>2751</v>
      </c>
      <c r="F1229" t="s">
        <v>27</v>
      </c>
      <c r="G1229" s="21">
        <v>1</v>
      </c>
      <c r="H1229" s="21">
        <v>0</v>
      </c>
      <c r="J1229" s="20" t="s">
        <v>2399</v>
      </c>
      <c r="K1229" t="s">
        <v>2398</v>
      </c>
    </row>
    <row r="1230" spans="2:11" x14ac:dyDescent="0.2">
      <c r="B1230" s="21">
        <f t="shared" si="19"/>
        <v>891</v>
      </c>
      <c r="C1230" t="s">
        <v>770</v>
      </c>
      <c r="D1230" t="s">
        <v>13</v>
      </c>
      <c r="E1230" t="s">
        <v>2751</v>
      </c>
      <c r="F1230" t="s">
        <v>34</v>
      </c>
      <c r="G1230" s="21">
        <v>1</v>
      </c>
      <c r="H1230" s="21">
        <v>0</v>
      </c>
      <c r="J1230" s="20" t="s">
        <v>2399</v>
      </c>
      <c r="K1230" t="s">
        <v>2398</v>
      </c>
    </row>
    <row r="1231" spans="2:11" x14ac:dyDescent="0.2">
      <c r="B1231" s="21">
        <f t="shared" si="19"/>
        <v>890</v>
      </c>
      <c r="C1231" t="s">
        <v>345</v>
      </c>
      <c r="D1231" t="s">
        <v>13</v>
      </c>
      <c r="E1231" t="s">
        <v>2751</v>
      </c>
      <c r="F1231" t="s">
        <v>34</v>
      </c>
      <c r="G1231" s="21">
        <v>1</v>
      </c>
      <c r="H1231" s="21">
        <v>0</v>
      </c>
      <c r="I1231" t="s">
        <v>794</v>
      </c>
      <c r="J1231" s="20" t="s">
        <v>2399</v>
      </c>
      <c r="K1231" t="s">
        <v>2399</v>
      </c>
    </row>
    <row r="1232" spans="2:11" x14ac:dyDescent="0.2">
      <c r="B1232" s="21">
        <f t="shared" si="19"/>
        <v>889</v>
      </c>
      <c r="C1232" t="s">
        <v>84</v>
      </c>
      <c r="D1232" t="s">
        <v>13</v>
      </c>
      <c r="E1232" t="s">
        <v>2751</v>
      </c>
      <c r="F1232" t="s">
        <v>8</v>
      </c>
      <c r="G1232" s="21">
        <v>1</v>
      </c>
      <c r="H1232" s="21">
        <v>0</v>
      </c>
      <c r="I1232" t="s">
        <v>791</v>
      </c>
      <c r="J1232" s="20" t="s">
        <v>2400</v>
      </c>
      <c r="K1232" t="s">
        <v>2703</v>
      </c>
    </row>
    <row r="1233" spans="2:11" x14ac:dyDescent="0.2">
      <c r="B1233" s="21">
        <f t="shared" si="19"/>
        <v>888</v>
      </c>
      <c r="C1233" t="s">
        <v>780</v>
      </c>
      <c r="D1233" t="s">
        <v>13</v>
      </c>
      <c r="E1233" t="s">
        <v>2751</v>
      </c>
      <c r="F1233" t="s">
        <v>27</v>
      </c>
      <c r="G1233" s="21">
        <v>1</v>
      </c>
      <c r="H1233" s="21">
        <v>0</v>
      </c>
      <c r="J1233" s="20" t="s">
        <v>2400</v>
      </c>
      <c r="K1233" t="s">
        <v>2703</v>
      </c>
    </row>
    <row r="1234" spans="2:11" x14ac:dyDescent="0.2">
      <c r="B1234" s="21">
        <f t="shared" si="19"/>
        <v>887</v>
      </c>
      <c r="C1234" t="s">
        <v>235</v>
      </c>
      <c r="D1234" t="s">
        <v>13</v>
      </c>
      <c r="E1234" t="s">
        <v>2751</v>
      </c>
      <c r="F1234" t="s">
        <v>49</v>
      </c>
      <c r="G1234" s="21">
        <v>1</v>
      </c>
      <c r="H1234" s="21">
        <v>0</v>
      </c>
      <c r="J1234" s="20" t="s">
        <v>2400</v>
      </c>
      <c r="K1234" t="s">
        <v>2703</v>
      </c>
    </row>
    <row r="1235" spans="2:11" x14ac:dyDescent="0.2">
      <c r="B1235" s="21">
        <f t="shared" si="19"/>
        <v>886</v>
      </c>
      <c r="C1235" t="s">
        <v>499</v>
      </c>
      <c r="D1235" t="s">
        <v>13</v>
      </c>
      <c r="E1235" t="s">
        <v>2751</v>
      </c>
      <c r="F1235" t="s">
        <v>8</v>
      </c>
      <c r="G1235" s="21">
        <v>1</v>
      </c>
      <c r="H1235" s="21">
        <v>0</v>
      </c>
      <c r="I1235" t="s">
        <v>790</v>
      </c>
      <c r="J1235" s="20" t="s">
        <v>2400</v>
      </c>
      <c r="K1235" t="s">
        <v>2400</v>
      </c>
    </row>
    <row r="1236" spans="2:11" x14ac:dyDescent="0.2">
      <c r="B1236" s="21">
        <f t="shared" si="19"/>
        <v>885</v>
      </c>
      <c r="C1236" t="s">
        <v>677</v>
      </c>
      <c r="D1236" t="s">
        <v>13</v>
      </c>
      <c r="E1236" t="s">
        <v>2751</v>
      </c>
      <c r="F1236" t="s">
        <v>49</v>
      </c>
      <c r="G1236" s="21">
        <v>1</v>
      </c>
      <c r="H1236" s="21">
        <v>0</v>
      </c>
      <c r="I1236" t="s">
        <v>792</v>
      </c>
      <c r="J1236" s="20" t="s">
        <v>2400</v>
      </c>
      <c r="K1236" t="s">
        <v>2400</v>
      </c>
    </row>
    <row r="1237" spans="2:11" x14ac:dyDescent="0.2">
      <c r="B1237" s="21">
        <f t="shared" si="19"/>
        <v>884</v>
      </c>
      <c r="C1237" t="s">
        <v>84</v>
      </c>
      <c r="D1237" t="s">
        <v>13</v>
      </c>
      <c r="E1237" t="s">
        <v>2751</v>
      </c>
      <c r="F1237" t="s">
        <v>8</v>
      </c>
      <c r="G1237" s="21">
        <v>1</v>
      </c>
      <c r="H1237" s="21">
        <v>0</v>
      </c>
      <c r="J1237" s="20" t="s">
        <v>2401</v>
      </c>
      <c r="K1237" t="s">
        <v>2400</v>
      </c>
    </row>
    <row r="1238" spans="2:11" x14ac:dyDescent="0.2">
      <c r="B1238" s="21">
        <f t="shared" si="19"/>
        <v>883</v>
      </c>
      <c r="C1238" t="s">
        <v>503</v>
      </c>
      <c r="D1238" t="s">
        <v>13</v>
      </c>
      <c r="E1238" t="s">
        <v>2751</v>
      </c>
      <c r="F1238" t="s">
        <v>8</v>
      </c>
      <c r="G1238" s="21">
        <v>1</v>
      </c>
      <c r="H1238" s="21">
        <v>0</v>
      </c>
      <c r="I1238" t="s">
        <v>787</v>
      </c>
      <c r="J1238" s="20" t="s">
        <v>2401</v>
      </c>
      <c r="K1238" t="s">
        <v>2401</v>
      </c>
    </row>
    <row r="1239" spans="2:11" x14ac:dyDescent="0.2">
      <c r="B1239" s="21">
        <f t="shared" si="19"/>
        <v>882</v>
      </c>
      <c r="C1239" t="s">
        <v>780</v>
      </c>
      <c r="D1239" t="s">
        <v>13</v>
      </c>
      <c r="E1239" t="s">
        <v>2751</v>
      </c>
      <c r="F1239" t="s">
        <v>27</v>
      </c>
      <c r="G1239" s="21">
        <v>1</v>
      </c>
      <c r="H1239" s="21">
        <v>0</v>
      </c>
      <c r="J1239" s="20" t="s">
        <v>2401</v>
      </c>
      <c r="K1239" t="s">
        <v>2400</v>
      </c>
    </row>
    <row r="1240" spans="2:11" x14ac:dyDescent="0.2">
      <c r="B1240" s="21">
        <f t="shared" si="19"/>
        <v>881</v>
      </c>
      <c r="C1240" t="s">
        <v>235</v>
      </c>
      <c r="D1240" t="s">
        <v>13</v>
      </c>
      <c r="E1240" t="s">
        <v>2751</v>
      </c>
      <c r="F1240" t="s">
        <v>21</v>
      </c>
      <c r="G1240" s="21">
        <v>1</v>
      </c>
      <c r="H1240" s="21">
        <v>0</v>
      </c>
      <c r="I1240" t="s">
        <v>788</v>
      </c>
      <c r="J1240" s="20" t="s">
        <v>2401</v>
      </c>
      <c r="K1240" t="s">
        <v>2401</v>
      </c>
    </row>
    <row r="1241" spans="2:11" x14ac:dyDescent="0.2">
      <c r="B1241" s="21">
        <f t="shared" si="19"/>
        <v>880</v>
      </c>
      <c r="C1241" t="s">
        <v>345</v>
      </c>
      <c r="D1241" t="s">
        <v>13</v>
      </c>
      <c r="E1241" t="s">
        <v>2751</v>
      </c>
      <c r="F1241" t="s">
        <v>64</v>
      </c>
      <c r="G1241" s="21">
        <v>1</v>
      </c>
      <c r="H1241" s="21">
        <v>0</v>
      </c>
      <c r="I1241" t="s">
        <v>789</v>
      </c>
      <c r="J1241" s="20" t="s">
        <v>2401</v>
      </c>
      <c r="K1241" t="s">
        <v>2401</v>
      </c>
    </row>
    <row r="1242" spans="2:11" x14ac:dyDescent="0.2">
      <c r="B1242" s="21">
        <f t="shared" si="19"/>
        <v>879</v>
      </c>
      <c r="C1242" t="s">
        <v>84</v>
      </c>
      <c r="D1242" t="s">
        <v>13</v>
      </c>
      <c r="E1242" t="s">
        <v>2751</v>
      </c>
      <c r="F1242" t="s">
        <v>8</v>
      </c>
      <c r="G1242" s="21">
        <v>1</v>
      </c>
      <c r="H1242" s="21">
        <v>0</v>
      </c>
      <c r="J1242" s="20" t="s">
        <v>2402</v>
      </c>
      <c r="K1242" t="s">
        <v>2401</v>
      </c>
    </row>
    <row r="1243" spans="2:11" x14ac:dyDescent="0.2">
      <c r="B1243" s="21">
        <f t="shared" si="19"/>
        <v>878</v>
      </c>
      <c r="C1243" t="s">
        <v>503</v>
      </c>
      <c r="D1243" t="s">
        <v>13</v>
      </c>
      <c r="E1243" t="s">
        <v>2751</v>
      </c>
      <c r="F1243" t="s">
        <v>8</v>
      </c>
      <c r="G1243" s="21">
        <v>1</v>
      </c>
      <c r="H1243" s="21">
        <v>0</v>
      </c>
      <c r="I1243" t="s">
        <v>784</v>
      </c>
      <c r="J1243" s="20" t="s">
        <v>2402</v>
      </c>
      <c r="K1243" t="s">
        <v>2401</v>
      </c>
    </row>
    <row r="1244" spans="2:11" x14ac:dyDescent="0.2">
      <c r="B1244" s="21">
        <f t="shared" si="19"/>
        <v>877</v>
      </c>
      <c r="C1244" t="s">
        <v>780</v>
      </c>
      <c r="D1244" t="s">
        <v>13</v>
      </c>
      <c r="E1244" t="s">
        <v>2751</v>
      </c>
      <c r="F1244" t="s">
        <v>27</v>
      </c>
      <c r="G1244" s="21">
        <v>1</v>
      </c>
      <c r="H1244" s="21">
        <v>0</v>
      </c>
      <c r="J1244" s="20" t="s">
        <v>2402</v>
      </c>
      <c r="K1244" t="s">
        <v>2401</v>
      </c>
    </row>
    <row r="1245" spans="2:11" x14ac:dyDescent="0.2">
      <c r="B1245" s="21">
        <f t="shared" si="19"/>
        <v>876</v>
      </c>
      <c r="C1245" t="s">
        <v>235</v>
      </c>
      <c r="D1245" t="s">
        <v>13</v>
      </c>
      <c r="E1245" t="s">
        <v>2751</v>
      </c>
      <c r="F1245" t="s">
        <v>49</v>
      </c>
      <c r="G1245" s="21">
        <v>1</v>
      </c>
      <c r="H1245" s="21">
        <v>0</v>
      </c>
      <c r="I1245" t="s">
        <v>786</v>
      </c>
      <c r="J1245" s="20" t="s">
        <v>2402</v>
      </c>
      <c r="K1245" t="s">
        <v>2402</v>
      </c>
    </row>
    <row r="1246" spans="2:11" x14ac:dyDescent="0.2">
      <c r="B1246" s="21">
        <f t="shared" si="19"/>
        <v>875</v>
      </c>
      <c r="C1246" t="s">
        <v>677</v>
      </c>
      <c r="D1246" t="s">
        <v>13</v>
      </c>
      <c r="E1246" t="s">
        <v>2751</v>
      </c>
      <c r="F1246" t="s">
        <v>27</v>
      </c>
      <c r="G1246" s="21">
        <v>1</v>
      </c>
      <c r="H1246" s="21">
        <v>0</v>
      </c>
      <c r="I1246" t="s">
        <v>782</v>
      </c>
      <c r="J1246" s="20" t="s">
        <v>2403</v>
      </c>
      <c r="K1246" t="s">
        <v>2403</v>
      </c>
    </row>
    <row r="1247" spans="2:11" x14ac:dyDescent="0.2">
      <c r="B1247" s="21">
        <f t="shared" si="19"/>
        <v>874</v>
      </c>
      <c r="C1247" t="s">
        <v>84</v>
      </c>
      <c r="D1247" t="s">
        <v>13</v>
      </c>
      <c r="E1247" t="s">
        <v>2751</v>
      </c>
      <c r="F1247" t="s">
        <v>8</v>
      </c>
      <c r="G1247" s="21">
        <v>1</v>
      </c>
      <c r="H1247" s="21">
        <v>0</v>
      </c>
      <c r="J1247" s="20" t="s">
        <v>2403</v>
      </c>
      <c r="K1247" t="s">
        <v>2402</v>
      </c>
    </row>
    <row r="1248" spans="2:11" x14ac:dyDescent="0.2">
      <c r="B1248" s="21">
        <f t="shared" si="19"/>
        <v>873</v>
      </c>
      <c r="C1248" t="s">
        <v>345</v>
      </c>
      <c r="D1248" t="s">
        <v>13</v>
      </c>
      <c r="E1248" t="s">
        <v>2751</v>
      </c>
      <c r="F1248" t="s">
        <v>64</v>
      </c>
      <c r="G1248" s="21">
        <v>1</v>
      </c>
      <c r="H1248" s="21">
        <v>0</v>
      </c>
      <c r="I1248" t="s">
        <v>783</v>
      </c>
      <c r="J1248" s="20" t="s">
        <v>2403</v>
      </c>
      <c r="K1248" t="s">
        <v>2403</v>
      </c>
    </row>
    <row r="1249" spans="2:11" x14ac:dyDescent="0.2">
      <c r="B1249" s="21">
        <f t="shared" si="19"/>
        <v>872</v>
      </c>
      <c r="C1249" t="s">
        <v>503</v>
      </c>
      <c r="D1249" t="s">
        <v>13</v>
      </c>
      <c r="E1249" t="s">
        <v>2751</v>
      </c>
      <c r="F1249" t="s">
        <v>8</v>
      </c>
      <c r="G1249" s="21">
        <v>1</v>
      </c>
      <c r="H1249" s="21">
        <v>0</v>
      </c>
      <c r="I1249" t="s">
        <v>784</v>
      </c>
      <c r="J1249" s="20" t="s">
        <v>2403</v>
      </c>
      <c r="K1249" t="s">
        <v>2403</v>
      </c>
    </row>
    <row r="1250" spans="2:11" x14ac:dyDescent="0.2">
      <c r="B1250" s="21">
        <f t="shared" si="19"/>
        <v>871</v>
      </c>
      <c r="C1250" t="s">
        <v>770</v>
      </c>
      <c r="D1250" t="s">
        <v>13</v>
      </c>
      <c r="E1250" t="s">
        <v>2751</v>
      </c>
      <c r="F1250" t="s">
        <v>27</v>
      </c>
      <c r="G1250" s="21">
        <v>1</v>
      </c>
      <c r="H1250" s="21">
        <v>0</v>
      </c>
      <c r="I1250" t="s">
        <v>779</v>
      </c>
      <c r="J1250" s="20" t="s">
        <v>2403</v>
      </c>
      <c r="K1250" t="s">
        <v>2403</v>
      </c>
    </row>
    <row r="1251" spans="2:11" x14ac:dyDescent="0.2">
      <c r="B1251" s="21">
        <f t="shared" si="19"/>
        <v>870</v>
      </c>
      <c r="C1251" t="s">
        <v>780</v>
      </c>
      <c r="D1251" t="s">
        <v>13</v>
      </c>
      <c r="E1251" t="s">
        <v>2751</v>
      </c>
      <c r="F1251" t="s">
        <v>4</v>
      </c>
      <c r="G1251" s="21">
        <v>1</v>
      </c>
      <c r="H1251" s="21">
        <v>0</v>
      </c>
      <c r="I1251" t="s">
        <v>781</v>
      </c>
      <c r="J1251" s="20" t="s">
        <v>2403</v>
      </c>
      <c r="K1251" t="s">
        <v>2403</v>
      </c>
    </row>
    <row r="1252" spans="2:11" x14ac:dyDescent="0.2">
      <c r="B1252" s="21">
        <f t="shared" si="19"/>
        <v>869</v>
      </c>
      <c r="C1252" t="s">
        <v>780</v>
      </c>
      <c r="D1252" t="s">
        <v>13</v>
      </c>
      <c r="E1252" t="s">
        <v>2751</v>
      </c>
      <c r="F1252" t="s">
        <v>8</v>
      </c>
      <c r="G1252" s="21">
        <v>1</v>
      </c>
      <c r="H1252" s="21">
        <v>0</v>
      </c>
      <c r="I1252" t="s">
        <v>785</v>
      </c>
      <c r="J1252" s="20" t="s">
        <v>2403</v>
      </c>
      <c r="K1252" t="s">
        <v>2403</v>
      </c>
    </row>
    <row r="1253" spans="2:11" x14ac:dyDescent="0.2">
      <c r="B1253" s="21">
        <f t="shared" si="19"/>
        <v>868</v>
      </c>
      <c r="C1253" t="s">
        <v>780</v>
      </c>
      <c r="D1253" t="s">
        <v>13</v>
      </c>
      <c r="E1253" t="s">
        <v>2751</v>
      </c>
      <c r="F1253" t="s">
        <v>27</v>
      </c>
      <c r="G1253" s="21">
        <v>1</v>
      </c>
      <c r="H1253" s="21">
        <v>0</v>
      </c>
      <c r="J1253" s="20" t="s">
        <v>2403</v>
      </c>
      <c r="K1253" t="s">
        <v>2402</v>
      </c>
    </row>
    <row r="1254" spans="2:11" x14ac:dyDescent="0.2">
      <c r="B1254" s="21">
        <f t="shared" si="19"/>
        <v>867</v>
      </c>
      <c r="C1254" t="s">
        <v>677</v>
      </c>
      <c r="D1254" t="s">
        <v>13</v>
      </c>
      <c r="E1254" t="s">
        <v>2751</v>
      </c>
      <c r="F1254" t="s">
        <v>27</v>
      </c>
      <c r="G1254" s="21">
        <v>1</v>
      </c>
      <c r="H1254" s="21">
        <v>0</v>
      </c>
      <c r="I1254" t="s">
        <v>778</v>
      </c>
      <c r="J1254" s="20" t="s">
        <v>2404</v>
      </c>
      <c r="K1254" t="s">
        <v>2404</v>
      </c>
    </row>
    <row r="1255" spans="2:11" x14ac:dyDescent="0.2">
      <c r="B1255" s="21">
        <f t="shared" si="19"/>
        <v>866</v>
      </c>
      <c r="C1255" t="s">
        <v>499</v>
      </c>
      <c r="D1255" t="s">
        <v>13</v>
      </c>
      <c r="E1255" t="s">
        <v>2751</v>
      </c>
      <c r="F1255" t="s">
        <v>64</v>
      </c>
      <c r="G1255" s="21">
        <v>1</v>
      </c>
      <c r="H1255" s="21">
        <v>0</v>
      </c>
      <c r="I1255" t="s">
        <v>773</v>
      </c>
      <c r="J1255" s="20" t="s">
        <v>2404</v>
      </c>
      <c r="K1255" t="s">
        <v>2404</v>
      </c>
    </row>
    <row r="1256" spans="2:11" x14ac:dyDescent="0.2">
      <c r="B1256" s="21">
        <f t="shared" si="19"/>
        <v>865</v>
      </c>
      <c r="C1256" t="s">
        <v>151</v>
      </c>
      <c r="D1256" t="s">
        <v>13</v>
      </c>
      <c r="E1256" t="s">
        <v>2751</v>
      </c>
      <c r="F1256" t="s">
        <v>8</v>
      </c>
      <c r="G1256" s="21">
        <v>1</v>
      </c>
      <c r="H1256" s="21">
        <v>0</v>
      </c>
      <c r="I1256" t="s">
        <v>774</v>
      </c>
      <c r="J1256" s="20" t="s">
        <v>2404</v>
      </c>
      <c r="K1256" t="s">
        <v>2404</v>
      </c>
    </row>
    <row r="1257" spans="2:11" x14ac:dyDescent="0.2">
      <c r="B1257" s="21">
        <f t="shared" si="19"/>
        <v>864</v>
      </c>
      <c r="C1257" t="s">
        <v>84</v>
      </c>
      <c r="D1257" t="s">
        <v>13</v>
      </c>
      <c r="E1257" t="s">
        <v>2751</v>
      </c>
      <c r="F1257" t="s">
        <v>8</v>
      </c>
      <c r="G1257" s="21">
        <v>1</v>
      </c>
      <c r="H1257" s="21">
        <v>0</v>
      </c>
      <c r="I1257" t="s">
        <v>777</v>
      </c>
      <c r="J1257" s="20" t="s">
        <v>2404</v>
      </c>
      <c r="K1257" t="s">
        <v>2403</v>
      </c>
    </row>
    <row r="1258" spans="2:11" x14ac:dyDescent="0.2">
      <c r="B1258" s="21">
        <f t="shared" si="19"/>
        <v>863</v>
      </c>
      <c r="C1258" t="s">
        <v>772</v>
      </c>
      <c r="D1258" t="s">
        <v>19</v>
      </c>
      <c r="E1258" t="s">
        <v>2751</v>
      </c>
      <c r="F1258" t="s">
        <v>42</v>
      </c>
      <c r="G1258" s="21">
        <v>1</v>
      </c>
      <c r="H1258" s="21">
        <v>0</v>
      </c>
      <c r="I1258" t="s">
        <v>775</v>
      </c>
      <c r="J1258" s="20" t="s">
        <v>2404</v>
      </c>
      <c r="K1258" t="s">
        <v>2404</v>
      </c>
    </row>
    <row r="1259" spans="2:11" x14ac:dyDescent="0.2">
      <c r="B1259" s="21">
        <f t="shared" si="19"/>
        <v>862</v>
      </c>
      <c r="C1259" t="s">
        <v>756</v>
      </c>
      <c r="D1259" t="s">
        <v>13</v>
      </c>
      <c r="E1259" t="s">
        <v>2751</v>
      </c>
      <c r="F1259" t="s">
        <v>27</v>
      </c>
      <c r="G1259" s="21">
        <v>1</v>
      </c>
      <c r="H1259" s="21">
        <v>0</v>
      </c>
      <c r="I1259" t="s">
        <v>776</v>
      </c>
      <c r="J1259" s="20" t="s">
        <v>2404</v>
      </c>
      <c r="K1259" t="s">
        <v>2404</v>
      </c>
    </row>
    <row r="1260" spans="2:11" x14ac:dyDescent="0.2">
      <c r="B1260" s="21">
        <f t="shared" si="19"/>
        <v>861</v>
      </c>
      <c r="C1260" t="s">
        <v>780</v>
      </c>
      <c r="D1260" t="s">
        <v>13</v>
      </c>
      <c r="E1260" t="s">
        <v>2751</v>
      </c>
      <c r="F1260" t="s">
        <v>27</v>
      </c>
      <c r="G1260" s="21">
        <v>1</v>
      </c>
      <c r="H1260" s="21">
        <v>0</v>
      </c>
      <c r="J1260" s="20" t="s">
        <v>2404</v>
      </c>
      <c r="K1260" t="s">
        <v>2403</v>
      </c>
    </row>
    <row r="1261" spans="2:11" x14ac:dyDescent="0.2">
      <c r="B1261" s="21">
        <f t="shared" si="19"/>
        <v>860</v>
      </c>
      <c r="C1261" t="s">
        <v>345</v>
      </c>
      <c r="D1261" t="s">
        <v>13</v>
      </c>
      <c r="E1261" t="s">
        <v>2751</v>
      </c>
      <c r="F1261" t="s">
        <v>8</v>
      </c>
      <c r="G1261" s="21">
        <v>1</v>
      </c>
      <c r="H1261" s="21">
        <v>0</v>
      </c>
      <c r="I1261" t="s">
        <v>768</v>
      </c>
      <c r="J1261" s="20" t="s">
        <v>2405</v>
      </c>
      <c r="K1261" t="s">
        <v>2405</v>
      </c>
    </row>
    <row r="1262" spans="2:11" x14ac:dyDescent="0.2">
      <c r="B1262" s="21">
        <f t="shared" si="19"/>
        <v>859</v>
      </c>
      <c r="C1262" t="s">
        <v>677</v>
      </c>
      <c r="D1262" t="s">
        <v>13</v>
      </c>
      <c r="E1262" t="s">
        <v>2751</v>
      </c>
      <c r="F1262" t="s">
        <v>27</v>
      </c>
      <c r="G1262" s="21">
        <v>1</v>
      </c>
      <c r="H1262" s="21">
        <v>0</v>
      </c>
      <c r="I1262" t="s">
        <v>767</v>
      </c>
      <c r="J1262" s="20" t="s">
        <v>2405</v>
      </c>
      <c r="K1262" t="s">
        <v>2404</v>
      </c>
    </row>
    <row r="1263" spans="2:11" x14ac:dyDescent="0.2">
      <c r="B1263" s="21">
        <f t="shared" si="19"/>
        <v>858</v>
      </c>
      <c r="C1263" t="s">
        <v>756</v>
      </c>
      <c r="D1263" t="s">
        <v>13</v>
      </c>
      <c r="E1263" t="s">
        <v>2751</v>
      </c>
      <c r="F1263" t="s">
        <v>27</v>
      </c>
      <c r="G1263" s="21">
        <v>1</v>
      </c>
      <c r="H1263" s="21">
        <v>0</v>
      </c>
      <c r="I1263" t="s">
        <v>766</v>
      </c>
      <c r="J1263" s="20" t="s">
        <v>2405</v>
      </c>
      <c r="K1263" t="s">
        <v>2405</v>
      </c>
    </row>
    <row r="1264" spans="2:11" x14ac:dyDescent="0.2">
      <c r="B1264" s="21">
        <f t="shared" si="19"/>
        <v>857</v>
      </c>
      <c r="C1264" t="s">
        <v>503</v>
      </c>
      <c r="D1264" t="s">
        <v>13</v>
      </c>
      <c r="E1264" t="s">
        <v>2751</v>
      </c>
      <c r="F1264" t="s">
        <v>49</v>
      </c>
      <c r="G1264" s="21">
        <v>1</v>
      </c>
      <c r="H1264" s="21">
        <v>0</v>
      </c>
      <c r="I1264" t="s">
        <v>769</v>
      </c>
      <c r="J1264" s="20" t="s">
        <v>2405</v>
      </c>
      <c r="K1264" t="s">
        <v>2405</v>
      </c>
    </row>
    <row r="1265" spans="2:11" x14ac:dyDescent="0.2">
      <c r="B1265" s="21">
        <f t="shared" si="19"/>
        <v>856</v>
      </c>
      <c r="C1265" t="s">
        <v>770</v>
      </c>
      <c r="D1265" t="s">
        <v>13</v>
      </c>
      <c r="E1265" t="s">
        <v>2751</v>
      </c>
      <c r="F1265" t="s">
        <v>27</v>
      </c>
      <c r="G1265" s="21">
        <v>1</v>
      </c>
      <c r="H1265" s="21">
        <v>0</v>
      </c>
      <c r="I1265" t="s">
        <v>771</v>
      </c>
      <c r="J1265" s="20" t="s">
        <v>2405</v>
      </c>
      <c r="K1265" t="s">
        <v>2405</v>
      </c>
    </row>
    <row r="1266" spans="2:11" x14ac:dyDescent="0.2">
      <c r="B1266" s="21">
        <f t="shared" si="19"/>
        <v>855</v>
      </c>
      <c r="C1266" t="s">
        <v>780</v>
      </c>
      <c r="D1266" t="s">
        <v>13</v>
      </c>
      <c r="E1266" t="s">
        <v>2751</v>
      </c>
      <c r="F1266" t="s">
        <v>27</v>
      </c>
      <c r="G1266" s="21">
        <v>1</v>
      </c>
      <c r="H1266" s="21">
        <v>0</v>
      </c>
      <c r="J1266" s="20" t="s">
        <v>2405</v>
      </c>
      <c r="K1266" t="s">
        <v>2404</v>
      </c>
    </row>
    <row r="1267" spans="2:11" x14ac:dyDescent="0.2">
      <c r="B1267" s="21">
        <f t="shared" si="19"/>
        <v>854</v>
      </c>
      <c r="C1267" t="s">
        <v>345</v>
      </c>
      <c r="D1267" t="s">
        <v>13</v>
      </c>
      <c r="E1267" t="s">
        <v>2751</v>
      </c>
      <c r="F1267" t="s">
        <v>64</v>
      </c>
      <c r="G1267" s="21">
        <v>1</v>
      </c>
      <c r="H1267" s="21">
        <v>0</v>
      </c>
      <c r="I1267" t="s">
        <v>765</v>
      </c>
      <c r="J1267" s="20" t="s">
        <v>2406</v>
      </c>
      <c r="K1267" t="s">
        <v>2406</v>
      </c>
    </row>
    <row r="1268" spans="2:11" x14ac:dyDescent="0.2">
      <c r="B1268" s="21">
        <f t="shared" si="19"/>
        <v>853</v>
      </c>
      <c r="C1268" t="s">
        <v>677</v>
      </c>
      <c r="D1268" t="s">
        <v>13</v>
      </c>
      <c r="E1268" t="s">
        <v>2751</v>
      </c>
      <c r="F1268" t="s">
        <v>27</v>
      </c>
      <c r="G1268" s="21">
        <v>1</v>
      </c>
      <c r="H1268" s="21">
        <v>0</v>
      </c>
      <c r="I1268" t="s">
        <v>763</v>
      </c>
      <c r="J1268" s="20" t="s">
        <v>2406</v>
      </c>
      <c r="K1268" t="s">
        <v>2704</v>
      </c>
    </row>
    <row r="1269" spans="2:11" x14ac:dyDescent="0.2">
      <c r="B1269" s="21">
        <f t="shared" si="19"/>
        <v>852</v>
      </c>
      <c r="C1269" t="s">
        <v>752</v>
      </c>
      <c r="D1269" t="s">
        <v>13</v>
      </c>
      <c r="E1269" t="s">
        <v>2751</v>
      </c>
      <c r="F1269" t="s">
        <v>27</v>
      </c>
      <c r="G1269" s="21">
        <v>1</v>
      </c>
      <c r="H1269" s="21">
        <v>0</v>
      </c>
      <c r="I1269" t="s">
        <v>762</v>
      </c>
      <c r="J1269" s="20" t="s">
        <v>2406</v>
      </c>
      <c r="K1269" t="s">
        <v>2406</v>
      </c>
    </row>
    <row r="1270" spans="2:11" x14ac:dyDescent="0.2">
      <c r="B1270" s="21">
        <f t="shared" si="19"/>
        <v>851</v>
      </c>
      <c r="C1270" t="s">
        <v>756</v>
      </c>
      <c r="D1270" t="s">
        <v>13</v>
      </c>
      <c r="E1270" t="s">
        <v>2751</v>
      </c>
      <c r="F1270" t="s">
        <v>27</v>
      </c>
      <c r="G1270" s="21">
        <v>1</v>
      </c>
      <c r="H1270" s="21">
        <v>0</v>
      </c>
      <c r="I1270" t="s">
        <v>761</v>
      </c>
      <c r="J1270" s="20" t="s">
        <v>2406</v>
      </c>
      <c r="K1270" t="s">
        <v>2704</v>
      </c>
    </row>
    <row r="1271" spans="2:11" x14ac:dyDescent="0.2">
      <c r="B1271" s="21">
        <f t="shared" si="19"/>
        <v>850</v>
      </c>
      <c r="C1271" t="s">
        <v>235</v>
      </c>
      <c r="D1271" t="s">
        <v>13</v>
      </c>
      <c r="E1271" t="s">
        <v>2751</v>
      </c>
      <c r="F1271" t="s">
        <v>27</v>
      </c>
      <c r="G1271" s="21">
        <v>1</v>
      </c>
      <c r="H1271" s="21">
        <v>0</v>
      </c>
      <c r="I1271" t="s">
        <v>764</v>
      </c>
      <c r="J1271" s="20" t="s">
        <v>2406</v>
      </c>
      <c r="K1271" t="s">
        <v>2406</v>
      </c>
    </row>
    <row r="1272" spans="2:11" x14ac:dyDescent="0.2">
      <c r="B1272" s="21">
        <f t="shared" si="19"/>
        <v>849</v>
      </c>
      <c r="C1272" t="s">
        <v>780</v>
      </c>
      <c r="D1272" t="s">
        <v>13</v>
      </c>
      <c r="E1272" t="s">
        <v>2751</v>
      </c>
      <c r="F1272" t="s">
        <v>27</v>
      </c>
      <c r="G1272" s="21">
        <v>1</v>
      </c>
      <c r="H1272" s="21">
        <v>0</v>
      </c>
      <c r="J1272" s="20" t="s">
        <v>2406</v>
      </c>
      <c r="K1272" t="s">
        <v>2704</v>
      </c>
    </row>
    <row r="1273" spans="2:11" x14ac:dyDescent="0.2">
      <c r="B1273" s="21">
        <f t="shared" si="19"/>
        <v>848</v>
      </c>
      <c r="C1273" t="s">
        <v>345</v>
      </c>
      <c r="D1273" t="s">
        <v>13</v>
      </c>
      <c r="E1273" t="s">
        <v>2751</v>
      </c>
      <c r="F1273" t="s">
        <v>64</v>
      </c>
      <c r="G1273" s="21">
        <v>1</v>
      </c>
      <c r="H1273" s="21">
        <v>0</v>
      </c>
      <c r="I1273" t="s">
        <v>755</v>
      </c>
      <c r="J1273" s="20" t="s">
        <v>2407</v>
      </c>
      <c r="K1273" t="s">
        <v>2406</v>
      </c>
    </row>
    <row r="1274" spans="2:11" x14ac:dyDescent="0.2">
      <c r="B1274" s="21">
        <f t="shared" si="19"/>
        <v>847</v>
      </c>
      <c r="C1274" t="s">
        <v>677</v>
      </c>
      <c r="D1274" t="s">
        <v>13</v>
      </c>
      <c r="E1274" t="s">
        <v>2751</v>
      </c>
      <c r="F1274" t="s">
        <v>27</v>
      </c>
      <c r="G1274" s="21">
        <v>1</v>
      </c>
      <c r="H1274" s="21">
        <v>0</v>
      </c>
      <c r="J1274" s="20" t="s">
        <v>2407</v>
      </c>
      <c r="K1274" t="s">
        <v>2406</v>
      </c>
    </row>
    <row r="1275" spans="2:11" x14ac:dyDescent="0.2">
      <c r="B1275" s="21">
        <f t="shared" si="19"/>
        <v>846</v>
      </c>
      <c r="C1275" t="s">
        <v>752</v>
      </c>
      <c r="D1275" t="s">
        <v>13</v>
      </c>
      <c r="E1275" t="s">
        <v>2751</v>
      </c>
      <c r="F1275" t="s">
        <v>27</v>
      </c>
      <c r="G1275" s="21">
        <v>1</v>
      </c>
      <c r="H1275" s="21">
        <v>0</v>
      </c>
      <c r="I1275" t="s">
        <v>762</v>
      </c>
      <c r="J1275" s="20" t="s">
        <v>2407</v>
      </c>
      <c r="K1275" t="s">
        <v>2407</v>
      </c>
    </row>
    <row r="1276" spans="2:11" x14ac:dyDescent="0.2">
      <c r="B1276" s="21">
        <f t="shared" si="19"/>
        <v>845</v>
      </c>
      <c r="C1276" t="s">
        <v>756</v>
      </c>
      <c r="D1276" t="s">
        <v>13</v>
      </c>
      <c r="E1276" t="s">
        <v>2751</v>
      </c>
      <c r="F1276" t="s">
        <v>27</v>
      </c>
      <c r="G1276" s="21">
        <v>1</v>
      </c>
      <c r="H1276" s="21">
        <v>0</v>
      </c>
      <c r="I1276" t="s">
        <v>761</v>
      </c>
      <c r="J1276" s="20" t="s">
        <v>2407</v>
      </c>
      <c r="K1276" t="s">
        <v>2406</v>
      </c>
    </row>
    <row r="1277" spans="2:11" x14ac:dyDescent="0.2">
      <c r="B1277" s="21">
        <f t="shared" si="19"/>
        <v>844</v>
      </c>
      <c r="C1277" t="s">
        <v>345</v>
      </c>
      <c r="D1277" t="s">
        <v>13</v>
      </c>
      <c r="E1277" t="s">
        <v>2751</v>
      </c>
      <c r="F1277" t="s">
        <v>64</v>
      </c>
      <c r="G1277" s="21">
        <v>1</v>
      </c>
      <c r="H1277" s="21">
        <v>0</v>
      </c>
      <c r="I1277" t="s">
        <v>755</v>
      </c>
      <c r="J1277" s="20" t="s">
        <v>2408</v>
      </c>
      <c r="K1277" t="s">
        <v>2407</v>
      </c>
    </row>
    <row r="1278" spans="2:11" x14ac:dyDescent="0.2">
      <c r="B1278" s="21">
        <f t="shared" si="19"/>
        <v>843</v>
      </c>
      <c r="C1278" t="s">
        <v>677</v>
      </c>
      <c r="D1278" t="s">
        <v>13</v>
      </c>
      <c r="E1278" t="s">
        <v>2751</v>
      </c>
      <c r="F1278" t="s">
        <v>27</v>
      </c>
      <c r="G1278" s="21">
        <v>1</v>
      </c>
      <c r="H1278" s="21">
        <v>0</v>
      </c>
      <c r="I1278" t="s">
        <v>760</v>
      </c>
      <c r="J1278" s="20" t="s">
        <v>2408</v>
      </c>
      <c r="K1278" t="s">
        <v>2407</v>
      </c>
    </row>
    <row r="1279" spans="2:11" x14ac:dyDescent="0.2">
      <c r="B1279" s="21">
        <f t="shared" si="19"/>
        <v>842</v>
      </c>
      <c r="C1279" t="s">
        <v>503</v>
      </c>
      <c r="D1279" t="s">
        <v>13</v>
      </c>
      <c r="E1279" t="s">
        <v>2751</v>
      </c>
      <c r="F1279" t="s">
        <v>49</v>
      </c>
      <c r="G1279" s="21">
        <v>1</v>
      </c>
      <c r="H1279" s="21">
        <v>0</v>
      </c>
      <c r="I1279" t="s">
        <v>759</v>
      </c>
      <c r="J1279" s="20" t="s">
        <v>2408</v>
      </c>
      <c r="K1279" t="s">
        <v>2408</v>
      </c>
    </row>
    <row r="1280" spans="2:11" x14ac:dyDescent="0.2">
      <c r="B1280" s="21">
        <f t="shared" si="19"/>
        <v>841</v>
      </c>
      <c r="C1280" t="s">
        <v>752</v>
      </c>
      <c r="D1280" t="s">
        <v>13</v>
      </c>
      <c r="E1280" t="s">
        <v>2751</v>
      </c>
      <c r="F1280" t="s">
        <v>27</v>
      </c>
      <c r="G1280" s="21">
        <v>1</v>
      </c>
      <c r="H1280" s="21">
        <v>0</v>
      </c>
      <c r="I1280" t="s">
        <v>758</v>
      </c>
      <c r="J1280" s="20" t="s">
        <v>2408</v>
      </c>
      <c r="K1280" t="s">
        <v>2407</v>
      </c>
    </row>
    <row r="1281" spans="2:11" x14ac:dyDescent="0.2">
      <c r="B1281" s="21">
        <f t="shared" si="19"/>
        <v>840</v>
      </c>
      <c r="C1281" t="s">
        <v>756</v>
      </c>
      <c r="D1281" t="s">
        <v>13</v>
      </c>
      <c r="E1281" t="s">
        <v>2751</v>
      </c>
      <c r="F1281" t="s">
        <v>4</v>
      </c>
      <c r="G1281" s="21">
        <v>1</v>
      </c>
      <c r="H1281" s="21">
        <v>0</v>
      </c>
      <c r="I1281" t="s">
        <v>757</v>
      </c>
      <c r="J1281" s="20" t="s">
        <v>2408</v>
      </c>
      <c r="K1281" t="s">
        <v>2408</v>
      </c>
    </row>
    <row r="1282" spans="2:11" x14ac:dyDescent="0.2">
      <c r="B1282" s="21">
        <f t="shared" si="19"/>
        <v>839</v>
      </c>
      <c r="C1282" t="s">
        <v>345</v>
      </c>
      <c r="D1282" t="s">
        <v>13</v>
      </c>
      <c r="E1282" t="s">
        <v>2751</v>
      </c>
      <c r="F1282" t="s">
        <v>4</v>
      </c>
      <c r="G1282" s="21">
        <v>1</v>
      </c>
      <c r="H1282" s="21">
        <v>0</v>
      </c>
      <c r="I1282" t="s">
        <v>750</v>
      </c>
      <c r="J1282" s="20" t="s">
        <v>2409</v>
      </c>
      <c r="K1282" t="s">
        <v>2409</v>
      </c>
    </row>
    <row r="1283" spans="2:11" x14ac:dyDescent="0.2">
      <c r="B1283" s="21">
        <f t="shared" si="19"/>
        <v>838</v>
      </c>
      <c r="C1283" t="s">
        <v>151</v>
      </c>
      <c r="D1283" t="s">
        <v>13</v>
      </c>
      <c r="E1283" t="s">
        <v>2751</v>
      </c>
      <c r="F1283" t="s">
        <v>8</v>
      </c>
      <c r="G1283" s="21">
        <v>1</v>
      </c>
      <c r="H1283" s="21">
        <v>0</v>
      </c>
      <c r="I1283" t="s">
        <v>753</v>
      </c>
      <c r="J1283" s="20" t="s">
        <v>2409</v>
      </c>
      <c r="K1283" t="s">
        <v>2409</v>
      </c>
    </row>
    <row r="1284" spans="2:11" x14ac:dyDescent="0.2">
      <c r="B1284" s="21">
        <f t="shared" si="19"/>
        <v>837</v>
      </c>
      <c r="C1284" t="s">
        <v>677</v>
      </c>
      <c r="D1284" t="s">
        <v>13</v>
      </c>
      <c r="E1284" t="s">
        <v>2751</v>
      </c>
      <c r="F1284" t="s">
        <v>27</v>
      </c>
      <c r="G1284" s="21">
        <v>1</v>
      </c>
      <c r="H1284" s="21">
        <v>0</v>
      </c>
      <c r="I1284" t="s">
        <v>754</v>
      </c>
      <c r="J1284" s="20" t="s">
        <v>2409</v>
      </c>
      <c r="K1284" t="s">
        <v>2408</v>
      </c>
    </row>
    <row r="1285" spans="2:11" x14ac:dyDescent="0.2">
      <c r="B1285" s="21">
        <f t="shared" ref="B1285:B1348" si="20">B1284-1</f>
        <v>836</v>
      </c>
      <c r="C1285" t="s">
        <v>540</v>
      </c>
      <c r="D1285" t="s">
        <v>13</v>
      </c>
      <c r="E1285" t="s">
        <v>2751</v>
      </c>
      <c r="F1285" t="s">
        <v>27</v>
      </c>
      <c r="G1285" s="21">
        <v>1</v>
      </c>
      <c r="H1285" s="21">
        <v>0</v>
      </c>
      <c r="I1285" t="s">
        <v>688</v>
      </c>
      <c r="J1285" s="20" t="s">
        <v>2409</v>
      </c>
      <c r="K1285" t="s">
        <v>2409</v>
      </c>
    </row>
    <row r="1286" spans="2:11" x14ac:dyDescent="0.2">
      <c r="B1286" s="21">
        <f t="shared" si="20"/>
        <v>835</v>
      </c>
      <c r="C1286" t="s">
        <v>503</v>
      </c>
      <c r="D1286" t="s">
        <v>13</v>
      </c>
      <c r="E1286" t="s">
        <v>2751</v>
      </c>
      <c r="F1286" t="s">
        <v>49</v>
      </c>
      <c r="G1286" s="21">
        <v>1</v>
      </c>
      <c r="H1286" s="21">
        <v>0</v>
      </c>
      <c r="J1286" s="20" t="s">
        <v>2409</v>
      </c>
      <c r="K1286" t="s">
        <v>2408</v>
      </c>
    </row>
    <row r="1287" spans="2:11" x14ac:dyDescent="0.2">
      <c r="B1287" s="21">
        <f t="shared" si="20"/>
        <v>834</v>
      </c>
      <c r="C1287" t="s">
        <v>752</v>
      </c>
      <c r="D1287" t="s">
        <v>13</v>
      </c>
      <c r="E1287" t="s">
        <v>2751</v>
      </c>
      <c r="F1287" t="s">
        <v>27</v>
      </c>
      <c r="G1287" s="21">
        <v>1</v>
      </c>
      <c r="H1287" s="21">
        <v>0</v>
      </c>
      <c r="J1287" s="20" t="s">
        <v>2409</v>
      </c>
      <c r="K1287" t="s">
        <v>2408</v>
      </c>
    </row>
    <row r="1288" spans="2:11" x14ac:dyDescent="0.2">
      <c r="B1288" s="21">
        <f t="shared" si="20"/>
        <v>833</v>
      </c>
      <c r="C1288" t="s">
        <v>345</v>
      </c>
      <c r="D1288" t="s">
        <v>13</v>
      </c>
      <c r="E1288" t="s">
        <v>2751</v>
      </c>
      <c r="F1288" t="s">
        <v>49</v>
      </c>
      <c r="G1288" s="21">
        <v>1</v>
      </c>
      <c r="H1288" s="21">
        <v>0</v>
      </c>
      <c r="I1288" t="s">
        <v>749</v>
      </c>
      <c r="J1288" s="20" t="s">
        <v>2410</v>
      </c>
      <c r="K1288" t="s">
        <v>2409</v>
      </c>
    </row>
    <row r="1289" spans="2:11" x14ac:dyDescent="0.2">
      <c r="B1289" s="21">
        <f t="shared" si="20"/>
        <v>832</v>
      </c>
      <c r="C1289" t="s">
        <v>345</v>
      </c>
      <c r="D1289" t="s">
        <v>13</v>
      </c>
      <c r="E1289" t="s">
        <v>2751</v>
      </c>
      <c r="F1289" t="s">
        <v>8</v>
      </c>
      <c r="G1289" s="21">
        <v>1</v>
      </c>
      <c r="H1289" s="21">
        <v>0</v>
      </c>
      <c r="J1289" s="20" t="s">
        <v>2410</v>
      </c>
      <c r="K1289" t="s">
        <v>2409</v>
      </c>
    </row>
    <row r="1290" spans="2:11" x14ac:dyDescent="0.2">
      <c r="B1290" s="21">
        <f t="shared" si="20"/>
        <v>831</v>
      </c>
      <c r="C1290" t="s">
        <v>489</v>
      </c>
      <c r="D1290" t="s">
        <v>19</v>
      </c>
      <c r="E1290" t="s">
        <v>2751</v>
      </c>
      <c r="F1290" t="s">
        <v>27</v>
      </c>
      <c r="G1290" s="21">
        <v>1</v>
      </c>
      <c r="H1290" s="21">
        <v>0</v>
      </c>
      <c r="I1290" t="s">
        <v>748</v>
      </c>
      <c r="J1290" s="20" t="s">
        <v>2410</v>
      </c>
      <c r="K1290" t="s">
        <v>2410</v>
      </c>
    </row>
    <row r="1291" spans="2:11" x14ac:dyDescent="0.2">
      <c r="B1291" s="21">
        <f t="shared" si="20"/>
        <v>830</v>
      </c>
      <c r="C1291" t="s">
        <v>151</v>
      </c>
      <c r="D1291" t="s">
        <v>13</v>
      </c>
      <c r="E1291" t="s">
        <v>2751</v>
      </c>
      <c r="F1291" t="s">
        <v>8</v>
      </c>
      <c r="G1291" s="21">
        <v>1</v>
      </c>
      <c r="H1291" s="21">
        <v>0</v>
      </c>
      <c r="J1291" s="20" t="s">
        <v>2410</v>
      </c>
      <c r="K1291" t="s">
        <v>2409</v>
      </c>
    </row>
    <row r="1292" spans="2:11" x14ac:dyDescent="0.2">
      <c r="B1292" s="21">
        <f t="shared" si="20"/>
        <v>829</v>
      </c>
      <c r="C1292" t="s">
        <v>677</v>
      </c>
      <c r="D1292" t="s">
        <v>13</v>
      </c>
      <c r="E1292" t="s">
        <v>2751</v>
      </c>
      <c r="F1292" t="s">
        <v>27</v>
      </c>
      <c r="G1292" s="21">
        <v>1</v>
      </c>
      <c r="H1292" s="21">
        <v>0</v>
      </c>
      <c r="I1292" t="s">
        <v>751</v>
      </c>
      <c r="J1292" s="20" t="s">
        <v>2410</v>
      </c>
      <c r="K1292" t="s">
        <v>2409</v>
      </c>
    </row>
    <row r="1293" spans="2:11" x14ac:dyDescent="0.2">
      <c r="B1293" s="21">
        <f t="shared" si="20"/>
        <v>828</v>
      </c>
      <c r="C1293" t="s">
        <v>345</v>
      </c>
      <c r="D1293" t="s">
        <v>13</v>
      </c>
      <c r="E1293" t="s">
        <v>2751</v>
      </c>
      <c r="F1293" t="s">
        <v>8</v>
      </c>
      <c r="G1293" s="21">
        <v>1</v>
      </c>
      <c r="H1293" s="21">
        <v>0</v>
      </c>
      <c r="I1293" t="s">
        <v>747</v>
      </c>
      <c r="J1293" s="20" t="s">
        <v>2411</v>
      </c>
      <c r="K1293" t="s">
        <v>2705</v>
      </c>
    </row>
    <row r="1294" spans="2:11" x14ac:dyDescent="0.2">
      <c r="B1294" s="21">
        <f t="shared" si="20"/>
        <v>827</v>
      </c>
      <c r="C1294" t="s">
        <v>489</v>
      </c>
      <c r="D1294" t="s">
        <v>19</v>
      </c>
      <c r="E1294" t="s">
        <v>2751</v>
      </c>
      <c r="F1294" t="s">
        <v>27</v>
      </c>
      <c r="G1294" s="21">
        <v>1</v>
      </c>
      <c r="H1294" s="21">
        <v>0</v>
      </c>
      <c r="J1294" s="20" t="s">
        <v>2411</v>
      </c>
      <c r="K1294" t="s">
        <v>2705</v>
      </c>
    </row>
    <row r="1295" spans="2:11" x14ac:dyDescent="0.2">
      <c r="B1295" s="21">
        <f t="shared" si="20"/>
        <v>826</v>
      </c>
      <c r="C1295" t="s">
        <v>540</v>
      </c>
      <c r="D1295" t="s">
        <v>13</v>
      </c>
      <c r="E1295" t="s">
        <v>2751</v>
      </c>
      <c r="F1295" t="s">
        <v>27</v>
      </c>
      <c r="G1295" s="21">
        <v>1</v>
      </c>
      <c r="H1295" s="21">
        <v>0</v>
      </c>
      <c r="I1295" t="s">
        <v>742</v>
      </c>
      <c r="J1295" s="20" t="s">
        <v>2412</v>
      </c>
      <c r="K1295" t="s">
        <v>2412</v>
      </c>
    </row>
    <row r="1296" spans="2:11" x14ac:dyDescent="0.2">
      <c r="B1296" s="21">
        <f t="shared" si="20"/>
        <v>825</v>
      </c>
      <c r="C1296" t="s">
        <v>145</v>
      </c>
      <c r="D1296" t="s">
        <v>13</v>
      </c>
      <c r="E1296" t="s">
        <v>2751</v>
      </c>
      <c r="F1296" t="s">
        <v>27</v>
      </c>
      <c r="G1296" s="21">
        <v>1</v>
      </c>
      <c r="H1296" s="21">
        <v>0</v>
      </c>
      <c r="I1296" t="s">
        <v>743</v>
      </c>
      <c r="J1296" s="20" t="s">
        <v>2412</v>
      </c>
      <c r="K1296" t="s">
        <v>2412</v>
      </c>
    </row>
    <row r="1297" spans="2:11" x14ac:dyDescent="0.2">
      <c r="B1297" s="21">
        <f t="shared" si="20"/>
        <v>824</v>
      </c>
      <c r="C1297" t="s">
        <v>345</v>
      </c>
      <c r="D1297" t="s">
        <v>13</v>
      </c>
      <c r="E1297" t="s">
        <v>2751</v>
      </c>
      <c r="F1297" t="s">
        <v>4</v>
      </c>
      <c r="G1297" s="21">
        <v>1</v>
      </c>
      <c r="H1297" s="21">
        <v>0</v>
      </c>
      <c r="I1297" t="s">
        <v>744</v>
      </c>
      <c r="J1297" s="20" t="s">
        <v>2412</v>
      </c>
      <c r="K1297" t="s">
        <v>2412</v>
      </c>
    </row>
    <row r="1298" spans="2:11" x14ac:dyDescent="0.2">
      <c r="B1298" s="21">
        <f t="shared" si="20"/>
        <v>823</v>
      </c>
      <c r="C1298" t="s">
        <v>489</v>
      </c>
      <c r="D1298" t="s">
        <v>19</v>
      </c>
      <c r="E1298" t="s">
        <v>2751</v>
      </c>
      <c r="F1298" t="s">
        <v>27</v>
      </c>
      <c r="G1298" s="21">
        <v>1</v>
      </c>
      <c r="H1298" s="21">
        <v>0</v>
      </c>
      <c r="J1298" s="20" t="s">
        <v>2412</v>
      </c>
      <c r="K1298" t="s">
        <v>2411</v>
      </c>
    </row>
    <row r="1299" spans="2:11" x14ac:dyDescent="0.2">
      <c r="B1299" s="21">
        <f t="shared" si="20"/>
        <v>822</v>
      </c>
      <c r="C1299" t="s">
        <v>148</v>
      </c>
      <c r="D1299" t="s">
        <v>13</v>
      </c>
      <c r="E1299" t="s">
        <v>2751</v>
      </c>
      <c r="F1299" t="s">
        <v>8</v>
      </c>
      <c r="G1299" s="21">
        <v>1</v>
      </c>
      <c r="H1299" s="21">
        <v>0</v>
      </c>
      <c r="I1299" t="s">
        <v>745</v>
      </c>
      <c r="J1299" s="20" t="s">
        <v>2412</v>
      </c>
      <c r="K1299" t="s">
        <v>2412</v>
      </c>
    </row>
    <row r="1300" spans="2:11" x14ac:dyDescent="0.2">
      <c r="B1300" s="21">
        <f t="shared" si="20"/>
        <v>821</v>
      </c>
      <c r="C1300" t="s">
        <v>262</v>
      </c>
      <c r="D1300" t="s">
        <v>18</v>
      </c>
      <c r="E1300" t="s">
        <v>2751</v>
      </c>
      <c r="F1300" t="s">
        <v>43</v>
      </c>
      <c r="G1300" s="21">
        <v>1</v>
      </c>
      <c r="H1300" s="21">
        <v>0</v>
      </c>
      <c r="I1300" t="s">
        <v>746</v>
      </c>
      <c r="J1300" s="20" t="s">
        <v>2412</v>
      </c>
      <c r="K1300" t="s">
        <v>2412</v>
      </c>
    </row>
    <row r="1301" spans="2:11" x14ac:dyDescent="0.2">
      <c r="B1301" s="21">
        <f t="shared" si="20"/>
        <v>820</v>
      </c>
      <c r="C1301" t="s">
        <v>540</v>
      </c>
      <c r="D1301" t="s">
        <v>13</v>
      </c>
      <c r="E1301" t="s">
        <v>2751</v>
      </c>
      <c r="F1301" t="s">
        <v>27</v>
      </c>
      <c r="G1301" s="21">
        <v>1</v>
      </c>
      <c r="H1301" s="21">
        <v>0</v>
      </c>
      <c r="J1301" s="20" t="s">
        <v>2413</v>
      </c>
      <c r="K1301" t="s">
        <v>2706</v>
      </c>
    </row>
    <row r="1302" spans="2:11" x14ac:dyDescent="0.2">
      <c r="B1302" s="21">
        <f t="shared" si="20"/>
        <v>819</v>
      </c>
      <c r="C1302" t="s">
        <v>145</v>
      </c>
      <c r="D1302" t="s">
        <v>13</v>
      </c>
      <c r="E1302" t="s">
        <v>2751</v>
      </c>
      <c r="F1302" t="s">
        <v>43</v>
      </c>
      <c r="G1302" s="21">
        <v>1</v>
      </c>
      <c r="H1302" s="21">
        <v>0</v>
      </c>
      <c r="J1302" s="20" t="s">
        <v>2413</v>
      </c>
      <c r="K1302" t="s">
        <v>2706</v>
      </c>
    </row>
    <row r="1303" spans="2:11" x14ac:dyDescent="0.2">
      <c r="B1303" s="21">
        <f t="shared" si="20"/>
        <v>818</v>
      </c>
      <c r="C1303" t="s">
        <v>345</v>
      </c>
      <c r="D1303" t="s">
        <v>13</v>
      </c>
      <c r="E1303" t="s">
        <v>2751</v>
      </c>
      <c r="F1303" t="s">
        <v>8</v>
      </c>
      <c r="G1303" s="21">
        <v>1</v>
      </c>
      <c r="H1303" s="21">
        <v>0</v>
      </c>
      <c r="I1303" t="s">
        <v>741</v>
      </c>
      <c r="J1303" s="20" t="s">
        <v>2413</v>
      </c>
      <c r="K1303" t="s">
        <v>2413</v>
      </c>
    </row>
    <row r="1304" spans="2:11" x14ac:dyDescent="0.2">
      <c r="B1304" s="21">
        <f t="shared" si="20"/>
        <v>817</v>
      </c>
      <c r="C1304" t="s">
        <v>262</v>
      </c>
      <c r="D1304" t="s">
        <v>18</v>
      </c>
      <c r="E1304" t="s">
        <v>2751</v>
      </c>
      <c r="F1304" t="s">
        <v>43</v>
      </c>
      <c r="G1304" s="21">
        <v>1</v>
      </c>
      <c r="H1304" s="21">
        <v>0</v>
      </c>
      <c r="I1304" t="s">
        <v>740</v>
      </c>
      <c r="J1304" s="20" t="s">
        <v>2414</v>
      </c>
      <c r="K1304" t="s">
        <v>2414</v>
      </c>
    </row>
    <row r="1305" spans="2:11" x14ac:dyDescent="0.2">
      <c r="B1305" s="21">
        <f t="shared" si="20"/>
        <v>816</v>
      </c>
      <c r="C1305" t="s">
        <v>540</v>
      </c>
      <c r="D1305" t="s">
        <v>13</v>
      </c>
      <c r="E1305" t="s">
        <v>2751</v>
      </c>
      <c r="F1305" t="s">
        <v>27</v>
      </c>
      <c r="G1305" s="21">
        <v>1</v>
      </c>
      <c r="H1305" s="21">
        <v>0</v>
      </c>
      <c r="J1305" s="20" t="s">
        <v>2414</v>
      </c>
      <c r="K1305" t="s">
        <v>2707</v>
      </c>
    </row>
    <row r="1306" spans="2:11" x14ac:dyDescent="0.2">
      <c r="B1306" s="21">
        <f t="shared" si="20"/>
        <v>815</v>
      </c>
      <c r="C1306" t="s">
        <v>145</v>
      </c>
      <c r="D1306" t="s">
        <v>13</v>
      </c>
      <c r="E1306" t="s">
        <v>2751</v>
      </c>
      <c r="F1306" t="s">
        <v>43</v>
      </c>
      <c r="G1306" s="21">
        <v>1</v>
      </c>
      <c r="H1306" s="21">
        <v>0</v>
      </c>
      <c r="J1306" s="20" t="s">
        <v>2414</v>
      </c>
      <c r="K1306" t="s">
        <v>2707</v>
      </c>
    </row>
    <row r="1307" spans="2:11" x14ac:dyDescent="0.2">
      <c r="B1307" s="21">
        <f t="shared" si="20"/>
        <v>814</v>
      </c>
      <c r="C1307" t="s">
        <v>262</v>
      </c>
      <c r="D1307" t="s">
        <v>18</v>
      </c>
      <c r="E1307" t="s">
        <v>2751</v>
      </c>
      <c r="F1307" t="s">
        <v>43</v>
      </c>
      <c r="G1307" s="21">
        <v>1</v>
      </c>
      <c r="H1307" s="21">
        <v>0</v>
      </c>
      <c r="I1307" t="s">
        <v>734</v>
      </c>
      <c r="J1307" s="20" t="s">
        <v>2415</v>
      </c>
      <c r="K1307" t="s">
        <v>2414</v>
      </c>
    </row>
    <row r="1308" spans="2:11" x14ac:dyDescent="0.2">
      <c r="B1308" s="21">
        <f t="shared" si="20"/>
        <v>813</v>
      </c>
      <c r="C1308" t="s">
        <v>711</v>
      </c>
      <c r="D1308" t="s">
        <v>13</v>
      </c>
      <c r="E1308" t="s">
        <v>2751</v>
      </c>
      <c r="F1308" t="s">
        <v>27</v>
      </c>
      <c r="G1308" s="21">
        <v>1</v>
      </c>
      <c r="H1308" s="21">
        <v>0</v>
      </c>
      <c r="I1308" t="s">
        <v>735</v>
      </c>
      <c r="J1308" s="20" t="s">
        <v>2415</v>
      </c>
      <c r="K1308" t="s">
        <v>2415</v>
      </c>
    </row>
    <row r="1309" spans="2:11" x14ac:dyDescent="0.2">
      <c r="B1309" s="21">
        <f t="shared" si="20"/>
        <v>812</v>
      </c>
      <c r="C1309" t="s">
        <v>540</v>
      </c>
      <c r="D1309" t="s">
        <v>13</v>
      </c>
      <c r="E1309" t="s">
        <v>2751</v>
      </c>
      <c r="F1309" t="s">
        <v>27</v>
      </c>
      <c r="G1309" s="21">
        <v>1</v>
      </c>
      <c r="H1309" s="21">
        <v>0</v>
      </c>
      <c r="J1309" s="20" t="s">
        <v>2415</v>
      </c>
      <c r="K1309" t="s">
        <v>2414</v>
      </c>
    </row>
    <row r="1310" spans="2:11" x14ac:dyDescent="0.2">
      <c r="B1310" s="21">
        <f t="shared" si="20"/>
        <v>811</v>
      </c>
      <c r="C1310" t="s">
        <v>145</v>
      </c>
      <c r="D1310" t="s">
        <v>13</v>
      </c>
      <c r="E1310" t="s">
        <v>2751</v>
      </c>
      <c r="F1310" t="s">
        <v>43</v>
      </c>
      <c r="G1310" s="21">
        <v>1</v>
      </c>
      <c r="H1310" s="21">
        <v>0</v>
      </c>
      <c r="I1310" t="s">
        <v>737</v>
      </c>
      <c r="J1310" s="20" t="s">
        <v>2415</v>
      </c>
      <c r="K1310" t="s">
        <v>2414</v>
      </c>
    </row>
    <row r="1311" spans="2:11" x14ac:dyDescent="0.2">
      <c r="B1311" s="21">
        <f t="shared" si="20"/>
        <v>810</v>
      </c>
      <c r="C1311" t="s">
        <v>489</v>
      </c>
      <c r="D1311" t="s">
        <v>19</v>
      </c>
      <c r="E1311" t="s">
        <v>2751</v>
      </c>
      <c r="F1311" t="s">
        <v>8</v>
      </c>
      <c r="G1311" s="21">
        <v>1</v>
      </c>
      <c r="H1311" s="21">
        <v>0</v>
      </c>
      <c r="I1311" t="s">
        <v>739</v>
      </c>
      <c r="J1311" s="20" t="s">
        <v>2415</v>
      </c>
      <c r="K1311" t="s">
        <v>2415</v>
      </c>
    </row>
    <row r="1312" spans="2:11" x14ac:dyDescent="0.2">
      <c r="B1312" s="21">
        <f t="shared" si="20"/>
        <v>809</v>
      </c>
      <c r="C1312" t="s">
        <v>65</v>
      </c>
      <c r="D1312" t="s">
        <v>14</v>
      </c>
      <c r="E1312" t="s">
        <v>2751</v>
      </c>
      <c r="F1312" t="s">
        <v>115</v>
      </c>
      <c r="G1312" s="21">
        <v>1</v>
      </c>
      <c r="H1312" s="21">
        <v>0</v>
      </c>
      <c r="I1312" t="s">
        <v>738</v>
      </c>
      <c r="J1312" s="20" t="s">
        <v>2415</v>
      </c>
      <c r="K1312" t="s">
        <v>2415</v>
      </c>
    </row>
    <row r="1313" spans="2:11" x14ac:dyDescent="0.2">
      <c r="B1313" s="21">
        <f t="shared" si="20"/>
        <v>808</v>
      </c>
      <c r="C1313" t="s">
        <v>262</v>
      </c>
      <c r="D1313" t="s">
        <v>18</v>
      </c>
      <c r="E1313" t="s">
        <v>2751</v>
      </c>
      <c r="F1313" t="s">
        <v>43</v>
      </c>
      <c r="G1313" s="21">
        <v>1</v>
      </c>
      <c r="H1313" s="21">
        <v>0</v>
      </c>
      <c r="J1313" s="20" t="s">
        <v>2416</v>
      </c>
      <c r="K1313" t="s">
        <v>2415</v>
      </c>
    </row>
    <row r="1314" spans="2:11" x14ac:dyDescent="0.2">
      <c r="B1314" s="21">
        <f t="shared" si="20"/>
        <v>807</v>
      </c>
      <c r="C1314" t="s">
        <v>711</v>
      </c>
      <c r="D1314" t="s">
        <v>13</v>
      </c>
      <c r="E1314" t="s">
        <v>2751</v>
      </c>
      <c r="F1314" t="s">
        <v>27</v>
      </c>
      <c r="G1314" s="21">
        <v>1</v>
      </c>
      <c r="H1314" s="21">
        <v>0</v>
      </c>
      <c r="J1314" s="20" t="s">
        <v>2416</v>
      </c>
      <c r="K1314" t="s">
        <v>2415</v>
      </c>
    </row>
    <row r="1315" spans="2:11" x14ac:dyDescent="0.2">
      <c r="B1315" s="21">
        <f t="shared" si="20"/>
        <v>806</v>
      </c>
      <c r="C1315" t="s">
        <v>345</v>
      </c>
      <c r="D1315" t="s">
        <v>13</v>
      </c>
      <c r="E1315" t="s">
        <v>2751</v>
      </c>
      <c r="F1315" t="s">
        <v>34</v>
      </c>
      <c r="G1315" s="21">
        <v>1</v>
      </c>
      <c r="H1315" s="21">
        <v>0</v>
      </c>
      <c r="I1315" t="s">
        <v>730</v>
      </c>
      <c r="J1315" s="20" t="s">
        <v>2416</v>
      </c>
      <c r="K1315" t="s">
        <v>2416</v>
      </c>
    </row>
    <row r="1316" spans="2:11" x14ac:dyDescent="0.2">
      <c r="B1316" s="21">
        <f t="shared" si="20"/>
        <v>805</v>
      </c>
      <c r="C1316" t="s">
        <v>540</v>
      </c>
      <c r="D1316" t="s">
        <v>13</v>
      </c>
      <c r="E1316" t="s">
        <v>2751</v>
      </c>
      <c r="F1316" t="s">
        <v>27</v>
      </c>
      <c r="G1316" s="21">
        <v>1</v>
      </c>
      <c r="H1316" s="21">
        <v>0</v>
      </c>
      <c r="J1316" s="20" t="s">
        <v>2416</v>
      </c>
      <c r="K1316" t="s">
        <v>2415</v>
      </c>
    </row>
    <row r="1317" spans="2:11" x14ac:dyDescent="0.2">
      <c r="B1317" s="21">
        <f t="shared" si="20"/>
        <v>804</v>
      </c>
      <c r="C1317" t="s">
        <v>145</v>
      </c>
      <c r="D1317" t="s">
        <v>13</v>
      </c>
      <c r="E1317" t="s">
        <v>2751</v>
      </c>
      <c r="F1317" t="s">
        <v>27</v>
      </c>
      <c r="G1317" s="21">
        <v>1</v>
      </c>
      <c r="H1317" s="21">
        <v>0</v>
      </c>
      <c r="I1317" t="s">
        <v>736</v>
      </c>
      <c r="J1317" s="20" t="s">
        <v>2416</v>
      </c>
      <c r="K1317" t="s">
        <v>2415</v>
      </c>
    </row>
    <row r="1318" spans="2:11" x14ac:dyDescent="0.2">
      <c r="B1318" s="21">
        <f t="shared" si="20"/>
        <v>803</v>
      </c>
      <c r="C1318" t="s">
        <v>489</v>
      </c>
      <c r="D1318" t="s">
        <v>19</v>
      </c>
      <c r="E1318" t="s">
        <v>2751</v>
      </c>
      <c r="F1318" t="s">
        <v>8</v>
      </c>
      <c r="G1318" s="21">
        <v>1</v>
      </c>
      <c r="H1318" s="21">
        <v>0</v>
      </c>
      <c r="I1318" t="s">
        <v>733</v>
      </c>
      <c r="J1318" s="20" t="s">
        <v>2416</v>
      </c>
      <c r="K1318" t="s">
        <v>2415</v>
      </c>
    </row>
    <row r="1319" spans="2:11" x14ac:dyDescent="0.2">
      <c r="B1319" s="21">
        <f t="shared" si="20"/>
        <v>802</v>
      </c>
      <c r="C1319" t="s">
        <v>345</v>
      </c>
      <c r="D1319" t="s">
        <v>13</v>
      </c>
      <c r="E1319" t="s">
        <v>2751</v>
      </c>
      <c r="F1319" t="s">
        <v>34</v>
      </c>
      <c r="G1319" s="21">
        <v>1</v>
      </c>
      <c r="H1319" s="21">
        <v>0</v>
      </c>
      <c r="I1319" t="s">
        <v>730</v>
      </c>
      <c r="J1319" s="20" t="s">
        <v>2417</v>
      </c>
      <c r="K1319" t="s">
        <v>2417</v>
      </c>
    </row>
    <row r="1320" spans="2:11" x14ac:dyDescent="0.2">
      <c r="B1320" s="21">
        <f t="shared" si="20"/>
        <v>801</v>
      </c>
      <c r="C1320" t="s">
        <v>711</v>
      </c>
      <c r="D1320" t="s">
        <v>13</v>
      </c>
      <c r="E1320" t="s">
        <v>2751</v>
      </c>
      <c r="F1320" t="s">
        <v>27</v>
      </c>
      <c r="G1320" s="21">
        <v>1</v>
      </c>
      <c r="H1320" s="21">
        <v>0</v>
      </c>
      <c r="J1320" s="20" t="s">
        <v>2417</v>
      </c>
      <c r="K1320" t="s">
        <v>2416</v>
      </c>
    </row>
    <row r="1321" spans="2:11" x14ac:dyDescent="0.2">
      <c r="B1321" s="21">
        <f t="shared" si="20"/>
        <v>800</v>
      </c>
      <c r="C1321" t="s">
        <v>262</v>
      </c>
      <c r="D1321" t="s">
        <v>18</v>
      </c>
      <c r="E1321" t="s">
        <v>2751</v>
      </c>
      <c r="F1321" t="s">
        <v>43</v>
      </c>
      <c r="G1321" s="21">
        <v>1</v>
      </c>
      <c r="H1321" s="21">
        <v>0</v>
      </c>
      <c r="J1321" s="20" t="s">
        <v>2417</v>
      </c>
      <c r="K1321" t="s">
        <v>2416</v>
      </c>
    </row>
    <row r="1322" spans="2:11" x14ac:dyDescent="0.2">
      <c r="B1322" s="21">
        <f t="shared" si="20"/>
        <v>799</v>
      </c>
      <c r="C1322" t="s">
        <v>489</v>
      </c>
      <c r="D1322" t="s">
        <v>19</v>
      </c>
      <c r="E1322" t="s">
        <v>2751</v>
      </c>
      <c r="F1322" t="s">
        <v>8</v>
      </c>
      <c r="G1322" s="21">
        <v>1</v>
      </c>
      <c r="H1322" s="21">
        <v>0</v>
      </c>
      <c r="I1322" t="s">
        <v>732</v>
      </c>
      <c r="J1322" s="20" t="s">
        <v>2417</v>
      </c>
      <c r="K1322" t="s">
        <v>2417</v>
      </c>
    </row>
    <row r="1323" spans="2:11" x14ac:dyDescent="0.2">
      <c r="B1323" s="21">
        <f t="shared" si="20"/>
        <v>798</v>
      </c>
      <c r="C1323" t="s">
        <v>540</v>
      </c>
      <c r="D1323" t="s">
        <v>13</v>
      </c>
      <c r="E1323" t="s">
        <v>2751</v>
      </c>
      <c r="F1323" t="s">
        <v>27</v>
      </c>
      <c r="G1323" s="21">
        <v>1</v>
      </c>
      <c r="H1323" s="21">
        <v>0</v>
      </c>
      <c r="J1323" s="20" t="s">
        <v>2417</v>
      </c>
      <c r="K1323" t="s">
        <v>2416</v>
      </c>
    </row>
    <row r="1324" spans="2:11" x14ac:dyDescent="0.2">
      <c r="B1324" s="21">
        <f t="shared" si="20"/>
        <v>797</v>
      </c>
      <c r="C1324" t="s">
        <v>687</v>
      </c>
      <c r="D1324" t="s">
        <v>13</v>
      </c>
      <c r="E1324" t="s">
        <v>2751</v>
      </c>
      <c r="F1324" t="s">
        <v>27</v>
      </c>
      <c r="G1324" s="21">
        <v>1</v>
      </c>
      <c r="H1324" s="21">
        <v>0</v>
      </c>
      <c r="I1324" t="s">
        <v>731</v>
      </c>
      <c r="J1324" s="20" t="s">
        <v>2417</v>
      </c>
      <c r="K1324" t="s">
        <v>2417</v>
      </c>
    </row>
    <row r="1325" spans="2:11" x14ac:dyDescent="0.2">
      <c r="B1325" s="21">
        <f t="shared" si="20"/>
        <v>796</v>
      </c>
      <c r="C1325" t="s">
        <v>145</v>
      </c>
      <c r="D1325" t="s">
        <v>13</v>
      </c>
      <c r="E1325" t="s">
        <v>2751</v>
      </c>
      <c r="F1325" t="s">
        <v>43</v>
      </c>
      <c r="G1325" s="21">
        <v>1</v>
      </c>
      <c r="H1325" s="21">
        <v>0</v>
      </c>
      <c r="J1325" s="20" t="s">
        <v>2417</v>
      </c>
      <c r="K1325" t="s">
        <v>2416</v>
      </c>
    </row>
    <row r="1326" spans="2:11" x14ac:dyDescent="0.2">
      <c r="B1326" s="21">
        <f t="shared" si="20"/>
        <v>795</v>
      </c>
      <c r="C1326" t="s">
        <v>345</v>
      </c>
      <c r="D1326" t="s">
        <v>13</v>
      </c>
      <c r="E1326" t="s">
        <v>2751</v>
      </c>
      <c r="F1326" t="s">
        <v>4</v>
      </c>
      <c r="G1326" s="21">
        <v>1</v>
      </c>
      <c r="H1326" s="21">
        <v>0</v>
      </c>
      <c r="I1326" t="s">
        <v>724</v>
      </c>
      <c r="J1326" s="20" t="s">
        <v>2418</v>
      </c>
      <c r="K1326" t="s">
        <v>2418</v>
      </c>
    </row>
    <row r="1327" spans="2:11" x14ac:dyDescent="0.2">
      <c r="B1327" s="21">
        <f t="shared" si="20"/>
        <v>794</v>
      </c>
      <c r="C1327" t="s">
        <v>345</v>
      </c>
      <c r="D1327" t="s">
        <v>13</v>
      </c>
      <c r="E1327" t="s">
        <v>2751</v>
      </c>
      <c r="F1327" t="s">
        <v>34</v>
      </c>
      <c r="G1327" s="21">
        <v>1</v>
      </c>
      <c r="H1327" s="21">
        <v>0</v>
      </c>
      <c r="I1327" t="s">
        <v>726</v>
      </c>
      <c r="J1327" s="20" t="s">
        <v>2418</v>
      </c>
      <c r="K1327" t="s">
        <v>2417</v>
      </c>
    </row>
    <row r="1328" spans="2:11" x14ac:dyDescent="0.2">
      <c r="B1328" s="21">
        <f t="shared" si="20"/>
        <v>793</v>
      </c>
      <c r="C1328" t="s">
        <v>711</v>
      </c>
      <c r="D1328" t="s">
        <v>13</v>
      </c>
      <c r="E1328" t="s">
        <v>2751</v>
      </c>
      <c r="F1328" t="s">
        <v>27</v>
      </c>
      <c r="G1328" s="21">
        <v>1</v>
      </c>
      <c r="H1328" s="21">
        <v>0</v>
      </c>
      <c r="J1328" s="20" t="s">
        <v>2418</v>
      </c>
      <c r="K1328" t="s">
        <v>2417</v>
      </c>
    </row>
    <row r="1329" spans="2:11" x14ac:dyDescent="0.2">
      <c r="B1329" s="21">
        <f t="shared" si="20"/>
        <v>792</v>
      </c>
      <c r="C1329" t="s">
        <v>717</v>
      </c>
      <c r="D1329" t="s">
        <v>15</v>
      </c>
      <c r="E1329" t="s">
        <v>2751</v>
      </c>
      <c r="F1329" t="s">
        <v>27</v>
      </c>
      <c r="G1329" s="21">
        <v>1</v>
      </c>
      <c r="H1329" s="21">
        <v>0</v>
      </c>
      <c r="I1329" t="s">
        <v>729</v>
      </c>
      <c r="J1329" s="20" t="s">
        <v>2418</v>
      </c>
      <c r="K1329" t="s">
        <v>2418</v>
      </c>
    </row>
    <row r="1330" spans="2:11" x14ac:dyDescent="0.2">
      <c r="B1330" s="21">
        <f t="shared" si="20"/>
        <v>791</v>
      </c>
      <c r="C1330" t="s">
        <v>262</v>
      </c>
      <c r="D1330" t="s">
        <v>18</v>
      </c>
      <c r="E1330" t="s">
        <v>2751</v>
      </c>
      <c r="F1330" t="s">
        <v>43</v>
      </c>
      <c r="G1330" s="21">
        <v>1</v>
      </c>
      <c r="H1330" s="21">
        <v>0</v>
      </c>
      <c r="I1330" t="s">
        <v>728</v>
      </c>
      <c r="J1330" s="20" t="s">
        <v>2418</v>
      </c>
      <c r="K1330" t="s">
        <v>2417</v>
      </c>
    </row>
    <row r="1331" spans="2:11" x14ac:dyDescent="0.2">
      <c r="B1331" s="21">
        <f t="shared" si="20"/>
        <v>790</v>
      </c>
      <c r="C1331" t="s">
        <v>702</v>
      </c>
      <c r="D1331" t="s">
        <v>13</v>
      </c>
      <c r="E1331" t="s">
        <v>2751</v>
      </c>
      <c r="F1331" t="s">
        <v>64</v>
      </c>
      <c r="G1331" s="21">
        <v>1</v>
      </c>
      <c r="H1331" s="21">
        <v>0</v>
      </c>
      <c r="I1331" t="s">
        <v>727</v>
      </c>
      <c r="J1331" s="20" t="s">
        <v>2418</v>
      </c>
      <c r="K1331" t="s">
        <v>2418</v>
      </c>
    </row>
    <row r="1332" spans="2:11" x14ac:dyDescent="0.2">
      <c r="B1332" s="21">
        <f t="shared" si="20"/>
        <v>789</v>
      </c>
      <c r="C1332" t="s">
        <v>489</v>
      </c>
      <c r="D1332" t="s">
        <v>19</v>
      </c>
      <c r="E1332" t="s">
        <v>2751</v>
      </c>
      <c r="F1332" t="s">
        <v>8</v>
      </c>
      <c r="G1332" s="21">
        <v>1</v>
      </c>
      <c r="H1332" s="21">
        <v>0</v>
      </c>
      <c r="J1332" s="20" t="s">
        <v>2418</v>
      </c>
      <c r="K1332" t="s">
        <v>2417</v>
      </c>
    </row>
    <row r="1333" spans="2:11" x14ac:dyDescent="0.2">
      <c r="B1333" s="21">
        <f t="shared" si="20"/>
        <v>788</v>
      </c>
      <c r="C1333" t="s">
        <v>345</v>
      </c>
      <c r="D1333" t="s">
        <v>13</v>
      </c>
      <c r="E1333" t="s">
        <v>2751</v>
      </c>
      <c r="F1333" t="s">
        <v>34</v>
      </c>
      <c r="G1333" s="21">
        <v>1</v>
      </c>
      <c r="H1333" s="21">
        <v>0</v>
      </c>
      <c r="I1333" t="s">
        <v>722</v>
      </c>
      <c r="J1333" s="20" t="s">
        <v>2419</v>
      </c>
      <c r="K1333" t="s">
        <v>2419</v>
      </c>
    </row>
    <row r="1334" spans="2:11" x14ac:dyDescent="0.2">
      <c r="B1334" s="21">
        <f t="shared" si="20"/>
        <v>787</v>
      </c>
      <c r="C1334" t="s">
        <v>32</v>
      </c>
      <c r="D1334" t="s">
        <v>13</v>
      </c>
      <c r="E1334" t="s">
        <v>2751</v>
      </c>
      <c r="F1334" t="s">
        <v>28</v>
      </c>
      <c r="G1334" s="21">
        <v>1</v>
      </c>
      <c r="H1334" s="21">
        <v>0</v>
      </c>
      <c r="J1334" s="20" t="s">
        <v>2419</v>
      </c>
      <c r="K1334" t="s">
        <v>2418</v>
      </c>
    </row>
    <row r="1335" spans="2:11" x14ac:dyDescent="0.2">
      <c r="B1335" s="21">
        <f t="shared" si="20"/>
        <v>786</v>
      </c>
      <c r="C1335" t="s">
        <v>711</v>
      </c>
      <c r="D1335" t="s">
        <v>13</v>
      </c>
      <c r="E1335" t="s">
        <v>2751</v>
      </c>
      <c r="F1335" t="s">
        <v>27</v>
      </c>
      <c r="G1335" s="21">
        <v>1</v>
      </c>
      <c r="H1335" s="21">
        <v>0</v>
      </c>
      <c r="J1335" s="20" t="s">
        <v>2419</v>
      </c>
      <c r="K1335" t="s">
        <v>2418</v>
      </c>
    </row>
    <row r="1336" spans="2:11" x14ac:dyDescent="0.2">
      <c r="B1336" s="21">
        <f t="shared" si="20"/>
        <v>785</v>
      </c>
      <c r="C1336" t="s">
        <v>717</v>
      </c>
      <c r="D1336" t="s">
        <v>15</v>
      </c>
      <c r="E1336" t="s">
        <v>2751</v>
      </c>
      <c r="F1336" t="s">
        <v>27</v>
      </c>
      <c r="G1336" s="21">
        <v>1</v>
      </c>
      <c r="H1336" s="21">
        <v>0</v>
      </c>
      <c r="I1336" t="s">
        <v>721</v>
      </c>
      <c r="J1336" s="20" t="s">
        <v>2419</v>
      </c>
      <c r="K1336" t="s">
        <v>2418</v>
      </c>
    </row>
    <row r="1337" spans="2:11" x14ac:dyDescent="0.2">
      <c r="B1337" s="21">
        <f t="shared" si="20"/>
        <v>784</v>
      </c>
      <c r="C1337" t="s">
        <v>702</v>
      </c>
      <c r="D1337" t="s">
        <v>13</v>
      </c>
      <c r="E1337" t="s">
        <v>2751</v>
      </c>
      <c r="F1337" t="s">
        <v>64</v>
      </c>
      <c r="G1337" s="21">
        <v>1</v>
      </c>
      <c r="H1337" s="21">
        <v>0</v>
      </c>
      <c r="I1337" t="s">
        <v>725</v>
      </c>
      <c r="J1337" s="20" t="s">
        <v>2419</v>
      </c>
      <c r="K1337" t="s">
        <v>2419</v>
      </c>
    </row>
    <row r="1338" spans="2:11" x14ac:dyDescent="0.2">
      <c r="B1338" s="21">
        <f t="shared" si="20"/>
        <v>783</v>
      </c>
      <c r="C1338" t="s">
        <v>262</v>
      </c>
      <c r="D1338" t="s">
        <v>18</v>
      </c>
      <c r="E1338" t="s">
        <v>2751</v>
      </c>
      <c r="F1338" t="s">
        <v>43</v>
      </c>
      <c r="G1338" s="21">
        <v>1</v>
      </c>
      <c r="H1338" s="21">
        <v>0</v>
      </c>
      <c r="I1338" t="s">
        <v>720</v>
      </c>
      <c r="J1338" s="20" t="s">
        <v>2419</v>
      </c>
      <c r="K1338" t="s">
        <v>2418</v>
      </c>
    </row>
    <row r="1339" spans="2:11" x14ac:dyDescent="0.2">
      <c r="B1339" s="21">
        <f t="shared" si="20"/>
        <v>782</v>
      </c>
      <c r="C1339" t="s">
        <v>345</v>
      </c>
      <c r="D1339" t="s">
        <v>13</v>
      </c>
      <c r="E1339" t="s">
        <v>2751</v>
      </c>
      <c r="F1339" t="s">
        <v>34</v>
      </c>
      <c r="G1339" s="21">
        <v>1</v>
      </c>
      <c r="H1339" s="21">
        <v>0</v>
      </c>
      <c r="J1339" s="20" t="s">
        <v>2420</v>
      </c>
      <c r="K1339" t="s">
        <v>2708</v>
      </c>
    </row>
    <row r="1340" spans="2:11" x14ac:dyDescent="0.2">
      <c r="B1340" s="21">
        <f t="shared" si="20"/>
        <v>781</v>
      </c>
      <c r="C1340" t="s">
        <v>32</v>
      </c>
      <c r="D1340" t="s">
        <v>13</v>
      </c>
      <c r="E1340" t="s">
        <v>2751</v>
      </c>
      <c r="F1340" t="s">
        <v>28</v>
      </c>
      <c r="G1340" s="21">
        <v>1</v>
      </c>
      <c r="H1340" s="21">
        <v>0</v>
      </c>
      <c r="J1340" s="20" t="s">
        <v>2420</v>
      </c>
      <c r="K1340" t="s">
        <v>2708</v>
      </c>
    </row>
    <row r="1341" spans="2:11" x14ac:dyDescent="0.2">
      <c r="B1341" s="21">
        <f t="shared" si="20"/>
        <v>780</v>
      </c>
      <c r="C1341" t="s">
        <v>711</v>
      </c>
      <c r="D1341" t="s">
        <v>13</v>
      </c>
      <c r="E1341" t="s">
        <v>2751</v>
      </c>
      <c r="F1341" t="s">
        <v>4</v>
      </c>
      <c r="G1341" s="21">
        <v>1</v>
      </c>
      <c r="H1341" s="21">
        <v>0</v>
      </c>
      <c r="I1341" t="s">
        <v>723</v>
      </c>
      <c r="J1341" s="20" t="s">
        <v>2420</v>
      </c>
      <c r="K1341" t="s">
        <v>2420</v>
      </c>
    </row>
    <row r="1342" spans="2:11" x14ac:dyDescent="0.2">
      <c r="B1342" s="21">
        <f t="shared" si="20"/>
        <v>779</v>
      </c>
      <c r="C1342" t="s">
        <v>711</v>
      </c>
      <c r="D1342" t="s">
        <v>13</v>
      </c>
      <c r="E1342" t="s">
        <v>2751</v>
      </c>
      <c r="F1342" t="s">
        <v>27</v>
      </c>
      <c r="G1342" s="21">
        <v>1</v>
      </c>
      <c r="H1342" s="21">
        <v>0</v>
      </c>
      <c r="J1342" s="20" t="s">
        <v>2420</v>
      </c>
      <c r="K1342" t="s">
        <v>2708</v>
      </c>
    </row>
    <row r="1343" spans="2:11" x14ac:dyDescent="0.2">
      <c r="B1343" s="21">
        <f t="shared" si="20"/>
        <v>778</v>
      </c>
      <c r="C1343" t="s">
        <v>717</v>
      </c>
      <c r="D1343" t="s">
        <v>15</v>
      </c>
      <c r="E1343" t="s">
        <v>2751</v>
      </c>
      <c r="F1343" t="s">
        <v>27</v>
      </c>
      <c r="G1343" s="21">
        <v>1</v>
      </c>
      <c r="H1343" s="21">
        <v>0</v>
      </c>
      <c r="J1343" s="20" t="s">
        <v>2420</v>
      </c>
      <c r="K1343" t="s">
        <v>2708</v>
      </c>
    </row>
    <row r="1344" spans="2:11" x14ac:dyDescent="0.2">
      <c r="B1344" s="21">
        <f t="shared" si="20"/>
        <v>777</v>
      </c>
      <c r="C1344" t="s">
        <v>702</v>
      </c>
      <c r="D1344" t="s">
        <v>13</v>
      </c>
      <c r="E1344" t="s">
        <v>2751</v>
      </c>
      <c r="F1344" t="s">
        <v>64</v>
      </c>
      <c r="G1344" s="21">
        <v>1</v>
      </c>
      <c r="H1344" s="21">
        <v>0</v>
      </c>
      <c r="J1344" s="20" t="s">
        <v>2420</v>
      </c>
      <c r="K1344" t="s">
        <v>2708</v>
      </c>
    </row>
    <row r="1345" spans="2:11" x14ac:dyDescent="0.2">
      <c r="B1345" s="21">
        <f t="shared" si="20"/>
        <v>776</v>
      </c>
      <c r="C1345" t="s">
        <v>345</v>
      </c>
      <c r="D1345" t="s">
        <v>13</v>
      </c>
      <c r="E1345" t="s">
        <v>2751</v>
      </c>
      <c r="F1345" t="s">
        <v>34</v>
      </c>
      <c r="G1345" s="21">
        <v>1</v>
      </c>
      <c r="H1345" s="21">
        <v>0</v>
      </c>
      <c r="I1345" t="s">
        <v>708</v>
      </c>
      <c r="J1345" s="20" t="s">
        <v>2421</v>
      </c>
      <c r="K1345" t="s">
        <v>2420</v>
      </c>
    </row>
    <row r="1346" spans="2:11" x14ac:dyDescent="0.2">
      <c r="B1346" s="21">
        <f t="shared" si="20"/>
        <v>775</v>
      </c>
      <c r="C1346" t="s">
        <v>32</v>
      </c>
      <c r="D1346" t="s">
        <v>13</v>
      </c>
      <c r="E1346" t="s">
        <v>2751</v>
      </c>
      <c r="F1346" t="s">
        <v>28</v>
      </c>
      <c r="G1346" s="21">
        <v>1</v>
      </c>
      <c r="H1346" s="21">
        <v>0</v>
      </c>
      <c r="J1346" s="20" t="s">
        <v>2421</v>
      </c>
      <c r="K1346" t="s">
        <v>2420</v>
      </c>
    </row>
    <row r="1347" spans="2:11" x14ac:dyDescent="0.2">
      <c r="B1347" s="21">
        <f t="shared" si="20"/>
        <v>774</v>
      </c>
      <c r="C1347" t="s">
        <v>711</v>
      </c>
      <c r="D1347" t="s">
        <v>13</v>
      </c>
      <c r="E1347" t="s">
        <v>2751</v>
      </c>
      <c r="F1347" t="s">
        <v>8</v>
      </c>
      <c r="G1347" s="21">
        <v>1</v>
      </c>
      <c r="H1347" s="21">
        <v>0</v>
      </c>
      <c r="I1347" t="s">
        <v>715</v>
      </c>
      <c r="J1347" s="20" t="s">
        <v>2421</v>
      </c>
      <c r="K1347" t="s">
        <v>2420</v>
      </c>
    </row>
    <row r="1348" spans="2:11" x14ac:dyDescent="0.2">
      <c r="B1348" s="21">
        <f t="shared" si="20"/>
        <v>773</v>
      </c>
      <c r="C1348" t="s">
        <v>717</v>
      </c>
      <c r="D1348" t="s">
        <v>15</v>
      </c>
      <c r="E1348" t="s">
        <v>2751</v>
      </c>
      <c r="F1348" t="s">
        <v>27</v>
      </c>
      <c r="G1348" s="21">
        <v>1</v>
      </c>
      <c r="H1348" s="21">
        <v>0</v>
      </c>
      <c r="I1348" t="s">
        <v>718</v>
      </c>
      <c r="J1348" s="20" t="s">
        <v>2421</v>
      </c>
      <c r="K1348" t="s">
        <v>2420</v>
      </c>
    </row>
    <row r="1349" spans="2:11" x14ac:dyDescent="0.2">
      <c r="B1349" s="21">
        <f t="shared" ref="B1349:B1412" si="21">B1348-1</f>
        <v>772</v>
      </c>
      <c r="C1349" t="s">
        <v>702</v>
      </c>
      <c r="D1349" t="s">
        <v>13</v>
      </c>
      <c r="E1349" t="s">
        <v>2751</v>
      </c>
      <c r="F1349" t="s">
        <v>64</v>
      </c>
      <c r="G1349" s="21">
        <v>1</v>
      </c>
      <c r="H1349" s="21">
        <v>0</v>
      </c>
      <c r="I1349" t="s">
        <v>719</v>
      </c>
      <c r="J1349" s="20" t="s">
        <v>2421</v>
      </c>
      <c r="K1349" t="s">
        <v>2420</v>
      </c>
    </row>
    <row r="1350" spans="2:11" x14ac:dyDescent="0.2">
      <c r="B1350" s="21">
        <f t="shared" si="21"/>
        <v>771</v>
      </c>
      <c r="C1350" t="s">
        <v>345</v>
      </c>
      <c r="D1350" t="s">
        <v>13</v>
      </c>
      <c r="E1350" t="s">
        <v>2751</v>
      </c>
      <c r="F1350" t="s">
        <v>34</v>
      </c>
      <c r="G1350" s="21">
        <v>1</v>
      </c>
      <c r="H1350" s="21">
        <v>0</v>
      </c>
      <c r="I1350" t="s">
        <v>708</v>
      </c>
      <c r="J1350" s="20" t="s">
        <v>2422</v>
      </c>
      <c r="K1350" t="s">
        <v>2421</v>
      </c>
    </row>
    <row r="1351" spans="2:11" x14ac:dyDescent="0.2">
      <c r="B1351" s="21">
        <f t="shared" si="21"/>
        <v>770</v>
      </c>
      <c r="C1351" t="s">
        <v>32</v>
      </c>
      <c r="D1351" t="s">
        <v>13</v>
      </c>
      <c r="E1351" t="s">
        <v>2751</v>
      </c>
      <c r="F1351" t="s">
        <v>28</v>
      </c>
      <c r="G1351" s="21">
        <v>1</v>
      </c>
      <c r="H1351" s="21">
        <v>0</v>
      </c>
      <c r="J1351" s="20" t="s">
        <v>2422</v>
      </c>
      <c r="K1351" t="s">
        <v>2421</v>
      </c>
    </row>
    <row r="1352" spans="2:11" x14ac:dyDescent="0.2">
      <c r="B1352" s="21">
        <f t="shared" si="21"/>
        <v>769</v>
      </c>
      <c r="C1352" t="s">
        <v>711</v>
      </c>
      <c r="D1352" t="s">
        <v>13</v>
      </c>
      <c r="E1352" t="s">
        <v>2751</v>
      </c>
      <c r="F1352" t="s">
        <v>8</v>
      </c>
      <c r="G1352" s="21">
        <v>1</v>
      </c>
      <c r="H1352" s="21">
        <v>0</v>
      </c>
      <c r="I1352" t="s">
        <v>714</v>
      </c>
      <c r="J1352" s="20" t="s">
        <v>2422</v>
      </c>
      <c r="K1352" t="s">
        <v>2421</v>
      </c>
    </row>
    <row r="1353" spans="2:11" x14ac:dyDescent="0.2">
      <c r="B1353" s="21">
        <f t="shared" si="21"/>
        <v>768</v>
      </c>
      <c r="C1353" t="s">
        <v>702</v>
      </c>
      <c r="D1353" t="s">
        <v>13</v>
      </c>
      <c r="E1353" t="s">
        <v>2751</v>
      </c>
      <c r="F1353" t="s">
        <v>4</v>
      </c>
      <c r="G1353" s="21">
        <v>1</v>
      </c>
      <c r="H1353" s="21">
        <v>0</v>
      </c>
      <c r="I1353" t="s">
        <v>716</v>
      </c>
      <c r="J1353" s="20" t="s">
        <v>2422</v>
      </c>
      <c r="K1353" t="s">
        <v>2422</v>
      </c>
    </row>
    <row r="1354" spans="2:11" x14ac:dyDescent="0.2">
      <c r="B1354" s="21">
        <f t="shared" si="21"/>
        <v>767</v>
      </c>
      <c r="C1354" t="s">
        <v>345</v>
      </c>
      <c r="D1354" t="s">
        <v>13</v>
      </c>
      <c r="E1354" t="s">
        <v>2751</v>
      </c>
      <c r="F1354" t="s">
        <v>34</v>
      </c>
      <c r="G1354" s="21">
        <v>1</v>
      </c>
      <c r="H1354" s="21">
        <v>0</v>
      </c>
      <c r="I1354" t="s">
        <v>708</v>
      </c>
      <c r="J1354" s="20" t="s">
        <v>2423</v>
      </c>
      <c r="K1354" t="s">
        <v>2422</v>
      </c>
    </row>
    <row r="1355" spans="2:11" x14ac:dyDescent="0.2">
      <c r="B1355" s="21">
        <f t="shared" si="21"/>
        <v>766</v>
      </c>
      <c r="C1355" t="s">
        <v>32</v>
      </c>
      <c r="D1355" t="s">
        <v>13</v>
      </c>
      <c r="E1355" t="s">
        <v>2751</v>
      </c>
      <c r="F1355" t="s">
        <v>28</v>
      </c>
      <c r="G1355" s="21">
        <v>1</v>
      </c>
      <c r="H1355" s="21">
        <v>0</v>
      </c>
      <c r="J1355" s="20" t="s">
        <v>2423</v>
      </c>
      <c r="K1355" t="s">
        <v>2422</v>
      </c>
    </row>
    <row r="1356" spans="2:11" x14ac:dyDescent="0.2">
      <c r="B1356" s="21">
        <f t="shared" si="21"/>
        <v>765</v>
      </c>
      <c r="C1356" t="s">
        <v>702</v>
      </c>
      <c r="D1356" t="s">
        <v>13</v>
      </c>
      <c r="E1356" t="s">
        <v>2751</v>
      </c>
      <c r="F1356" t="s">
        <v>64</v>
      </c>
      <c r="G1356" s="21">
        <v>1</v>
      </c>
      <c r="H1356" s="21">
        <v>0</v>
      </c>
      <c r="J1356" s="20" t="s">
        <v>2423</v>
      </c>
      <c r="K1356" t="s">
        <v>2423</v>
      </c>
    </row>
    <row r="1357" spans="2:11" x14ac:dyDescent="0.2">
      <c r="B1357" s="21">
        <f t="shared" si="21"/>
        <v>764</v>
      </c>
      <c r="C1357" t="s">
        <v>687</v>
      </c>
      <c r="D1357" t="s">
        <v>13</v>
      </c>
      <c r="E1357" t="s">
        <v>2751</v>
      </c>
      <c r="F1357" t="s">
        <v>8</v>
      </c>
      <c r="G1357" s="21">
        <v>1</v>
      </c>
      <c r="H1357" s="21">
        <v>0</v>
      </c>
      <c r="J1357" s="20" t="s">
        <v>2423</v>
      </c>
      <c r="K1357" t="s">
        <v>2423</v>
      </c>
    </row>
    <row r="1358" spans="2:11" x14ac:dyDescent="0.2">
      <c r="B1358" s="21">
        <f t="shared" si="21"/>
        <v>763</v>
      </c>
      <c r="C1358" t="s">
        <v>711</v>
      </c>
      <c r="D1358" t="s">
        <v>13</v>
      </c>
      <c r="E1358" t="s">
        <v>2751</v>
      </c>
      <c r="F1358" t="s">
        <v>8</v>
      </c>
      <c r="G1358" s="21">
        <v>1</v>
      </c>
      <c r="H1358" s="21">
        <v>0</v>
      </c>
      <c r="I1358" t="s">
        <v>713</v>
      </c>
      <c r="J1358" s="20" t="s">
        <v>2423</v>
      </c>
      <c r="K1358" t="s">
        <v>2422</v>
      </c>
    </row>
    <row r="1359" spans="2:11" x14ac:dyDescent="0.2">
      <c r="B1359" s="21">
        <f t="shared" si="21"/>
        <v>762</v>
      </c>
      <c r="C1359" t="s">
        <v>701</v>
      </c>
      <c r="D1359" t="s">
        <v>13</v>
      </c>
      <c r="E1359" t="s">
        <v>2751</v>
      </c>
      <c r="F1359" t="s">
        <v>27</v>
      </c>
      <c r="G1359" s="21">
        <v>1</v>
      </c>
      <c r="H1359" s="21">
        <v>0</v>
      </c>
      <c r="I1359" t="s">
        <v>709</v>
      </c>
      <c r="J1359" s="20" t="s">
        <v>2424</v>
      </c>
      <c r="K1359" t="s">
        <v>2424</v>
      </c>
    </row>
    <row r="1360" spans="2:11" x14ac:dyDescent="0.2">
      <c r="B1360" s="21">
        <f t="shared" si="21"/>
        <v>761</v>
      </c>
      <c r="C1360" t="s">
        <v>345</v>
      </c>
      <c r="D1360" t="s">
        <v>13</v>
      </c>
      <c r="E1360" t="s">
        <v>2751</v>
      </c>
      <c r="F1360" t="s">
        <v>34</v>
      </c>
      <c r="G1360" s="21">
        <v>1</v>
      </c>
      <c r="H1360" s="21">
        <v>0</v>
      </c>
      <c r="I1360" t="s">
        <v>708</v>
      </c>
      <c r="J1360" s="20" t="s">
        <v>2424</v>
      </c>
      <c r="K1360" t="s">
        <v>2423</v>
      </c>
    </row>
    <row r="1361" spans="2:11" x14ac:dyDescent="0.2">
      <c r="B1361" s="21">
        <f t="shared" si="21"/>
        <v>760</v>
      </c>
      <c r="C1361" t="s">
        <v>345</v>
      </c>
      <c r="D1361" t="s">
        <v>13</v>
      </c>
      <c r="E1361" t="s">
        <v>2751</v>
      </c>
      <c r="F1361" t="s">
        <v>115</v>
      </c>
      <c r="G1361" s="21">
        <v>1</v>
      </c>
      <c r="H1361" s="21">
        <v>0</v>
      </c>
      <c r="I1361" t="s">
        <v>710</v>
      </c>
      <c r="J1361" s="20" t="s">
        <v>2424</v>
      </c>
      <c r="K1361" t="s">
        <v>2424</v>
      </c>
    </row>
    <row r="1362" spans="2:11" x14ac:dyDescent="0.2">
      <c r="B1362" s="21">
        <f t="shared" si="21"/>
        <v>759</v>
      </c>
      <c r="C1362" t="s">
        <v>32</v>
      </c>
      <c r="D1362" t="s">
        <v>13</v>
      </c>
      <c r="E1362" t="s">
        <v>2751</v>
      </c>
      <c r="F1362" t="s">
        <v>28</v>
      </c>
      <c r="G1362" s="21">
        <v>1</v>
      </c>
      <c r="H1362" s="21">
        <v>0</v>
      </c>
      <c r="J1362" s="20" t="s">
        <v>2424</v>
      </c>
      <c r="K1362" t="s">
        <v>2423</v>
      </c>
    </row>
    <row r="1363" spans="2:11" x14ac:dyDescent="0.2">
      <c r="B1363" s="21">
        <f t="shared" si="21"/>
        <v>758</v>
      </c>
      <c r="C1363" t="s">
        <v>711</v>
      </c>
      <c r="D1363" t="s">
        <v>13</v>
      </c>
      <c r="E1363" t="s">
        <v>2751</v>
      </c>
      <c r="F1363" t="s">
        <v>8</v>
      </c>
      <c r="G1363" s="21">
        <v>1</v>
      </c>
      <c r="H1363" s="21">
        <v>0</v>
      </c>
      <c r="I1363" t="s">
        <v>712</v>
      </c>
      <c r="J1363" s="20" t="s">
        <v>2424</v>
      </c>
      <c r="K1363" t="s">
        <v>2423</v>
      </c>
    </row>
    <row r="1364" spans="2:11" x14ac:dyDescent="0.2">
      <c r="B1364" s="21">
        <f t="shared" si="21"/>
        <v>757</v>
      </c>
      <c r="C1364" t="s">
        <v>32</v>
      </c>
      <c r="D1364" t="s">
        <v>13</v>
      </c>
      <c r="E1364" t="s">
        <v>2751</v>
      </c>
      <c r="F1364" t="s">
        <v>28</v>
      </c>
      <c r="G1364" s="21">
        <v>1</v>
      </c>
      <c r="H1364" s="21">
        <v>0</v>
      </c>
      <c r="J1364" s="20" t="s">
        <v>2425</v>
      </c>
      <c r="K1364" t="s">
        <v>2424</v>
      </c>
    </row>
    <row r="1365" spans="2:11" x14ac:dyDescent="0.2">
      <c r="B1365" s="21">
        <f t="shared" si="21"/>
        <v>756</v>
      </c>
      <c r="C1365" t="s">
        <v>701</v>
      </c>
      <c r="D1365" t="s">
        <v>13</v>
      </c>
      <c r="E1365" t="s">
        <v>2751</v>
      </c>
      <c r="F1365" t="s">
        <v>27</v>
      </c>
      <c r="G1365" s="21">
        <v>1</v>
      </c>
      <c r="H1365" s="21">
        <v>0</v>
      </c>
      <c r="J1365" s="20" t="s">
        <v>2425</v>
      </c>
      <c r="K1365" t="s">
        <v>2424</v>
      </c>
    </row>
    <row r="1366" spans="2:11" x14ac:dyDescent="0.2">
      <c r="B1366" s="21">
        <f t="shared" si="21"/>
        <v>755</v>
      </c>
      <c r="C1366" t="s">
        <v>702</v>
      </c>
      <c r="D1366" t="s">
        <v>13</v>
      </c>
      <c r="E1366" t="s">
        <v>2751</v>
      </c>
      <c r="F1366" t="s">
        <v>4</v>
      </c>
      <c r="G1366" s="21">
        <v>1</v>
      </c>
      <c r="H1366" s="21">
        <v>0</v>
      </c>
      <c r="I1366" t="s">
        <v>705</v>
      </c>
      <c r="J1366" s="20" t="s">
        <v>2425</v>
      </c>
      <c r="K1366" t="s">
        <v>2425</v>
      </c>
    </row>
    <row r="1367" spans="2:11" x14ac:dyDescent="0.2">
      <c r="B1367" s="21">
        <f t="shared" si="21"/>
        <v>754</v>
      </c>
      <c r="C1367" t="s">
        <v>489</v>
      </c>
      <c r="D1367" t="s">
        <v>19</v>
      </c>
      <c r="E1367" t="s">
        <v>2751</v>
      </c>
      <c r="F1367" t="s">
        <v>27</v>
      </c>
      <c r="G1367" s="21">
        <v>1</v>
      </c>
      <c r="H1367" s="21">
        <v>0</v>
      </c>
      <c r="I1367" t="s">
        <v>706</v>
      </c>
      <c r="J1367" s="20" t="s">
        <v>2425</v>
      </c>
      <c r="K1367" t="s">
        <v>2424</v>
      </c>
    </row>
    <row r="1368" spans="2:11" x14ac:dyDescent="0.2">
      <c r="B1368" s="21">
        <f t="shared" si="21"/>
        <v>753</v>
      </c>
      <c r="C1368" t="s">
        <v>345</v>
      </c>
      <c r="D1368" t="s">
        <v>13</v>
      </c>
      <c r="E1368" t="s">
        <v>2751</v>
      </c>
      <c r="F1368" t="s">
        <v>49</v>
      </c>
      <c r="G1368" s="21">
        <v>1</v>
      </c>
      <c r="H1368" s="21">
        <v>0</v>
      </c>
      <c r="I1368" t="s">
        <v>707</v>
      </c>
      <c r="J1368" s="20" t="s">
        <v>2425</v>
      </c>
      <c r="K1368" t="s">
        <v>2425</v>
      </c>
    </row>
    <row r="1369" spans="2:11" x14ac:dyDescent="0.2">
      <c r="B1369" s="21">
        <f t="shared" si="21"/>
        <v>752</v>
      </c>
      <c r="C1369" t="s">
        <v>677</v>
      </c>
      <c r="D1369" t="s">
        <v>13</v>
      </c>
      <c r="E1369" t="s">
        <v>2751</v>
      </c>
      <c r="F1369" t="s">
        <v>27</v>
      </c>
      <c r="G1369" s="21">
        <v>1</v>
      </c>
      <c r="H1369" s="21">
        <v>0</v>
      </c>
      <c r="I1369" t="s">
        <v>697</v>
      </c>
      <c r="J1369" s="20" t="s">
        <v>2426</v>
      </c>
      <c r="K1369" t="s">
        <v>2709</v>
      </c>
    </row>
    <row r="1370" spans="2:11" x14ac:dyDescent="0.2">
      <c r="B1370" s="21">
        <f t="shared" si="21"/>
        <v>751</v>
      </c>
      <c r="C1370" t="s">
        <v>32</v>
      </c>
      <c r="D1370" t="s">
        <v>13</v>
      </c>
      <c r="E1370" t="s">
        <v>2751</v>
      </c>
      <c r="F1370" t="s">
        <v>28</v>
      </c>
      <c r="G1370" s="21">
        <v>1</v>
      </c>
      <c r="H1370" s="21">
        <v>0</v>
      </c>
      <c r="J1370" s="20" t="s">
        <v>2426</v>
      </c>
      <c r="K1370" t="s">
        <v>2709</v>
      </c>
    </row>
    <row r="1371" spans="2:11" x14ac:dyDescent="0.2">
      <c r="B1371" s="21">
        <f t="shared" si="21"/>
        <v>750</v>
      </c>
      <c r="C1371" t="s">
        <v>701</v>
      </c>
      <c r="D1371" t="s">
        <v>13</v>
      </c>
      <c r="E1371" t="s">
        <v>2751</v>
      </c>
      <c r="F1371" t="s">
        <v>27</v>
      </c>
      <c r="G1371" s="21">
        <v>1</v>
      </c>
      <c r="H1371" s="21">
        <v>0</v>
      </c>
      <c r="I1371" t="s">
        <v>699</v>
      </c>
      <c r="J1371" s="20" t="s">
        <v>2426</v>
      </c>
      <c r="K1371" t="s">
        <v>2709</v>
      </c>
    </row>
    <row r="1372" spans="2:11" x14ac:dyDescent="0.2">
      <c r="B1372" s="21">
        <f t="shared" si="21"/>
        <v>749</v>
      </c>
      <c r="C1372" t="s">
        <v>148</v>
      </c>
      <c r="D1372" t="s">
        <v>13</v>
      </c>
      <c r="E1372" t="s">
        <v>2751</v>
      </c>
      <c r="F1372" t="s">
        <v>28</v>
      </c>
      <c r="G1372" s="21">
        <v>1</v>
      </c>
      <c r="H1372" s="21">
        <v>0</v>
      </c>
      <c r="J1372" s="20" t="s">
        <v>2426</v>
      </c>
      <c r="K1372" t="s">
        <v>2709</v>
      </c>
    </row>
    <row r="1373" spans="2:11" x14ac:dyDescent="0.2">
      <c r="B1373" s="21">
        <f t="shared" si="21"/>
        <v>748</v>
      </c>
      <c r="C1373" t="s">
        <v>687</v>
      </c>
      <c r="D1373" t="s">
        <v>13</v>
      </c>
      <c r="E1373" t="s">
        <v>2751</v>
      </c>
      <c r="F1373" t="s">
        <v>42</v>
      </c>
      <c r="G1373" s="21">
        <v>1</v>
      </c>
      <c r="H1373" s="21">
        <v>0</v>
      </c>
      <c r="I1373" t="s">
        <v>704</v>
      </c>
      <c r="J1373" s="20" t="s">
        <v>2426</v>
      </c>
      <c r="K1373" t="s">
        <v>2426</v>
      </c>
    </row>
    <row r="1374" spans="2:11" x14ac:dyDescent="0.2">
      <c r="B1374" s="21">
        <f t="shared" si="21"/>
        <v>747</v>
      </c>
      <c r="C1374" t="s">
        <v>702</v>
      </c>
      <c r="D1374" t="s">
        <v>13</v>
      </c>
      <c r="E1374" t="s">
        <v>2751</v>
      </c>
      <c r="F1374" t="s">
        <v>4</v>
      </c>
      <c r="G1374" s="21">
        <v>1</v>
      </c>
      <c r="H1374" s="21">
        <v>0</v>
      </c>
      <c r="I1374" t="s">
        <v>703</v>
      </c>
      <c r="J1374" s="20" t="s">
        <v>2426</v>
      </c>
      <c r="K1374" t="s">
        <v>2426</v>
      </c>
    </row>
    <row r="1375" spans="2:11" x14ac:dyDescent="0.2">
      <c r="B1375" s="21">
        <f t="shared" si="21"/>
        <v>746</v>
      </c>
      <c r="C1375" t="s">
        <v>677</v>
      </c>
      <c r="D1375" t="s">
        <v>13</v>
      </c>
      <c r="E1375" t="s">
        <v>2751</v>
      </c>
      <c r="F1375" t="s">
        <v>27</v>
      </c>
      <c r="G1375" s="21">
        <v>1</v>
      </c>
      <c r="H1375" s="21">
        <v>0</v>
      </c>
      <c r="I1375" t="s">
        <v>697</v>
      </c>
      <c r="J1375" s="20" t="s">
        <v>2427</v>
      </c>
      <c r="K1375" t="s">
        <v>2426</v>
      </c>
    </row>
    <row r="1376" spans="2:11" x14ac:dyDescent="0.2">
      <c r="B1376" s="21">
        <f t="shared" si="21"/>
        <v>745</v>
      </c>
      <c r="C1376" t="s">
        <v>32</v>
      </c>
      <c r="D1376" t="s">
        <v>13</v>
      </c>
      <c r="E1376" t="s">
        <v>2751</v>
      </c>
      <c r="F1376" t="s">
        <v>28</v>
      </c>
      <c r="G1376" s="21">
        <v>1</v>
      </c>
      <c r="H1376" s="21">
        <v>0</v>
      </c>
      <c r="J1376" s="20" t="s">
        <v>2427</v>
      </c>
      <c r="K1376" t="s">
        <v>2426</v>
      </c>
    </row>
    <row r="1377" spans="2:11" x14ac:dyDescent="0.2">
      <c r="B1377" s="21">
        <f t="shared" si="21"/>
        <v>744</v>
      </c>
      <c r="C1377" t="s">
        <v>345</v>
      </c>
      <c r="D1377" t="s">
        <v>13</v>
      </c>
      <c r="E1377" t="s">
        <v>2751</v>
      </c>
      <c r="F1377" t="s">
        <v>27</v>
      </c>
      <c r="G1377" s="21">
        <v>1</v>
      </c>
      <c r="H1377" s="21">
        <v>0</v>
      </c>
      <c r="I1377" t="s">
        <v>698</v>
      </c>
      <c r="J1377" s="20" t="s">
        <v>2427</v>
      </c>
      <c r="K1377" t="s">
        <v>2427</v>
      </c>
    </row>
    <row r="1378" spans="2:11" x14ac:dyDescent="0.2">
      <c r="B1378" s="21">
        <f t="shared" si="21"/>
        <v>743</v>
      </c>
      <c r="C1378" t="s">
        <v>701</v>
      </c>
      <c r="D1378" t="s">
        <v>13</v>
      </c>
      <c r="E1378" t="s">
        <v>2751</v>
      </c>
      <c r="F1378" t="s">
        <v>4</v>
      </c>
      <c r="G1378" s="21">
        <v>1</v>
      </c>
      <c r="H1378" s="21">
        <v>0</v>
      </c>
      <c r="I1378" t="s">
        <v>700</v>
      </c>
      <c r="J1378" s="20" t="s">
        <v>2427</v>
      </c>
      <c r="K1378" t="s">
        <v>2427</v>
      </c>
    </row>
    <row r="1379" spans="2:11" x14ac:dyDescent="0.2">
      <c r="B1379" s="21">
        <f t="shared" si="21"/>
        <v>742</v>
      </c>
      <c r="C1379" t="s">
        <v>701</v>
      </c>
      <c r="D1379" t="s">
        <v>13</v>
      </c>
      <c r="E1379" t="s">
        <v>2751</v>
      </c>
      <c r="F1379" t="s">
        <v>27</v>
      </c>
      <c r="G1379" s="21">
        <v>1</v>
      </c>
      <c r="H1379" s="21">
        <v>0</v>
      </c>
      <c r="I1379" t="s">
        <v>699</v>
      </c>
      <c r="J1379" s="20" t="s">
        <v>2427</v>
      </c>
      <c r="K1379" t="s">
        <v>2426</v>
      </c>
    </row>
    <row r="1380" spans="2:11" x14ac:dyDescent="0.2">
      <c r="B1380" s="21">
        <f t="shared" si="21"/>
        <v>741</v>
      </c>
      <c r="C1380" t="s">
        <v>677</v>
      </c>
      <c r="D1380" t="s">
        <v>13</v>
      </c>
      <c r="E1380" t="s">
        <v>2751</v>
      </c>
      <c r="F1380" t="s">
        <v>27</v>
      </c>
      <c r="G1380" s="21">
        <v>1</v>
      </c>
      <c r="H1380" s="21">
        <v>0</v>
      </c>
      <c r="I1380" t="s">
        <v>685</v>
      </c>
      <c r="J1380" s="20" t="s">
        <v>2428</v>
      </c>
      <c r="K1380" t="s">
        <v>2427</v>
      </c>
    </row>
    <row r="1381" spans="2:11" x14ac:dyDescent="0.2">
      <c r="B1381" s="21">
        <f t="shared" si="21"/>
        <v>740</v>
      </c>
      <c r="C1381" t="s">
        <v>32</v>
      </c>
      <c r="D1381" t="s">
        <v>13</v>
      </c>
      <c r="E1381" t="s">
        <v>2751</v>
      </c>
      <c r="F1381" t="s">
        <v>28</v>
      </c>
      <c r="G1381" s="21">
        <v>1</v>
      </c>
      <c r="H1381" s="21">
        <v>0</v>
      </c>
      <c r="J1381" s="20" t="s">
        <v>2428</v>
      </c>
      <c r="K1381" t="s">
        <v>2427</v>
      </c>
    </row>
    <row r="1382" spans="2:11" x14ac:dyDescent="0.2">
      <c r="B1382" s="21">
        <f t="shared" si="21"/>
        <v>739</v>
      </c>
      <c r="C1382" t="s">
        <v>540</v>
      </c>
      <c r="D1382" t="s">
        <v>13</v>
      </c>
      <c r="E1382" t="s">
        <v>2751</v>
      </c>
      <c r="F1382" t="s">
        <v>49</v>
      </c>
      <c r="G1382" s="21">
        <v>1</v>
      </c>
      <c r="H1382" s="21">
        <v>0</v>
      </c>
      <c r="I1382" t="s">
        <v>696</v>
      </c>
      <c r="J1382" s="20" t="s">
        <v>2428</v>
      </c>
      <c r="K1382" t="s">
        <v>2428</v>
      </c>
    </row>
    <row r="1383" spans="2:11" x14ac:dyDescent="0.2">
      <c r="B1383" s="21">
        <f t="shared" si="21"/>
        <v>738</v>
      </c>
      <c r="C1383" t="s">
        <v>677</v>
      </c>
      <c r="D1383" t="s">
        <v>13</v>
      </c>
      <c r="E1383" t="s">
        <v>2751</v>
      </c>
      <c r="F1383" t="s">
        <v>27</v>
      </c>
      <c r="G1383" s="21">
        <v>1</v>
      </c>
      <c r="H1383" s="21">
        <v>0</v>
      </c>
      <c r="I1383" t="s">
        <v>685</v>
      </c>
      <c r="J1383" s="20" t="s">
        <v>2429</v>
      </c>
      <c r="K1383" t="s">
        <v>2428</v>
      </c>
    </row>
    <row r="1384" spans="2:11" x14ac:dyDescent="0.2">
      <c r="B1384" s="21">
        <f t="shared" si="21"/>
        <v>737</v>
      </c>
      <c r="C1384" t="s">
        <v>32</v>
      </c>
      <c r="D1384" t="s">
        <v>13</v>
      </c>
      <c r="E1384" t="s">
        <v>2751</v>
      </c>
      <c r="F1384" t="s">
        <v>28</v>
      </c>
      <c r="G1384" s="21">
        <v>1</v>
      </c>
      <c r="H1384" s="21">
        <v>0</v>
      </c>
      <c r="I1384" t="s">
        <v>694</v>
      </c>
      <c r="J1384" s="20" t="s">
        <v>2429</v>
      </c>
      <c r="K1384" t="s">
        <v>2428</v>
      </c>
    </row>
    <row r="1385" spans="2:11" x14ac:dyDescent="0.2">
      <c r="B1385" s="21">
        <f t="shared" si="21"/>
        <v>736</v>
      </c>
      <c r="C1385" t="s">
        <v>489</v>
      </c>
      <c r="D1385" t="s">
        <v>19</v>
      </c>
      <c r="E1385" t="s">
        <v>2751</v>
      </c>
      <c r="F1385" t="s">
        <v>34</v>
      </c>
      <c r="G1385" s="21">
        <v>1</v>
      </c>
      <c r="H1385" s="21">
        <v>0</v>
      </c>
      <c r="J1385" s="20" t="s">
        <v>2429</v>
      </c>
      <c r="K1385" t="s">
        <v>2428</v>
      </c>
    </row>
    <row r="1386" spans="2:11" x14ac:dyDescent="0.2">
      <c r="B1386" s="21">
        <f t="shared" si="21"/>
        <v>735</v>
      </c>
      <c r="C1386" t="s">
        <v>148</v>
      </c>
      <c r="D1386" t="s">
        <v>13</v>
      </c>
      <c r="E1386" t="s">
        <v>2751</v>
      </c>
      <c r="F1386" t="s">
        <v>49</v>
      </c>
      <c r="G1386" s="21">
        <v>1</v>
      </c>
      <c r="H1386" s="21">
        <v>0</v>
      </c>
      <c r="I1386" t="s">
        <v>695</v>
      </c>
      <c r="J1386" s="20" t="s">
        <v>2429</v>
      </c>
      <c r="K1386" t="s">
        <v>2428</v>
      </c>
    </row>
    <row r="1387" spans="2:11" x14ac:dyDescent="0.2">
      <c r="B1387" s="21">
        <f t="shared" si="21"/>
        <v>734</v>
      </c>
      <c r="C1387" t="s">
        <v>662</v>
      </c>
      <c r="D1387" t="s">
        <v>13</v>
      </c>
      <c r="E1387" t="s">
        <v>2751</v>
      </c>
      <c r="F1387" t="s">
        <v>27</v>
      </c>
      <c r="G1387" s="21">
        <v>1</v>
      </c>
      <c r="H1387" s="21">
        <v>0</v>
      </c>
      <c r="I1387" t="s">
        <v>692</v>
      </c>
      <c r="J1387" s="20" t="s">
        <v>2430</v>
      </c>
      <c r="K1387" t="s">
        <v>2430</v>
      </c>
    </row>
    <row r="1388" spans="2:11" x14ac:dyDescent="0.2">
      <c r="B1388" s="21">
        <f t="shared" si="21"/>
        <v>733</v>
      </c>
      <c r="C1388" t="s">
        <v>677</v>
      </c>
      <c r="D1388" t="s">
        <v>13</v>
      </c>
      <c r="E1388" t="s">
        <v>2751</v>
      </c>
      <c r="F1388" t="s">
        <v>27</v>
      </c>
      <c r="G1388" s="21">
        <v>1</v>
      </c>
      <c r="H1388" s="21">
        <v>0</v>
      </c>
      <c r="I1388" t="s">
        <v>685</v>
      </c>
      <c r="J1388" s="20" t="s">
        <v>2430</v>
      </c>
      <c r="K1388" t="s">
        <v>2429</v>
      </c>
    </row>
    <row r="1389" spans="2:11" x14ac:dyDescent="0.2">
      <c r="B1389" s="21">
        <f t="shared" si="21"/>
        <v>732</v>
      </c>
      <c r="C1389" t="s">
        <v>32</v>
      </c>
      <c r="D1389" t="s">
        <v>13</v>
      </c>
      <c r="E1389" t="s">
        <v>2751</v>
      </c>
      <c r="F1389" t="s">
        <v>28</v>
      </c>
      <c r="G1389" s="21">
        <v>1</v>
      </c>
      <c r="H1389" s="21">
        <v>0</v>
      </c>
      <c r="J1389" s="20" t="s">
        <v>2430</v>
      </c>
      <c r="K1389" t="s">
        <v>2429</v>
      </c>
    </row>
    <row r="1390" spans="2:11" x14ac:dyDescent="0.2">
      <c r="B1390" s="21">
        <f t="shared" si="21"/>
        <v>731</v>
      </c>
      <c r="C1390" t="s">
        <v>687</v>
      </c>
      <c r="D1390" t="s">
        <v>13</v>
      </c>
      <c r="E1390" t="s">
        <v>2751</v>
      </c>
      <c r="F1390" t="s">
        <v>27</v>
      </c>
      <c r="G1390" s="21">
        <v>1</v>
      </c>
      <c r="H1390" s="21">
        <v>0</v>
      </c>
      <c r="I1390" t="s">
        <v>693</v>
      </c>
      <c r="J1390" s="20" t="s">
        <v>2430</v>
      </c>
      <c r="K1390" t="s">
        <v>2430</v>
      </c>
    </row>
    <row r="1391" spans="2:11" x14ac:dyDescent="0.2">
      <c r="B1391" s="21">
        <f t="shared" si="21"/>
        <v>730</v>
      </c>
      <c r="C1391" t="s">
        <v>662</v>
      </c>
      <c r="D1391" t="s">
        <v>13</v>
      </c>
      <c r="E1391" t="s">
        <v>2751</v>
      </c>
      <c r="F1391" t="s">
        <v>27</v>
      </c>
      <c r="G1391" s="21">
        <v>1</v>
      </c>
      <c r="H1391" s="21">
        <v>0</v>
      </c>
      <c r="J1391" s="20" t="s">
        <v>2431</v>
      </c>
      <c r="K1391" t="s">
        <v>2710</v>
      </c>
    </row>
    <row r="1392" spans="2:11" x14ac:dyDescent="0.2">
      <c r="B1392" s="21">
        <f t="shared" si="21"/>
        <v>729</v>
      </c>
      <c r="C1392" t="s">
        <v>677</v>
      </c>
      <c r="D1392" t="s">
        <v>13</v>
      </c>
      <c r="E1392" t="s">
        <v>2751</v>
      </c>
      <c r="F1392" t="s">
        <v>27</v>
      </c>
      <c r="G1392" s="21">
        <v>1</v>
      </c>
      <c r="H1392" s="21">
        <v>0</v>
      </c>
      <c r="I1392" t="s">
        <v>685</v>
      </c>
      <c r="J1392" s="20" t="s">
        <v>2431</v>
      </c>
      <c r="K1392" t="s">
        <v>2710</v>
      </c>
    </row>
    <row r="1393" spans="2:11" x14ac:dyDescent="0.2">
      <c r="B1393" s="21">
        <f t="shared" si="21"/>
        <v>728</v>
      </c>
      <c r="C1393" t="s">
        <v>32</v>
      </c>
      <c r="D1393" t="s">
        <v>13</v>
      </c>
      <c r="E1393" t="s">
        <v>2751</v>
      </c>
      <c r="F1393" t="s">
        <v>28</v>
      </c>
      <c r="G1393" s="21">
        <v>1</v>
      </c>
      <c r="H1393" s="21">
        <v>0</v>
      </c>
      <c r="J1393" s="20" t="s">
        <v>2431</v>
      </c>
      <c r="K1393" t="s">
        <v>2710</v>
      </c>
    </row>
    <row r="1394" spans="2:11" x14ac:dyDescent="0.2">
      <c r="B1394" s="21">
        <f t="shared" si="21"/>
        <v>727</v>
      </c>
      <c r="C1394" t="s">
        <v>151</v>
      </c>
      <c r="D1394" t="s">
        <v>13</v>
      </c>
      <c r="E1394" t="s">
        <v>2751</v>
      </c>
      <c r="F1394" t="s">
        <v>27</v>
      </c>
      <c r="G1394" s="21">
        <v>1</v>
      </c>
      <c r="H1394" s="21">
        <v>0</v>
      </c>
      <c r="I1394" t="s">
        <v>691</v>
      </c>
      <c r="J1394" s="20" t="s">
        <v>2431</v>
      </c>
      <c r="K1394" t="s">
        <v>2431</v>
      </c>
    </row>
    <row r="1395" spans="2:11" x14ac:dyDescent="0.2">
      <c r="B1395" s="21">
        <f t="shared" si="21"/>
        <v>726</v>
      </c>
      <c r="C1395" t="s">
        <v>345</v>
      </c>
      <c r="D1395" t="s">
        <v>13</v>
      </c>
      <c r="E1395" t="s">
        <v>2751</v>
      </c>
      <c r="F1395" t="s">
        <v>27</v>
      </c>
      <c r="G1395" s="21">
        <v>1</v>
      </c>
      <c r="H1395" s="21">
        <v>0</v>
      </c>
      <c r="I1395" t="s">
        <v>689</v>
      </c>
      <c r="J1395" s="20" t="s">
        <v>2432</v>
      </c>
      <c r="K1395" t="s">
        <v>2432</v>
      </c>
    </row>
    <row r="1396" spans="2:11" x14ac:dyDescent="0.2">
      <c r="B1396" s="21">
        <f t="shared" si="21"/>
        <v>725</v>
      </c>
      <c r="C1396" t="s">
        <v>662</v>
      </c>
      <c r="D1396" t="s">
        <v>13</v>
      </c>
      <c r="E1396" t="s">
        <v>2751</v>
      </c>
      <c r="F1396" t="s">
        <v>27</v>
      </c>
      <c r="G1396" s="21">
        <v>1</v>
      </c>
      <c r="H1396" s="21">
        <v>0</v>
      </c>
      <c r="J1396" s="20" t="s">
        <v>2432</v>
      </c>
      <c r="K1396" t="s">
        <v>2431</v>
      </c>
    </row>
    <row r="1397" spans="2:11" x14ac:dyDescent="0.2">
      <c r="B1397" s="21">
        <f t="shared" si="21"/>
        <v>724</v>
      </c>
      <c r="C1397" t="s">
        <v>677</v>
      </c>
      <c r="D1397" t="s">
        <v>13</v>
      </c>
      <c r="E1397" t="s">
        <v>2751</v>
      </c>
      <c r="F1397" t="s">
        <v>27</v>
      </c>
      <c r="G1397" s="21">
        <v>1</v>
      </c>
      <c r="H1397" s="21">
        <v>0</v>
      </c>
      <c r="I1397" t="s">
        <v>685</v>
      </c>
      <c r="J1397" s="20" t="s">
        <v>2432</v>
      </c>
      <c r="K1397" t="s">
        <v>2431</v>
      </c>
    </row>
    <row r="1398" spans="2:11" x14ac:dyDescent="0.2">
      <c r="B1398" s="21">
        <f t="shared" si="21"/>
        <v>723</v>
      </c>
      <c r="C1398" t="s">
        <v>32</v>
      </c>
      <c r="D1398" t="s">
        <v>13</v>
      </c>
      <c r="E1398" t="s">
        <v>2751</v>
      </c>
      <c r="F1398" t="s">
        <v>28</v>
      </c>
      <c r="G1398" s="21">
        <v>1</v>
      </c>
      <c r="H1398" s="21">
        <v>0</v>
      </c>
      <c r="J1398" s="20" t="s">
        <v>2432</v>
      </c>
      <c r="K1398" t="s">
        <v>2431</v>
      </c>
    </row>
    <row r="1399" spans="2:11" x14ac:dyDescent="0.2">
      <c r="B1399" s="21">
        <f t="shared" si="21"/>
        <v>722</v>
      </c>
      <c r="C1399" t="s">
        <v>540</v>
      </c>
      <c r="D1399" t="s">
        <v>13</v>
      </c>
      <c r="E1399" t="s">
        <v>2751</v>
      </c>
      <c r="F1399" t="s">
        <v>27</v>
      </c>
      <c r="G1399" s="21">
        <v>1</v>
      </c>
      <c r="H1399" s="21">
        <v>0</v>
      </c>
      <c r="I1399" t="s">
        <v>688</v>
      </c>
      <c r="J1399" s="20" t="s">
        <v>2432</v>
      </c>
      <c r="K1399" t="s">
        <v>2432</v>
      </c>
    </row>
    <row r="1400" spans="2:11" x14ac:dyDescent="0.2">
      <c r="B1400" s="21">
        <f t="shared" si="21"/>
        <v>721</v>
      </c>
      <c r="C1400" t="s">
        <v>687</v>
      </c>
      <c r="D1400" t="s">
        <v>13</v>
      </c>
      <c r="E1400" t="s">
        <v>2751</v>
      </c>
      <c r="F1400" t="s">
        <v>27</v>
      </c>
      <c r="G1400" s="21">
        <v>1</v>
      </c>
      <c r="H1400" s="21">
        <v>0</v>
      </c>
      <c r="I1400" t="s">
        <v>690</v>
      </c>
      <c r="J1400" s="20" t="s">
        <v>2432</v>
      </c>
      <c r="K1400" t="s">
        <v>2432</v>
      </c>
    </row>
    <row r="1401" spans="2:11" x14ac:dyDescent="0.2">
      <c r="B1401" s="21">
        <f t="shared" si="21"/>
        <v>720</v>
      </c>
      <c r="C1401" t="s">
        <v>345</v>
      </c>
      <c r="D1401" t="s">
        <v>13</v>
      </c>
      <c r="E1401" t="s">
        <v>2751</v>
      </c>
      <c r="F1401" t="s">
        <v>4</v>
      </c>
      <c r="G1401" s="21">
        <v>1</v>
      </c>
      <c r="H1401" s="21">
        <v>0</v>
      </c>
      <c r="I1401" t="s">
        <v>683</v>
      </c>
      <c r="J1401" s="20" t="s">
        <v>2433</v>
      </c>
      <c r="K1401" t="s">
        <v>2433</v>
      </c>
    </row>
    <row r="1402" spans="2:11" x14ac:dyDescent="0.2">
      <c r="B1402" s="21">
        <f t="shared" si="21"/>
        <v>719</v>
      </c>
      <c r="C1402" t="s">
        <v>345</v>
      </c>
      <c r="D1402" t="s">
        <v>13</v>
      </c>
      <c r="E1402" t="s">
        <v>2751</v>
      </c>
      <c r="F1402" t="s">
        <v>27</v>
      </c>
      <c r="G1402" s="21">
        <v>1</v>
      </c>
      <c r="H1402" s="21">
        <v>0</v>
      </c>
      <c r="I1402" t="s">
        <v>684</v>
      </c>
      <c r="J1402" s="20" t="s">
        <v>2433</v>
      </c>
      <c r="K1402" t="s">
        <v>2432</v>
      </c>
    </row>
    <row r="1403" spans="2:11" x14ac:dyDescent="0.2">
      <c r="B1403" s="21">
        <f t="shared" si="21"/>
        <v>718</v>
      </c>
      <c r="C1403" t="s">
        <v>662</v>
      </c>
      <c r="D1403" t="s">
        <v>13</v>
      </c>
      <c r="E1403" t="s">
        <v>2751</v>
      </c>
      <c r="F1403" t="s">
        <v>27</v>
      </c>
      <c r="G1403" s="21">
        <v>1</v>
      </c>
      <c r="H1403" s="21">
        <v>0</v>
      </c>
      <c r="J1403" s="20" t="s">
        <v>2433</v>
      </c>
      <c r="K1403" t="s">
        <v>2432</v>
      </c>
    </row>
    <row r="1404" spans="2:11" x14ac:dyDescent="0.2">
      <c r="B1404" s="21">
        <f t="shared" si="21"/>
        <v>717</v>
      </c>
      <c r="C1404" t="s">
        <v>677</v>
      </c>
      <c r="D1404" t="s">
        <v>13</v>
      </c>
      <c r="E1404" t="s">
        <v>2751</v>
      </c>
      <c r="F1404" t="s">
        <v>27</v>
      </c>
      <c r="G1404" s="21">
        <v>1</v>
      </c>
      <c r="H1404" s="21">
        <v>0</v>
      </c>
      <c r="I1404" t="s">
        <v>685</v>
      </c>
      <c r="J1404" s="20" t="s">
        <v>2433</v>
      </c>
      <c r="K1404" t="s">
        <v>2432</v>
      </c>
    </row>
    <row r="1405" spans="2:11" x14ac:dyDescent="0.2">
      <c r="B1405" s="21">
        <f t="shared" si="21"/>
        <v>716</v>
      </c>
      <c r="C1405" t="s">
        <v>32</v>
      </c>
      <c r="D1405" t="s">
        <v>13</v>
      </c>
      <c r="E1405" t="s">
        <v>2751</v>
      </c>
      <c r="F1405" t="s">
        <v>28</v>
      </c>
      <c r="G1405" s="21">
        <v>1</v>
      </c>
      <c r="H1405" s="21">
        <v>0</v>
      </c>
      <c r="J1405" s="20" t="s">
        <v>2433</v>
      </c>
      <c r="K1405" t="s">
        <v>2432</v>
      </c>
    </row>
    <row r="1406" spans="2:11" x14ac:dyDescent="0.2">
      <c r="B1406" s="21">
        <f t="shared" si="21"/>
        <v>715</v>
      </c>
      <c r="C1406" t="s">
        <v>151</v>
      </c>
      <c r="D1406" t="s">
        <v>13</v>
      </c>
      <c r="E1406" t="s">
        <v>2751</v>
      </c>
      <c r="F1406" t="s">
        <v>27</v>
      </c>
      <c r="G1406" s="21">
        <v>1</v>
      </c>
      <c r="H1406" s="21">
        <v>0</v>
      </c>
      <c r="I1406" t="s">
        <v>686</v>
      </c>
      <c r="J1406" s="20" t="s">
        <v>2433</v>
      </c>
      <c r="K1406" t="s">
        <v>2433</v>
      </c>
    </row>
    <row r="1407" spans="2:11" x14ac:dyDescent="0.2">
      <c r="B1407" s="21">
        <f t="shared" si="21"/>
        <v>714</v>
      </c>
      <c r="C1407" t="s">
        <v>345</v>
      </c>
      <c r="D1407" t="s">
        <v>13</v>
      </c>
      <c r="E1407" t="s">
        <v>2751</v>
      </c>
      <c r="F1407" t="s">
        <v>27</v>
      </c>
      <c r="G1407" s="21">
        <v>1</v>
      </c>
      <c r="H1407" s="21">
        <v>0</v>
      </c>
      <c r="I1407" t="s">
        <v>682</v>
      </c>
      <c r="J1407" s="20" t="s">
        <v>2434</v>
      </c>
      <c r="K1407" t="s">
        <v>2433</v>
      </c>
    </row>
    <row r="1408" spans="2:11" x14ac:dyDescent="0.2">
      <c r="B1408" s="21">
        <f t="shared" si="21"/>
        <v>713</v>
      </c>
      <c r="C1408" t="s">
        <v>677</v>
      </c>
      <c r="D1408" t="s">
        <v>13</v>
      </c>
      <c r="E1408" t="s">
        <v>2751</v>
      </c>
      <c r="F1408" t="s">
        <v>27</v>
      </c>
      <c r="G1408" s="21">
        <v>1</v>
      </c>
      <c r="H1408" s="21">
        <v>0</v>
      </c>
      <c r="I1408" t="s">
        <v>680</v>
      </c>
      <c r="J1408" s="20" t="s">
        <v>2434</v>
      </c>
      <c r="K1408" t="s">
        <v>2433</v>
      </c>
    </row>
    <row r="1409" spans="2:11" x14ac:dyDescent="0.2">
      <c r="B1409" s="21">
        <f t="shared" si="21"/>
        <v>712</v>
      </c>
      <c r="C1409" t="s">
        <v>32</v>
      </c>
      <c r="D1409" t="s">
        <v>13</v>
      </c>
      <c r="E1409" t="s">
        <v>2751</v>
      </c>
      <c r="F1409" t="s">
        <v>28</v>
      </c>
      <c r="G1409" s="21">
        <v>1</v>
      </c>
      <c r="H1409" s="21">
        <v>0</v>
      </c>
      <c r="I1409" t="s">
        <v>681</v>
      </c>
      <c r="J1409" s="20" t="s">
        <v>2434</v>
      </c>
      <c r="K1409" t="s">
        <v>2433</v>
      </c>
    </row>
    <row r="1410" spans="2:11" x14ac:dyDescent="0.2">
      <c r="B1410" s="21">
        <f t="shared" si="21"/>
        <v>711</v>
      </c>
      <c r="C1410" t="s">
        <v>662</v>
      </c>
      <c r="D1410" t="s">
        <v>13</v>
      </c>
      <c r="E1410" t="s">
        <v>2751</v>
      </c>
      <c r="F1410" t="s">
        <v>27</v>
      </c>
      <c r="G1410" s="21">
        <v>1</v>
      </c>
      <c r="H1410" s="21">
        <v>0</v>
      </c>
      <c r="I1410" t="s">
        <v>679</v>
      </c>
      <c r="J1410" s="20" t="s">
        <v>2434</v>
      </c>
      <c r="K1410" t="s">
        <v>2434</v>
      </c>
    </row>
    <row r="1411" spans="2:11" x14ac:dyDescent="0.2">
      <c r="B1411" s="21">
        <f t="shared" si="21"/>
        <v>710</v>
      </c>
      <c r="C1411" t="s">
        <v>345</v>
      </c>
      <c r="D1411" t="s">
        <v>13</v>
      </c>
      <c r="E1411" t="s">
        <v>2751</v>
      </c>
      <c r="F1411" t="s">
        <v>27</v>
      </c>
      <c r="G1411" s="21">
        <v>1</v>
      </c>
      <c r="H1411" s="21">
        <v>0</v>
      </c>
      <c r="J1411" s="20" t="s">
        <v>2435</v>
      </c>
      <c r="K1411" t="s">
        <v>2434</v>
      </c>
    </row>
    <row r="1412" spans="2:11" x14ac:dyDescent="0.2">
      <c r="B1412" s="21">
        <f t="shared" si="21"/>
        <v>709</v>
      </c>
      <c r="C1412" t="s">
        <v>677</v>
      </c>
      <c r="D1412" t="s">
        <v>13</v>
      </c>
      <c r="E1412" t="s">
        <v>2751</v>
      </c>
      <c r="F1412" t="s">
        <v>27</v>
      </c>
      <c r="G1412" s="21">
        <v>1</v>
      </c>
      <c r="H1412" s="21">
        <v>0</v>
      </c>
      <c r="J1412" s="20" t="s">
        <v>2435</v>
      </c>
      <c r="K1412" t="s">
        <v>2434</v>
      </c>
    </row>
    <row r="1413" spans="2:11" x14ac:dyDescent="0.2">
      <c r="B1413" s="21">
        <f t="shared" ref="B1413:B1476" si="22">B1412-1</f>
        <v>708</v>
      </c>
      <c r="C1413" t="s">
        <v>32</v>
      </c>
      <c r="D1413" t="s">
        <v>13</v>
      </c>
      <c r="E1413" t="s">
        <v>2751</v>
      </c>
      <c r="F1413" t="s">
        <v>49</v>
      </c>
      <c r="G1413" s="21">
        <v>1</v>
      </c>
      <c r="H1413" s="21">
        <v>0</v>
      </c>
      <c r="I1413" t="s">
        <v>678</v>
      </c>
      <c r="J1413" s="20" t="s">
        <v>2435</v>
      </c>
      <c r="K1413" t="s">
        <v>2434</v>
      </c>
    </row>
    <row r="1414" spans="2:11" x14ac:dyDescent="0.2">
      <c r="B1414" s="21">
        <f t="shared" si="22"/>
        <v>707</v>
      </c>
      <c r="C1414" t="s">
        <v>616</v>
      </c>
      <c r="D1414" t="s">
        <v>13</v>
      </c>
      <c r="E1414" t="s">
        <v>2751</v>
      </c>
      <c r="F1414" t="s">
        <v>27</v>
      </c>
      <c r="G1414" s="21">
        <v>1</v>
      </c>
      <c r="H1414" s="21">
        <v>0</v>
      </c>
      <c r="I1414" t="s">
        <v>674</v>
      </c>
      <c r="J1414" s="20" t="s">
        <v>2436</v>
      </c>
      <c r="K1414" t="s">
        <v>2436</v>
      </c>
    </row>
    <row r="1415" spans="2:11" x14ac:dyDescent="0.2">
      <c r="B1415" s="21">
        <f t="shared" si="22"/>
        <v>706</v>
      </c>
      <c r="C1415" t="s">
        <v>297</v>
      </c>
      <c r="D1415" t="s">
        <v>13</v>
      </c>
      <c r="E1415" t="s">
        <v>2751</v>
      </c>
      <c r="F1415" t="s">
        <v>27</v>
      </c>
      <c r="G1415" s="21">
        <v>1</v>
      </c>
      <c r="H1415" s="21">
        <v>0</v>
      </c>
      <c r="I1415" t="s">
        <v>673</v>
      </c>
      <c r="J1415" s="20" t="s">
        <v>2436</v>
      </c>
      <c r="K1415" t="s">
        <v>2436</v>
      </c>
    </row>
    <row r="1416" spans="2:11" x14ac:dyDescent="0.2">
      <c r="B1416" s="21">
        <f t="shared" si="22"/>
        <v>705</v>
      </c>
      <c r="C1416" t="s">
        <v>616</v>
      </c>
      <c r="D1416" t="s">
        <v>13</v>
      </c>
      <c r="E1416" t="s">
        <v>2751</v>
      </c>
      <c r="F1416" t="s">
        <v>27</v>
      </c>
      <c r="G1416" s="21">
        <v>1</v>
      </c>
      <c r="H1416" s="21">
        <v>0</v>
      </c>
      <c r="I1416" t="s">
        <v>675</v>
      </c>
      <c r="J1416" s="20" t="s">
        <v>2436</v>
      </c>
      <c r="K1416" t="s">
        <v>2436</v>
      </c>
    </row>
    <row r="1417" spans="2:11" x14ac:dyDescent="0.2">
      <c r="B1417" s="21">
        <f t="shared" si="22"/>
        <v>704</v>
      </c>
      <c r="C1417" t="s">
        <v>616</v>
      </c>
      <c r="D1417" t="s">
        <v>13</v>
      </c>
      <c r="E1417" t="s">
        <v>2751</v>
      </c>
      <c r="F1417" t="s">
        <v>27</v>
      </c>
      <c r="G1417" s="21">
        <v>1</v>
      </c>
      <c r="H1417" s="21">
        <v>0</v>
      </c>
      <c r="I1417" t="s">
        <v>676</v>
      </c>
      <c r="J1417" s="20" t="s">
        <v>2436</v>
      </c>
      <c r="K1417" t="s">
        <v>2436</v>
      </c>
    </row>
    <row r="1418" spans="2:11" x14ac:dyDescent="0.2">
      <c r="B1418" s="21">
        <f t="shared" si="22"/>
        <v>703</v>
      </c>
      <c r="C1418" t="s">
        <v>658</v>
      </c>
      <c r="D1418" t="s">
        <v>13</v>
      </c>
      <c r="E1418" t="s">
        <v>2751</v>
      </c>
      <c r="F1418" t="s">
        <v>27</v>
      </c>
      <c r="G1418" s="21">
        <v>1</v>
      </c>
      <c r="H1418" s="21">
        <v>0</v>
      </c>
      <c r="I1418" t="s">
        <v>671</v>
      </c>
      <c r="J1418" s="20" t="s">
        <v>2437</v>
      </c>
      <c r="K1418" t="s">
        <v>2437</v>
      </c>
    </row>
    <row r="1419" spans="2:11" x14ac:dyDescent="0.2">
      <c r="B1419" s="21">
        <f t="shared" si="22"/>
        <v>702</v>
      </c>
      <c r="C1419" t="s">
        <v>662</v>
      </c>
      <c r="D1419" t="s">
        <v>13</v>
      </c>
      <c r="E1419" t="s">
        <v>2751</v>
      </c>
      <c r="F1419" t="s">
        <v>27</v>
      </c>
      <c r="G1419" s="21">
        <v>1</v>
      </c>
      <c r="H1419" s="21">
        <v>0</v>
      </c>
      <c r="I1419" t="s">
        <v>672</v>
      </c>
      <c r="J1419" s="20" t="s">
        <v>2437</v>
      </c>
      <c r="K1419" t="s">
        <v>2437</v>
      </c>
    </row>
    <row r="1420" spans="2:11" x14ac:dyDescent="0.2">
      <c r="B1420" s="21">
        <f t="shared" si="22"/>
        <v>701</v>
      </c>
      <c r="C1420" t="s">
        <v>365</v>
      </c>
      <c r="D1420" t="s">
        <v>13</v>
      </c>
      <c r="E1420" t="s">
        <v>2751</v>
      </c>
      <c r="F1420" t="s">
        <v>8</v>
      </c>
      <c r="G1420" s="21">
        <v>1</v>
      </c>
      <c r="H1420" s="21">
        <v>0</v>
      </c>
      <c r="I1420" t="s">
        <v>670</v>
      </c>
      <c r="J1420" s="20" t="s">
        <v>2437</v>
      </c>
      <c r="K1420" t="s">
        <v>2437</v>
      </c>
    </row>
    <row r="1421" spans="2:11" x14ac:dyDescent="0.2">
      <c r="B1421" s="21">
        <f t="shared" si="22"/>
        <v>700</v>
      </c>
      <c r="C1421" t="s">
        <v>658</v>
      </c>
      <c r="D1421" t="s">
        <v>13</v>
      </c>
      <c r="E1421" t="s">
        <v>2751</v>
      </c>
      <c r="F1421" t="s">
        <v>27</v>
      </c>
      <c r="G1421" s="21">
        <v>1</v>
      </c>
      <c r="H1421" s="21">
        <v>0</v>
      </c>
      <c r="I1421" t="s">
        <v>667</v>
      </c>
      <c r="J1421" s="20" t="s">
        <v>2438</v>
      </c>
      <c r="K1421" t="s">
        <v>2437</v>
      </c>
    </row>
    <row r="1422" spans="2:11" x14ac:dyDescent="0.2">
      <c r="B1422" s="21">
        <f t="shared" si="22"/>
        <v>699</v>
      </c>
      <c r="C1422" t="s">
        <v>662</v>
      </c>
      <c r="D1422" t="s">
        <v>13</v>
      </c>
      <c r="E1422" t="s">
        <v>2751</v>
      </c>
      <c r="F1422" t="s">
        <v>27</v>
      </c>
      <c r="G1422" s="21">
        <v>1</v>
      </c>
      <c r="H1422" s="21">
        <v>0</v>
      </c>
      <c r="I1422" t="s">
        <v>668</v>
      </c>
      <c r="J1422" s="20" t="s">
        <v>2438</v>
      </c>
      <c r="K1422" t="s">
        <v>2437</v>
      </c>
    </row>
    <row r="1423" spans="2:11" x14ac:dyDescent="0.2">
      <c r="B1423" s="21">
        <f t="shared" si="22"/>
        <v>698</v>
      </c>
      <c r="C1423" t="s">
        <v>654</v>
      </c>
      <c r="D1423" t="s">
        <v>13</v>
      </c>
      <c r="E1423" t="s">
        <v>2751</v>
      </c>
      <c r="F1423" t="s">
        <v>27</v>
      </c>
      <c r="G1423" s="21">
        <v>1</v>
      </c>
      <c r="H1423" s="21">
        <v>0</v>
      </c>
      <c r="I1423" t="s">
        <v>669</v>
      </c>
      <c r="J1423" s="20" t="s">
        <v>2438</v>
      </c>
      <c r="K1423" t="s">
        <v>2438</v>
      </c>
    </row>
    <row r="1424" spans="2:11" x14ac:dyDescent="0.2">
      <c r="B1424" s="21">
        <f t="shared" si="22"/>
        <v>697</v>
      </c>
      <c r="C1424" t="s">
        <v>658</v>
      </c>
      <c r="D1424" t="s">
        <v>13</v>
      </c>
      <c r="E1424" t="s">
        <v>2751</v>
      </c>
      <c r="F1424" t="s">
        <v>27</v>
      </c>
      <c r="G1424" s="21">
        <v>1</v>
      </c>
      <c r="H1424" s="21">
        <v>0</v>
      </c>
      <c r="I1424" t="s">
        <v>665</v>
      </c>
      <c r="J1424" s="20" t="s">
        <v>2439</v>
      </c>
      <c r="K1424" t="s">
        <v>2438</v>
      </c>
    </row>
    <row r="1425" spans="2:11" x14ac:dyDescent="0.2">
      <c r="B1425" s="21">
        <f t="shared" si="22"/>
        <v>696</v>
      </c>
      <c r="C1425" t="s">
        <v>662</v>
      </c>
      <c r="D1425" t="s">
        <v>13</v>
      </c>
      <c r="E1425" t="s">
        <v>2751</v>
      </c>
      <c r="F1425" t="s">
        <v>27</v>
      </c>
      <c r="G1425" s="21">
        <v>1</v>
      </c>
      <c r="H1425" s="21">
        <v>0</v>
      </c>
      <c r="J1425" s="20" t="s">
        <v>2439</v>
      </c>
      <c r="K1425" t="s">
        <v>2438</v>
      </c>
    </row>
    <row r="1426" spans="2:11" x14ac:dyDescent="0.2">
      <c r="B1426" s="21">
        <f t="shared" si="22"/>
        <v>695</v>
      </c>
      <c r="C1426" t="s">
        <v>662</v>
      </c>
      <c r="D1426" t="s">
        <v>13</v>
      </c>
      <c r="E1426" t="s">
        <v>2751</v>
      </c>
      <c r="F1426" t="s">
        <v>4</v>
      </c>
      <c r="G1426" s="21">
        <v>1</v>
      </c>
      <c r="H1426" s="21">
        <v>0</v>
      </c>
      <c r="I1426" t="s">
        <v>664</v>
      </c>
      <c r="J1426" s="20" t="s">
        <v>2439</v>
      </c>
      <c r="K1426" t="s">
        <v>2439</v>
      </c>
    </row>
    <row r="1427" spans="2:11" x14ac:dyDescent="0.2">
      <c r="B1427" s="21">
        <f t="shared" si="22"/>
        <v>694</v>
      </c>
      <c r="C1427" t="s">
        <v>654</v>
      </c>
      <c r="D1427" t="s">
        <v>13</v>
      </c>
      <c r="E1427" t="s">
        <v>2751</v>
      </c>
      <c r="F1427" t="s">
        <v>27</v>
      </c>
      <c r="G1427" s="21">
        <v>1</v>
      </c>
      <c r="H1427" s="21">
        <v>0</v>
      </c>
      <c r="I1427" t="s">
        <v>663</v>
      </c>
      <c r="J1427" s="20" t="s">
        <v>2439</v>
      </c>
      <c r="K1427" t="s">
        <v>2438</v>
      </c>
    </row>
    <row r="1428" spans="2:11" x14ac:dyDescent="0.2">
      <c r="B1428" s="21">
        <f t="shared" si="22"/>
        <v>693</v>
      </c>
      <c r="C1428" t="s">
        <v>654</v>
      </c>
      <c r="D1428" t="s">
        <v>13</v>
      </c>
      <c r="E1428" t="s">
        <v>2751</v>
      </c>
      <c r="F1428" t="s">
        <v>27</v>
      </c>
      <c r="G1428" s="21">
        <v>1</v>
      </c>
      <c r="H1428" s="21">
        <v>0</v>
      </c>
      <c r="I1428" t="s">
        <v>661</v>
      </c>
      <c r="J1428" s="20" t="s">
        <v>2440</v>
      </c>
      <c r="K1428" t="s">
        <v>2440</v>
      </c>
    </row>
    <row r="1429" spans="2:11" x14ac:dyDescent="0.2">
      <c r="B1429" s="21">
        <f t="shared" si="22"/>
        <v>692</v>
      </c>
      <c r="C1429" t="s">
        <v>365</v>
      </c>
      <c r="D1429" t="s">
        <v>13</v>
      </c>
      <c r="E1429" t="s">
        <v>2751</v>
      </c>
      <c r="F1429" t="s">
        <v>8</v>
      </c>
      <c r="G1429" s="21">
        <v>1</v>
      </c>
      <c r="H1429" s="21">
        <v>0</v>
      </c>
      <c r="I1429" t="s">
        <v>659</v>
      </c>
      <c r="J1429" s="20" t="s">
        <v>2440</v>
      </c>
      <c r="K1429" t="s">
        <v>2440</v>
      </c>
    </row>
    <row r="1430" spans="2:11" x14ac:dyDescent="0.2">
      <c r="B1430" s="21">
        <f t="shared" si="22"/>
        <v>691</v>
      </c>
      <c r="C1430" t="s">
        <v>658</v>
      </c>
      <c r="D1430" t="s">
        <v>13</v>
      </c>
      <c r="E1430" t="s">
        <v>2751</v>
      </c>
      <c r="F1430" t="s">
        <v>27</v>
      </c>
      <c r="G1430" s="21">
        <v>1</v>
      </c>
      <c r="H1430" s="21">
        <v>0</v>
      </c>
      <c r="I1430" t="s">
        <v>660</v>
      </c>
      <c r="J1430" s="20" t="s">
        <v>2440</v>
      </c>
      <c r="K1430" t="s">
        <v>2439</v>
      </c>
    </row>
    <row r="1431" spans="2:11" x14ac:dyDescent="0.2">
      <c r="B1431" s="21">
        <f t="shared" si="22"/>
        <v>690</v>
      </c>
      <c r="C1431" t="s">
        <v>65</v>
      </c>
      <c r="D1431" t="s">
        <v>14</v>
      </c>
      <c r="E1431" t="s">
        <v>2751</v>
      </c>
      <c r="F1431" t="s">
        <v>8</v>
      </c>
      <c r="G1431" s="21">
        <v>1</v>
      </c>
      <c r="H1431" s="21">
        <v>0</v>
      </c>
      <c r="I1431" t="s">
        <v>666</v>
      </c>
      <c r="J1431" s="20" t="s">
        <v>2440</v>
      </c>
      <c r="K1431" t="s">
        <v>2440</v>
      </c>
    </row>
    <row r="1432" spans="2:11" x14ac:dyDescent="0.2">
      <c r="B1432" s="21">
        <f t="shared" si="22"/>
        <v>689</v>
      </c>
      <c r="C1432" t="s">
        <v>662</v>
      </c>
      <c r="D1432" t="s">
        <v>13</v>
      </c>
      <c r="E1432" t="s">
        <v>2751</v>
      </c>
      <c r="F1432" t="s">
        <v>27</v>
      </c>
      <c r="G1432" s="21">
        <v>1</v>
      </c>
      <c r="H1432" s="21">
        <v>0</v>
      </c>
      <c r="J1432" s="20" t="s">
        <v>2440</v>
      </c>
      <c r="K1432" t="s">
        <v>2439</v>
      </c>
    </row>
    <row r="1433" spans="2:11" x14ac:dyDescent="0.2">
      <c r="B1433" s="21">
        <f t="shared" si="22"/>
        <v>688</v>
      </c>
      <c r="C1433" t="s">
        <v>627</v>
      </c>
      <c r="D1433" t="s">
        <v>14</v>
      </c>
      <c r="E1433" t="s">
        <v>2751</v>
      </c>
      <c r="F1433" t="s">
        <v>27</v>
      </c>
      <c r="G1433" s="21">
        <v>1</v>
      </c>
      <c r="H1433" s="21">
        <v>0</v>
      </c>
      <c r="I1433" t="s">
        <v>655</v>
      </c>
      <c r="J1433" s="20" t="s">
        <v>2441</v>
      </c>
      <c r="K1433" t="s">
        <v>2441</v>
      </c>
    </row>
    <row r="1434" spans="2:11" x14ac:dyDescent="0.2">
      <c r="B1434" s="21">
        <f t="shared" si="22"/>
        <v>687</v>
      </c>
      <c r="C1434" t="s">
        <v>654</v>
      </c>
      <c r="D1434" t="s">
        <v>13</v>
      </c>
      <c r="E1434" t="s">
        <v>2751</v>
      </c>
      <c r="F1434" t="s">
        <v>27</v>
      </c>
      <c r="G1434" s="21">
        <v>1</v>
      </c>
      <c r="H1434" s="21">
        <v>0</v>
      </c>
      <c r="I1434" t="s">
        <v>657</v>
      </c>
      <c r="J1434" s="20" t="s">
        <v>2441</v>
      </c>
      <c r="K1434" t="s">
        <v>2441</v>
      </c>
    </row>
    <row r="1435" spans="2:11" x14ac:dyDescent="0.2">
      <c r="B1435" s="21">
        <f t="shared" si="22"/>
        <v>686</v>
      </c>
      <c r="C1435" t="s">
        <v>235</v>
      </c>
      <c r="D1435" t="s">
        <v>13</v>
      </c>
      <c r="E1435" t="s">
        <v>2751</v>
      </c>
      <c r="F1435" t="s">
        <v>46</v>
      </c>
      <c r="G1435" s="21">
        <v>1</v>
      </c>
      <c r="H1435" s="21">
        <v>0</v>
      </c>
      <c r="I1435" t="s">
        <v>656</v>
      </c>
      <c r="J1435" s="20" t="s">
        <v>2441</v>
      </c>
      <c r="K1435" t="s">
        <v>2441</v>
      </c>
    </row>
    <row r="1436" spans="2:11" x14ac:dyDescent="0.2">
      <c r="B1436" s="21">
        <f t="shared" si="22"/>
        <v>685</v>
      </c>
      <c r="C1436" t="s">
        <v>151</v>
      </c>
      <c r="D1436" t="s">
        <v>13</v>
      </c>
      <c r="E1436" t="s">
        <v>2751</v>
      </c>
      <c r="F1436" t="s">
        <v>42</v>
      </c>
      <c r="G1436" s="21">
        <v>1</v>
      </c>
      <c r="H1436" s="21">
        <v>0</v>
      </c>
      <c r="I1436" t="s">
        <v>651</v>
      </c>
      <c r="J1436" s="20" t="s">
        <v>2442</v>
      </c>
      <c r="K1436" t="s">
        <v>2442</v>
      </c>
    </row>
    <row r="1437" spans="2:11" x14ac:dyDescent="0.2">
      <c r="B1437" s="21">
        <f t="shared" si="22"/>
        <v>684</v>
      </c>
      <c r="C1437" t="s">
        <v>365</v>
      </c>
      <c r="D1437" t="s">
        <v>13</v>
      </c>
      <c r="E1437" t="s">
        <v>2751</v>
      </c>
      <c r="F1437" t="s">
        <v>8</v>
      </c>
      <c r="G1437" s="21">
        <v>1</v>
      </c>
      <c r="H1437" s="21">
        <v>0</v>
      </c>
      <c r="I1437" t="s">
        <v>649</v>
      </c>
      <c r="J1437" s="20" t="s">
        <v>2442</v>
      </c>
      <c r="K1437" t="s">
        <v>2442</v>
      </c>
    </row>
    <row r="1438" spans="2:11" x14ac:dyDescent="0.2">
      <c r="B1438" s="21">
        <f t="shared" si="22"/>
        <v>683</v>
      </c>
      <c r="C1438" t="s">
        <v>627</v>
      </c>
      <c r="D1438" t="s">
        <v>14</v>
      </c>
      <c r="E1438" t="s">
        <v>2751</v>
      </c>
      <c r="F1438" t="s">
        <v>27</v>
      </c>
      <c r="G1438" s="21">
        <v>1</v>
      </c>
      <c r="H1438" s="21">
        <v>0</v>
      </c>
      <c r="J1438" s="20" t="s">
        <v>2442</v>
      </c>
      <c r="K1438" t="s">
        <v>2441</v>
      </c>
    </row>
    <row r="1439" spans="2:11" x14ac:dyDescent="0.2">
      <c r="B1439" s="21">
        <f t="shared" si="22"/>
        <v>682</v>
      </c>
      <c r="C1439" t="s">
        <v>616</v>
      </c>
      <c r="D1439" t="s">
        <v>13</v>
      </c>
      <c r="E1439" t="s">
        <v>2751</v>
      </c>
      <c r="F1439" t="s">
        <v>27</v>
      </c>
      <c r="G1439" s="21">
        <v>1</v>
      </c>
      <c r="H1439" s="21">
        <v>0</v>
      </c>
      <c r="I1439" t="s">
        <v>652</v>
      </c>
      <c r="J1439" s="20" t="s">
        <v>2442</v>
      </c>
      <c r="K1439" t="s">
        <v>2442</v>
      </c>
    </row>
    <row r="1440" spans="2:11" x14ac:dyDescent="0.2">
      <c r="B1440" s="21">
        <f t="shared" si="22"/>
        <v>681</v>
      </c>
      <c r="C1440" t="s">
        <v>616</v>
      </c>
      <c r="D1440" t="s">
        <v>13</v>
      </c>
      <c r="E1440" t="s">
        <v>2751</v>
      </c>
      <c r="F1440" t="s">
        <v>21</v>
      </c>
      <c r="G1440" s="21">
        <v>1</v>
      </c>
      <c r="H1440" s="21">
        <v>0</v>
      </c>
      <c r="I1440" t="s">
        <v>650</v>
      </c>
      <c r="J1440" s="20" t="s">
        <v>2442</v>
      </c>
      <c r="K1440" t="s">
        <v>2442</v>
      </c>
    </row>
    <row r="1441" spans="2:11" x14ac:dyDescent="0.2">
      <c r="B1441" s="21">
        <f t="shared" si="22"/>
        <v>680</v>
      </c>
      <c r="C1441" t="s">
        <v>220</v>
      </c>
      <c r="D1441" t="s">
        <v>13</v>
      </c>
      <c r="E1441" t="s">
        <v>2751</v>
      </c>
      <c r="F1441" t="s">
        <v>49</v>
      </c>
      <c r="G1441" s="21">
        <v>1</v>
      </c>
      <c r="H1441" s="21">
        <v>0</v>
      </c>
      <c r="I1441" t="s">
        <v>653</v>
      </c>
      <c r="J1441" s="20" t="s">
        <v>2442</v>
      </c>
      <c r="K1441" t="s">
        <v>2442</v>
      </c>
    </row>
    <row r="1442" spans="2:11" x14ac:dyDescent="0.2">
      <c r="B1442" s="21">
        <f t="shared" si="22"/>
        <v>679</v>
      </c>
      <c r="C1442" t="s">
        <v>235</v>
      </c>
      <c r="D1442" t="s">
        <v>13</v>
      </c>
      <c r="E1442" t="s">
        <v>2751</v>
      </c>
      <c r="F1442" t="s">
        <v>27</v>
      </c>
      <c r="G1442" s="21">
        <v>1</v>
      </c>
      <c r="H1442" s="21">
        <v>0</v>
      </c>
      <c r="I1442" t="s">
        <v>647</v>
      </c>
      <c r="J1442" s="20" t="s">
        <v>2443</v>
      </c>
      <c r="K1442" t="s">
        <v>2443</v>
      </c>
    </row>
    <row r="1443" spans="2:11" x14ac:dyDescent="0.2">
      <c r="B1443" s="21">
        <f t="shared" si="22"/>
        <v>678</v>
      </c>
      <c r="C1443" t="s">
        <v>151</v>
      </c>
      <c r="D1443" t="s">
        <v>13</v>
      </c>
      <c r="E1443" t="s">
        <v>2751</v>
      </c>
      <c r="F1443" t="s">
        <v>8</v>
      </c>
      <c r="G1443" s="21">
        <v>1</v>
      </c>
      <c r="H1443" s="21">
        <v>0</v>
      </c>
      <c r="J1443" s="20" t="s">
        <v>2443</v>
      </c>
      <c r="K1443" t="s">
        <v>2442</v>
      </c>
    </row>
    <row r="1444" spans="2:11" x14ac:dyDescent="0.2">
      <c r="B1444" s="21">
        <f t="shared" si="22"/>
        <v>677</v>
      </c>
      <c r="C1444" t="s">
        <v>235</v>
      </c>
      <c r="D1444" t="s">
        <v>13</v>
      </c>
      <c r="E1444" t="s">
        <v>2751</v>
      </c>
      <c r="F1444" t="s">
        <v>27</v>
      </c>
      <c r="G1444" s="21">
        <v>1</v>
      </c>
      <c r="H1444" s="21">
        <v>0</v>
      </c>
      <c r="I1444" t="s">
        <v>646</v>
      </c>
      <c r="J1444" s="20" t="s">
        <v>2444</v>
      </c>
      <c r="K1444" t="s">
        <v>2443</v>
      </c>
    </row>
    <row r="1445" spans="2:11" x14ac:dyDescent="0.2">
      <c r="B1445" s="21">
        <f t="shared" si="22"/>
        <v>676</v>
      </c>
      <c r="C1445" t="s">
        <v>151</v>
      </c>
      <c r="D1445" t="s">
        <v>13</v>
      </c>
      <c r="E1445" t="s">
        <v>2751</v>
      </c>
      <c r="F1445" t="s">
        <v>8</v>
      </c>
      <c r="G1445" s="21">
        <v>1</v>
      </c>
      <c r="H1445" s="21">
        <v>0</v>
      </c>
      <c r="I1445" t="s">
        <v>601</v>
      </c>
      <c r="J1445" s="20" t="s">
        <v>2444</v>
      </c>
      <c r="K1445" t="s">
        <v>2443</v>
      </c>
    </row>
    <row r="1446" spans="2:11" x14ac:dyDescent="0.2">
      <c r="B1446" s="21">
        <f t="shared" si="22"/>
        <v>675</v>
      </c>
      <c r="C1446" t="s">
        <v>235</v>
      </c>
      <c r="D1446" t="s">
        <v>13</v>
      </c>
      <c r="E1446" t="s">
        <v>2751</v>
      </c>
      <c r="F1446" t="s">
        <v>27</v>
      </c>
      <c r="G1446" s="21">
        <v>1</v>
      </c>
      <c r="H1446" s="21">
        <v>0</v>
      </c>
      <c r="I1446" t="s">
        <v>645</v>
      </c>
      <c r="J1446" s="20" t="s">
        <v>2445</v>
      </c>
      <c r="K1446" t="s">
        <v>2444</v>
      </c>
    </row>
    <row r="1447" spans="2:11" x14ac:dyDescent="0.2">
      <c r="B1447" s="21">
        <f t="shared" si="22"/>
        <v>674</v>
      </c>
      <c r="C1447" t="s">
        <v>641</v>
      </c>
      <c r="D1447" t="s">
        <v>14</v>
      </c>
      <c r="E1447" t="s">
        <v>2751</v>
      </c>
      <c r="F1447" t="s">
        <v>40</v>
      </c>
      <c r="G1447" s="21">
        <v>1</v>
      </c>
      <c r="H1447" s="21">
        <v>0</v>
      </c>
      <c r="I1447" t="s">
        <v>643</v>
      </c>
      <c r="J1447" s="20" t="s">
        <v>2445</v>
      </c>
      <c r="K1447" t="s">
        <v>2445</v>
      </c>
    </row>
    <row r="1448" spans="2:11" x14ac:dyDescent="0.2">
      <c r="B1448" s="21">
        <f t="shared" si="22"/>
        <v>673</v>
      </c>
      <c r="C1448" t="s">
        <v>633</v>
      </c>
      <c r="D1448" t="s">
        <v>13</v>
      </c>
      <c r="E1448" t="s">
        <v>2751</v>
      </c>
      <c r="F1448" t="s">
        <v>8</v>
      </c>
      <c r="G1448" s="21">
        <v>1</v>
      </c>
      <c r="H1448" s="21">
        <v>0</v>
      </c>
      <c r="J1448" s="20" t="s">
        <v>2445</v>
      </c>
      <c r="K1448" t="s">
        <v>2444</v>
      </c>
    </row>
    <row r="1449" spans="2:11" x14ac:dyDescent="0.2">
      <c r="B1449" s="21">
        <f t="shared" si="22"/>
        <v>672</v>
      </c>
      <c r="C1449" t="s">
        <v>235</v>
      </c>
      <c r="D1449" t="s">
        <v>13</v>
      </c>
      <c r="E1449" t="s">
        <v>2751</v>
      </c>
      <c r="F1449" t="s">
        <v>27</v>
      </c>
      <c r="G1449" s="21">
        <v>1</v>
      </c>
      <c r="H1449" s="21">
        <v>0</v>
      </c>
      <c r="J1449" s="20" t="s">
        <v>2446</v>
      </c>
      <c r="K1449" t="s">
        <v>2711</v>
      </c>
    </row>
    <row r="1450" spans="2:11" x14ac:dyDescent="0.2">
      <c r="B1450" s="21">
        <f t="shared" si="22"/>
        <v>671</v>
      </c>
      <c r="C1450" t="s">
        <v>641</v>
      </c>
      <c r="D1450" t="s">
        <v>14</v>
      </c>
      <c r="E1450" t="s">
        <v>2751</v>
      </c>
      <c r="F1450" t="s">
        <v>27</v>
      </c>
      <c r="G1450" s="21">
        <v>1</v>
      </c>
      <c r="H1450" s="21">
        <v>0</v>
      </c>
      <c r="J1450" s="20" t="s">
        <v>2446</v>
      </c>
      <c r="K1450" t="s">
        <v>2711</v>
      </c>
    </row>
    <row r="1451" spans="2:11" x14ac:dyDescent="0.2">
      <c r="B1451" s="21">
        <f t="shared" si="22"/>
        <v>670</v>
      </c>
      <c r="C1451" t="s">
        <v>503</v>
      </c>
      <c r="D1451" t="s">
        <v>13</v>
      </c>
      <c r="E1451" t="s">
        <v>2751</v>
      </c>
      <c r="F1451" t="s">
        <v>34</v>
      </c>
      <c r="G1451" s="21">
        <v>1</v>
      </c>
      <c r="H1451" s="21">
        <v>0</v>
      </c>
      <c r="I1451" t="s">
        <v>642</v>
      </c>
      <c r="J1451" s="20" t="s">
        <v>2446</v>
      </c>
      <c r="K1451" t="s">
        <v>2446</v>
      </c>
    </row>
    <row r="1452" spans="2:11" x14ac:dyDescent="0.2">
      <c r="B1452" s="21">
        <f t="shared" si="22"/>
        <v>669</v>
      </c>
      <c r="C1452" t="s">
        <v>145</v>
      </c>
      <c r="D1452" t="s">
        <v>13</v>
      </c>
      <c r="E1452" t="s">
        <v>2751</v>
      </c>
      <c r="F1452" t="s">
        <v>43</v>
      </c>
      <c r="G1452" s="21">
        <v>1</v>
      </c>
      <c r="H1452" s="21">
        <v>0</v>
      </c>
      <c r="I1452" t="s">
        <v>644</v>
      </c>
      <c r="J1452" s="20" t="s">
        <v>2446</v>
      </c>
      <c r="K1452" t="s">
        <v>2446</v>
      </c>
    </row>
    <row r="1453" spans="2:11" x14ac:dyDescent="0.2">
      <c r="B1453" s="21">
        <f t="shared" si="22"/>
        <v>668</v>
      </c>
      <c r="C1453" t="s">
        <v>235</v>
      </c>
      <c r="D1453" t="s">
        <v>13</v>
      </c>
      <c r="E1453" t="s">
        <v>2751</v>
      </c>
      <c r="F1453" t="s">
        <v>27</v>
      </c>
      <c r="G1453" s="21">
        <v>1</v>
      </c>
      <c r="H1453" s="21">
        <v>0</v>
      </c>
      <c r="I1453" t="s">
        <v>640</v>
      </c>
      <c r="J1453" s="20" t="s">
        <v>2447</v>
      </c>
      <c r="K1453" t="s">
        <v>2446</v>
      </c>
    </row>
    <row r="1454" spans="2:11" x14ac:dyDescent="0.2">
      <c r="B1454" s="21">
        <f t="shared" si="22"/>
        <v>667</v>
      </c>
      <c r="C1454" t="s">
        <v>616</v>
      </c>
      <c r="D1454" t="s">
        <v>13</v>
      </c>
      <c r="E1454" t="s">
        <v>2751</v>
      </c>
      <c r="F1454" t="s">
        <v>27</v>
      </c>
      <c r="G1454" s="21">
        <v>1</v>
      </c>
      <c r="H1454" s="21">
        <v>0</v>
      </c>
      <c r="I1454" t="s">
        <v>639</v>
      </c>
      <c r="J1454" s="20" t="s">
        <v>2447</v>
      </c>
      <c r="K1454" t="s">
        <v>2447</v>
      </c>
    </row>
    <row r="1455" spans="2:11" x14ac:dyDescent="0.2">
      <c r="B1455" s="21">
        <f t="shared" si="22"/>
        <v>666</v>
      </c>
      <c r="C1455" t="s">
        <v>641</v>
      </c>
      <c r="D1455" t="s">
        <v>14</v>
      </c>
      <c r="E1455" t="s">
        <v>2751</v>
      </c>
      <c r="F1455" t="s">
        <v>4</v>
      </c>
      <c r="G1455" s="21">
        <v>1</v>
      </c>
      <c r="H1455" s="21">
        <v>0</v>
      </c>
      <c r="J1455" s="20" t="s">
        <v>2447</v>
      </c>
      <c r="K1455" t="s">
        <v>2446</v>
      </c>
    </row>
    <row r="1456" spans="2:11" x14ac:dyDescent="0.2">
      <c r="B1456" s="21">
        <f t="shared" si="22"/>
        <v>665</v>
      </c>
      <c r="C1456" t="s">
        <v>503</v>
      </c>
      <c r="D1456" t="s">
        <v>13</v>
      </c>
      <c r="E1456" t="s">
        <v>2751</v>
      </c>
      <c r="F1456" t="s">
        <v>34</v>
      </c>
      <c r="G1456" s="21">
        <v>1</v>
      </c>
      <c r="H1456" s="21">
        <v>0</v>
      </c>
      <c r="J1456" s="20" t="s">
        <v>2447</v>
      </c>
      <c r="K1456" t="s">
        <v>2447</v>
      </c>
    </row>
    <row r="1457" spans="2:11" x14ac:dyDescent="0.2">
      <c r="B1457" s="21">
        <f t="shared" si="22"/>
        <v>664</v>
      </c>
      <c r="C1457" t="s">
        <v>235</v>
      </c>
      <c r="D1457" t="s">
        <v>13</v>
      </c>
      <c r="E1457" t="s">
        <v>2751</v>
      </c>
      <c r="F1457" t="s">
        <v>27</v>
      </c>
      <c r="G1457" s="21">
        <v>1</v>
      </c>
      <c r="H1457" s="21">
        <v>0</v>
      </c>
      <c r="I1457" t="s">
        <v>637</v>
      </c>
      <c r="J1457" s="20" t="s">
        <v>2448</v>
      </c>
      <c r="K1457" t="s">
        <v>2447</v>
      </c>
    </row>
    <row r="1458" spans="2:11" x14ac:dyDescent="0.2">
      <c r="B1458" s="21">
        <f t="shared" si="22"/>
        <v>663</v>
      </c>
      <c r="C1458" t="s">
        <v>616</v>
      </c>
      <c r="D1458" t="s">
        <v>13</v>
      </c>
      <c r="E1458" t="s">
        <v>2751</v>
      </c>
      <c r="F1458" t="s">
        <v>27</v>
      </c>
      <c r="G1458" s="21">
        <v>1</v>
      </c>
      <c r="H1458" s="21">
        <v>0</v>
      </c>
      <c r="J1458" s="20" t="s">
        <v>2448</v>
      </c>
      <c r="K1458" t="s">
        <v>2447</v>
      </c>
    </row>
    <row r="1459" spans="2:11" x14ac:dyDescent="0.2">
      <c r="B1459" s="21">
        <f t="shared" si="22"/>
        <v>662</v>
      </c>
      <c r="C1459" t="s">
        <v>633</v>
      </c>
      <c r="D1459" t="s">
        <v>13</v>
      </c>
      <c r="E1459" t="s">
        <v>2751</v>
      </c>
      <c r="F1459" t="s">
        <v>27</v>
      </c>
      <c r="G1459" s="21">
        <v>1</v>
      </c>
      <c r="H1459" s="21">
        <v>0</v>
      </c>
      <c r="I1459" t="s">
        <v>636</v>
      </c>
      <c r="J1459" s="20" t="s">
        <v>2448</v>
      </c>
      <c r="K1459" t="s">
        <v>2448</v>
      </c>
    </row>
    <row r="1460" spans="2:11" x14ac:dyDescent="0.2">
      <c r="B1460" s="21">
        <f t="shared" si="22"/>
        <v>661</v>
      </c>
      <c r="C1460" t="s">
        <v>634</v>
      </c>
      <c r="D1460" t="s">
        <v>13</v>
      </c>
      <c r="E1460" t="s">
        <v>2751</v>
      </c>
      <c r="F1460" t="s">
        <v>27</v>
      </c>
      <c r="G1460" s="21">
        <v>1</v>
      </c>
      <c r="H1460" s="21">
        <v>0</v>
      </c>
      <c r="I1460" t="s">
        <v>635</v>
      </c>
      <c r="J1460" s="20" t="s">
        <v>2448</v>
      </c>
      <c r="K1460" t="s">
        <v>2448</v>
      </c>
    </row>
    <row r="1461" spans="2:11" x14ac:dyDescent="0.2">
      <c r="B1461" s="21">
        <f t="shared" si="22"/>
        <v>660</v>
      </c>
      <c r="C1461" t="s">
        <v>145</v>
      </c>
      <c r="D1461" t="s">
        <v>13</v>
      </c>
      <c r="E1461" t="s">
        <v>2751</v>
      </c>
      <c r="F1461" t="s">
        <v>43</v>
      </c>
      <c r="G1461" s="21">
        <v>1</v>
      </c>
      <c r="H1461" s="21">
        <v>0</v>
      </c>
      <c r="I1461" t="s">
        <v>638</v>
      </c>
      <c r="J1461" s="20" t="s">
        <v>2448</v>
      </c>
      <c r="K1461" t="s">
        <v>2447</v>
      </c>
    </row>
    <row r="1462" spans="2:11" x14ac:dyDescent="0.2">
      <c r="B1462" s="21">
        <f t="shared" si="22"/>
        <v>659</v>
      </c>
      <c r="C1462" t="s">
        <v>235</v>
      </c>
      <c r="D1462" t="s">
        <v>13</v>
      </c>
      <c r="E1462" t="s">
        <v>2751</v>
      </c>
      <c r="F1462" t="s">
        <v>8</v>
      </c>
      <c r="G1462" s="21">
        <v>1</v>
      </c>
      <c r="H1462" s="21">
        <v>0</v>
      </c>
      <c r="I1462" t="s">
        <v>628</v>
      </c>
      <c r="J1462" s="20" t="s">
        <v>2449</v>
      </c>
      <c r="K1462" t="s">
        <v>2449</v>
      </c>
    </row>
    <row r="1463" spans="2:11" x14ac:dyDescent="0.2">
      <c r="B1463" s="21">
        <f t="shared" si="22"/>
        <v>658</v>
      </c>
      <c r="C1463" t="s">
        <v>145</v>
      </c>
      <c r="D1463" t="s">
        <v>13</v>
      </c>
      <c r="E1463" t="s">
        <v>2751</v>
      </c>
      <c r="F1463" t="s">
        <v>27</v>
      </c>
      <c r="G1463" s="21">
        <v>1</v>
      </c>
      <c r="H1463" s="21">
        <v>0</v>
      </c>
      <c r="I1463" t="s">
        <v>629</v>
      </c>
      <c r="J1463" s="20" t="s">
        <v>2449</v>
      </c>
      <c r="K1463" t="s">
        <v>2449</v>
      </c>
    </row>
    <row r="1464" spans="2:11" x14ac:dyDescent="0.2">
      <c r="B1464" s="21">
        <f t="shared" si="22"/>
        <v>657</v>
      </c>
      <c r="C1464" t="s">
        <v>365</v>
      </c>
      <c r="D1464" t="s">
        <v>13</v>
      </c>
      <c r="E1464" t="s">
        <v>2751</v>
      </c>
      <c r="F1464" t="s">
        <v>8</v>
      </c>
      <c r="G1464" s="21">
        <v>1</v>
      </c>
      <c r="H1464" s="21">
        <v>0</v>
      </c>
      <c r="I1464" t="s">
        <v>632</v>
      </c>
      <c r="J1464" s="20" t="s">
        <v>2449</v>
      </c>
      <c r="K1464" t="s">
        <v>2449</v>
      </c>
    </row>
    <row r="1465" spans="2:11" x14ac:dyDescent="0.2">
      <c r="B1465" s="21">
        <f t="shared" si="22"/>
        <v>656</v>
      </c>
      <c r="C1465" t="s">
        <v>627</v>
      </c>
      <c r="D1465" t="s">
        <v>14</v>
      </c>
      <c r="E1465" t="s">
        <v>2751</v>
      </c>
      <c r="F1465" t="s">
        <v>4</v>
      </c>
      <c r="G1465" s="21">
        <v>1</v>
      </c>
      <c r="H1465" s="21">
        <v>0</v>
      </c>
      <c r="I1465" t="s">
        <v>630</v>
      </c>
      <c r="J1465" s="20" t="s">
        <v>2449</v>
      </c>
      <c r="K1465" t="s">
        <v>2449</v>
      </c>
    </row>
    <row r="1466" spans="2:11" x14ac:dyDescent="0.2">
      <c r="B1466" s="21">
        <f t="shared" si="22"/>
        <v>655</v>
      </c>
      <c r="C1466" t="s">
        <v>616</v>
      </c>
      <c r="D1466" t="s">
        <v>13</v>
      </c>
      <c r="E1466" t="s">
        <v>2751</v>
      </c>
      <c r="F1466" t="s">
        <v>27</v>
      </c>
      <c r="G1466" s="21">
        <v>1</v>
      </c>
      <c r="H1466" s="21">
        <v>0</v>
      </c>
      <c r="I1466" t="s">
        <v>631</v>
      </c>
      <c r="J1466" s="20" t="s">
        <v>2449</v>
      </c>
      <c r="K1466" t="s">
        <v>2448</v>
      </c>
    </row>
    <row r="1467" spans="2:11" x14ac:dyDescent="0.2">
      <c r="B1467" s="21">
        <f t="shared" si="22"/>
        <v>654</v>
      </c>
      <c r="C1467" t="s">
        <v>489</v>
      </c>
      <c r="D1467" t="s">
        <v>19</v>
      </c>
      <c r="E1467" t="s">
        <v>2751</v>
      </c>
      <c r="F1467" t="s">
        <v>27</v>
      </c>
      <c r="G1467" s="21">
        <v>1</v>
      </c>
      <c r="H1467" s="21">
        <v>0</v>
      </c>
      <c r="I1467" t="s">
        <v>626</v>
      </c>
      <c r="J1467" s="20" t="s">
        <v>2450</v>
      </c>
      <c r="K1467" t="s">
        <v>2450</v>
      </c>
    </row>
    <row r="1468" spans="2:11" x14ac:dyDescent="0.2">
      <c r="B1468" s="21">
        <f t="shared" si="22"/>
        <v>653</v>
      </c>
      <c r="C1468" t="s">
        <v>235</v>
      </c>
      <c r="D1468" t="s">
        <v>13</v>
      </c>
      <c r="E1468" t="s">
        <v>2751</v>
      </c>
      <c r="F1468" t="s">
        <v>21</v>
      </c>
      <c r="G1468" s="21">
        <v>1</v>
      </c>
      <c r="H1468" s="21">
        <v>0</v>
      </c>
      <c r="I1468" t="s">
        <v>648</v>
      </c>
      <c r="J1468" s="20" t="s">
        <v>2450</v>
      </c>
      <c r="K1468" t="s">
        <v>2450</v>
      </c>
    </row>
    <row r="1469" spans="2:11" x14ac:dyDescent="0.2">
      <c r="B1469" s="21">
        <f t="shared" si="22"/>
        <v>652</v>
      </c>
      <c r="C1469" t="s">
        <v>145</v>
      </c>
      <c r="D1469" t="s">
        <v>13</v>
      </c>
      <c r="E1469" t="s">
        <v>2751</v>
      </c>
      <c r="F1469" t="s">
        <v>27</v>
      </c>
      <c r="G1469" s="21">
        <v>1</v>
      </c>
      <c r="H1469" s="21">
        <v>0</v>
      </c>
      <c r="I1469" t="s">
        <v>621</v>
      </c>
      <c r="J1469" s="20" t="s">
        <v>2450</v>
      </c>
      <c r="K1469" t="s">
        <v>2449</v>
      </c>
    </row>
    <row r="1470" spans="2:11" x14ac:dyDescent="0.2">
      <c r="B1470" s="21">
        <f t="shared" si="22"/>
        <v>651</v>
      </c>
      <c r="C1470" t="s">
        <v>365</v>
      </c>
      <c r="D1470" t="s">
        <v>13</v>
      </c>
      <c r="E1470" t="s">
        <v>2751</v>
      </c>
      <c r="F1470" t="s">
        <v>8</v>
      </c>
      <c r="G1470" s="21">
        <v>1</v>
      </c>
      <c r="H1470" s="21">
        <v>0</v>
      </c>
      <c r="J1470" s="20" t="s">
        <v>2450</v>
      </c>
      <c r="K1470" t="s">
        <v>2449</v>
      </c>
    </row>
    <row r="1471" spans="2:11" x14ac:dyDescent="0.2">
      <c r="B1471" s="21">
        <f t="shared" si="22"/>
        <v>650</v>
      </c>
      <c r="C1471" t="s">
        <v>489</v>
      </c>
      <c r="D1471" t="s">
        <v>19</v>
      </c>
      <c r="E1471" t="s">
        <v>2751</v>
      </c>
      <c r="F1471" t="s">
        <v>34</v>
      </c>
      <c r="G1471" s="21">
        <v>1</v>
      </c>
      <c r="H1471" s="21">
        <v>0</v>
      </c>
      <c r="I1471" t="s">
        <v>623</v>
      </c>
      <c r="J1471" s="20" t="s">
        <v>2451</v>
      </c>
      <c r="K1471" t="s">
        <v>2451</v>
      </c>
    </row>
    <row r="1472" spans="2:11" x14ac:dyDescent="0.2">
      <c r="B1472" s="21">
        <f t="shared" si="22"/>
        <v>649</v>
      </c>
      <c r="C1472" t="s">
        <v>489</v>
      </c>
      <c r="D1472" t="s">
        <v>19</v>
      </c>
      <c r="E1472" t="s">
        <v>2751</v>
      </c>
      <c r="F1472" t="s">
        <v>27</v>
      </c>
      <c r="G1472" s="21">
        <v>1</v>
      </c>
      <c r="H1472" s="21">
        <v>0</v>
      </c>
      <c r="J1472" s="20" t="s">
        <v>2451</v>
      </c>
      <c r="K1472" t="s">
        <v>2712</v>
      </c>
    </row>
    <row r="1473" spans="2:11" x14ac:dyDescent="0.2">
      <c r="B1473" s="21">
        <f t="shared" si="22"/>
        <v>648</v>
      </c>
      <c r="C1473" t="s">
        <v>616</v>
      </c>
      <c r="D1473" t="s">
        <v>13</v>
      </c>
      <c r="E1473" t="s">
        <v>2751</v>
      </c>
      <c r="F1473" t="s">
        <v>27</v>
      </c>
      <c r="G1473" s="21">
        <v>1</v>
      </c>
      <c r="H1473" s="21">
        <v>0</v>
      </c>
      <c r="I1473" t="s">
        <v>624</v>
      </c>
      <c r="J1473" s="20" t="s">
        <v>2451</v>
      </c>
      <c r="K1473" t="s">
        <v>2451</v>
      </c>
    </row>
    <row r="1474" spans="2:11" x14ac:dyDescent="0.2">
      <c r="B1474" s="21">
        <f t="shared" si="22"/>
        <v>647</v>
      </c>
      <c r="C1474" t="s">
        <v>145</v>
      </c>
      <c r="D1474" t="s">
        <v>13</v>
      </c>
      <c r="E1474" t="s">
        <v>2751</v>
      </c>
      <c r="F1474" t="s">
        <v>8</v>
      </c>
      <c r="G1474" s="21">
        <v>1</v>
      </c>
      <c r="H1474" s="21">
        <v>0</v>
      </c>
      <c r="I1474" t="s">
        <v>621</v>
      </c>
      <c r="J1474" s="20" t="s">
        <v>2451</v>
      </c>
      <c r="K1474" t="s">
        <v>2451</v>
      </c>
    </row>
    <row r="1475" spans="2:11" x14ac:dyDescent="0.2">
      <c r="B1475" s="21">
        <f t="shared" si="22"/>
        <v>646</v>
      </c>
      <c r="C1475" t="s">
        <v>235</v>
      </c>
      <c r="D1475" t="s">
        <v>13</v>
      </c>
      <c r="E1475" t="s">
        <v>2751</v>
      </c>
      <c r="F1475" t="s">
        <v>21</v>
      </c>
      <c r="G1475" s="21">
        <v>1</v>
      </c>
      <c r="H1475" s="21">
        <v>0</v>
      </c>
      <c r="I1475" t="s">
        <v>622</v>
      </c>
      <c r="J1475" s="20" t="s">
        <v>2451</v>
      </c>
      <c r="K1475" t="s">
        <v>2712</v>
      </c>
    </row>
    <row r="1476" spans="2:11" x14ac:dyDescent="0.2">
      <c r="B1476" s="21">
        <f t="shared" si="22"/>
        <v>645</v>
      </c>
      <c r="C1476" t="s">
        <v>365</v>
      </c>
      <c r="D1476" t="s">
        <v>13</v>
      </c>
      <c r="E1476" t="s">
        <v>2751</v>
      </c>
      <c r="F1476" t="s">
        <v>8</v>
      </c>
      <c r="G1476" s="21">
        <v>1</v>
      </c>
      <c r="H1476" s="21">
        <v>0</v>
      </c>
      <c r="I1476" t="s">
        <v>625</v>
      </c>
      <c r="J1476" s="20" t="s">
        <v>2451</v>
      </c>
      <c r="K1476" t="s">
        <v>2451</v>
      </c>
    </row>
    <row r="1477" spans="2:11" x14ac:dyDescent="0.2">
      <c r="B1477" s="21">
        <f t="shared" ref="B1477:B1540" si="23">B1476-1</f>
        <v>644</v>
      </c>
      <c r="C1477" t="s">
        <v>578</v>
      </c>
      <c r="D1477" t="s">
        <v>14</v>
      </c>
      <c r="E1477" t="s">
        <v>2751</v>
      </c>
      <c r="F1477" t="s">
        <v>27</v>
      </c>
      <c r="G1477" s="21">
        <v>1</v>
      </c>
      <c r="H1477" s="21">
        <v>0</v>
      </c>
      <c r="J1477" s="20" t="s">
        <v>2452</v>
      </c>
      <c r="K1477" t="s">
        <v>2451</v>
      </c>
    </row>
    <row r="1478" spans="2:11" x14ac:dyDescent="0.2">
      <c r="B1478" s="21">
        <f t="shared" si="23"/>
        <v>643</v>
      </c>
      <c r="C1478" t="s">
        <v>503</v>
      </c>
      <c r="D1478" t="s">
        <v>13</v>
      </c>
      <c r="E1478" t="s">
        <v>2751</v>
      </c>
      <c r="F1478" t="s">
        <v>34</v>
      </c>
      <c r="G1478" s="21">
        <v>1</v>
      </c>
      <c r="H1478" s="21">
        <v>0</v>
      </c>
      <c r="I1478" t="s">
        <v>618</v>
      </c>
      <c r="J1478" s="20" t="s">
        <v>2452</v>
      </c>
      <c r="K1478" t="s">
        <v>2451</v>
      </c>
    </row>
    <row r="1479" spans="2:11" x14ac:dyDescent="0.2">
      <c r="B1479" s="21">
        <f t="shared" si="23"/>
        <v>642</v>
      </c>
      <c r="C1479" t="s">
        <v>616</v>
      </c>
      <c r="D1479" t="s">
        <v>13</v>
      </c>
      <c r="E1479" t="s">
        <v>2751</v>
      </c>
      <c r="F1479" t="s">
        <v>27</v>
      </c>
      <c r="G1479" s="21">
        <v>1</v>
      </c>
      <c r="H1479" s="21">
        <v>0</v>
      </c>
      <c r="I1479" t="s">
        <v>620</v>
      </c>
      <c r="J1479" s="20" t="s">
        <v>2452</v>
      </c>
      <c r="K1479" t="s">
        <v>2452</v>
      </c>
    </row>
    <row r="1480" spans="2:11" x14ac:dyDescent="0.2">
      <c r="B1480" s="21">
        <f t="shared" si="23"/>
        <v>641</v>
      </c>
      <c r="C1480" t="s">
        <v>151</v>
      </c>
      <c r="D1480" t="s">
        <v>13</v>
      </c>
      <c r="E1480" t="s">
        <v>2751</v>
      </c>
      <c r="F1480" t="s">
        <v>27</v>
      </c>
      <c r="G1480" s="21">
        <v>1</v>
      </c>
      <c r="H1480" s="21">
        <v>0</v>
      </c>
      <c r="I1480" t="s">
        <v>619</v>
      </c>
      <c r="J1480" s="20" t="s">
        <v>2452</v>
      </c>
      <c r="K1480" t="s">
        <v>2452</v>
      </c>
    </row>
    <row r="1481" spans="2:11" x14ac:dyDescent="0.2">
      <c r="B1481" s="21">
        <f t="shared" si="23"/>
        <v>640</v>
      </c>
      <c r="C1481" t="s">
        <v>578</v>
      </c>
      <c r="D1481" t="s">
        <v>14</v>
      </c>
      <c r="E1481" t="s">
        <v>2751</v>
      </c>
      <c r="F1481" t="s">
        <v>27</v>
      </c>
      <c r="G1481" s="21">
        <v>1</v>
      </c>
      <c r="H1481" s="21">
        <v>0</v>
      </c>
      <c r="J1481" s="20" t="s">
        <v>2453</v>
      </c>
      <c r="K1481" t="s">
        <v>2452</v>
      </c>
    </row>
    <row r="1482" spans="2:11" x14ac:dyDescent="0.2">
      <c r="B1482" s="21">
        <f t="shared" si="23"/>
        <v>639</v>
      </c>
      <c r="C1482" t="s">
        <v>578</v>
      </c>
      <c r="D1482" t="s">
        <v>14</v>
      </c>
      <c r="E1482" t="s">
        <v>2751</v>
      </c>
      <c r="F1482" t="s">
        <v>4</v>
      </c>
      <c r="G1482" s="21">
        <v>1</v>
      </c>
      <c r="H1482" s="21">
        <v>0</v>
      </c>
      <c r="I1482" t="s">
        <v>617</v>
      </c>
      <c r="J1482" s="20" t="s">
        <v>2453</v>
      </c>
      <c r="K1482" t="s">
        <v>2453</v>
      </c>
    </row>
    <row r="1483" spans="2:11" x14ac:dyDescent="0.2">
      <c r="B1483" s="21">
        <f t="shared" si="23"/>
        <v>638</v>
      </c>
      <c r="C1483" t="s">
        <v>503</v>
      </c>
      <c r="D1483" t="s">
        <v>13</v>
      </c>
      <c r="E1483" t="s">
        <v>2751</v>
      </c>
      <c r="F1483" t="s">
        <v>34</v>
      </c>
      <c r="G1483" s="21">
        <v>1</v>
      </c>
      <c r="H1483" s="21">
        <v>0</v>
      </c>
      <c r="J1483" s="20" t="s">
        <v>2453</v>
      </c>
      <c r="K1483" t="s">
        <v>2452</v>
      </c>
    </row>
    <row r="1484" spans="2:11" x14ac:dyDescent="0.2">
      <c r="B1484" s="21">
        <f t="shared" si="23"/>
        <v>637</v>
      </c>
      <c r="C1484" t="s">
        <v>616</v>
      </c>
      <c r="D1484" t="s">
        <v>13</v>
      </c>
      <c r="E1484" t="s">
        <v>2751</v>
      </c>
      <c r="F1484" t="s">
        <v>27</v>
      </c>
      <c r="G1484" s="21">
        <v>1</v>
      </c>
      <c r="H1484" s="21">
        <v>0</v>
      </c>
      <c r="J1484" s="20" t="s">
        <v>2453</v>
      </c>
      <c r="K1484" t="s">
        <v>2452</v>
      </c>
    </row>
    <row r="1485" spans="2:11" x14ac:dyDescent="0.2">
      <c r="B1485" s="21">
        <f t="shared" si="23"/>
        <v>636</v>
      </c>
      <c r="C1485" t="s">
        <v>578</v>
      </c>
      <c r="D1485" t="s">
        <v>14</v>
      </c>
      <c r="E1485" t="s">
        <v>2751</v>
      </c>
      <c r="F1485" t="s">
        <v>27</v>
      </c>
      <c r="G1485" s="21">
        <v>1</v>
      </c>
      <c r="H1485" s="21">
        <v>0</v>
      </c>
      <c r="I1485" t="s">
        <v>614</v>
      </c>
      <c r="J1485" s="20" t="s">
        <v>2454</v>
      </c>
      <c r="K1485" t="s">
        <v>2453</v>
      </c>
    </row>
    <row r="1486" spans="2:11" x14ac:dyDescent="0.2">
      <c r="B1486" s="21">
        <f t="shared" si="23"/>
        <v>635</v>
      </c>
      <c r="C1486" t="s">
        <v>503</v>
      </c>
      <c r="D1486" t="s">
        <v>13</v>
      </c>
      <c r="E1486" t="s">
        <v>2751</v>
      </c>
      <c r="F1486" t="s">
        <v>34</v>
      </c>
      <c r="G1486" s="21">
        <v>1</v>
      </c>
      <c r="H1486" s="21">
        <v>0</v>
      </c>
      <c r="I1486" t="s">
        <v>615</v>
      </c>
      <c r="J1486" s="20" t="s">
        <v>2454</v>
      </c>
      <c r="K1486" t="s">
        <v>2453</v>
      </c>
    </row>
    <row r="1487" spans="2:11" x14ac:dyDescent="0.2">
      <c r="B1487" s="21">
        <f t="shared" si="23"/>
        <v>634</v>
      </c>
      <c r="C1487" t="s">
        <v>578</v>
      </c>
      <c r="D1487" t="s">
        <v>14</v>
      </c>
      <c r="E1487" t="s">
        <v>2751</v>
      </c>
      <c r="F1487" t="s">
        <v>27</v>
      </c>
      <c r="G1487" s="21">
        <v>1</v>
      </c>
      <c r="H1487" s="21">
        <v>0</v>
      </c>
      <c r="I1487" t="s">
        <v>611</v>
      </c>
      <c r="J1487" s="20" t="s">
        <v>2455</v>
      </c>
      <c r="K1487" t="s">
        <v>2454</v>
      </c>
    </row>
    <row r="1488" spans="2:11" x14ac:dyDescent="0.2">
      <c r="B1488" s="21">
        <f t="shared" si="23"/>
        <v>633</v>
      </c>
      <c r="C1488" t="s">
        <v>503</v>
      </c>
      <c r="D1488" t="s">
        <v>13</v>
      </c>
      <c r="E1488" t="s">
        <v>2751</v>
      </c>
      <c r="F1488" t="s">
        <v>34</v>
      </c>
      <c r="G1488" s="21">
        <v>1</v>
      </c>
      <c r="H1488" s="21">
        <v>0</v>
      </c>
      <c r="I1488" t="s">
        <v>613</v>
      </c>
      <c r="J1488" s="20" t="s">
        <v>2455</v>
      </c>
      <c r="K1488" t="s">
        <v>2454</v>
      </c>
    </row>
    <row r="1489" spans="2:11" x14ac:dyDescent="0.2">
      <c r="B1489" s="21">
        <f t="shared" si="23"/>
        <v>632</v>
      </c>
      <c r="C1489" t="s">
        <v>426</v>
      </c>
      <c r="D1489" t="s">
        <v>13</v>
      </c>
      <c r="E1489" t="s">
        <v>2751</v>
      </c>
      <c r="F1489" t="s">
        <v>49</v>
      </c>
      <c r="G1489" s="21">
        <v>1</v>
      </c>
      <c r="H1489" s="21">
        <v>0</v>
      </c>
      <c r="I1489" t="s">
        <v>612</v>
      </c>
      <c r="J1489" s="20" t="s">
        <v>2455</v>
      </c>
      <c r="K1489" t="s">
        <v>2455</v>
      </c>
    </row>
    <row r="1490" spans="2:11" x14ac:dyDescent="0.2">
      <c r="B1490" s="21">
        <f t="shared" si="23"/>
        <v>631</v>
      </c>
      <c r="C1490" t="s">
        <v>578</v>
      </c>
      <c r="D1490" t="s">
        <v>14</v>
      </c>
      <c r="E1490" t="s">
        <v>2751</v>
      </c>
      <c r="F1490" t="s">
        <v>27</v>
      </c>
      <c r="G1490" s="21">
        <v>1</v>
      </c>
      <c r="H1490" s="21">
        <v>0</v>
      </c>
      <c r="I1490" t="s">
        <v>610</v>
      </c>
      <c r="J1490" s="20" t="s">
        <v>2456</v>
      </c>
      <c r="K1490" t="s">
        <v>2713</v>
      </c>
    </row>
    <row r="1491" spans="2:11" x14ac:dyDescent="0.2">
      <c r="B1491" s="21">
        <f t="shared" si="23"/>
        <v>630</v>
      </c>
      <c r="C1491" t="s">
        <v>503</v>
      </c>
      <c r="D1491" t="s">
        <v>13</v>
      </c>
      <c r="E1491" t="s">
        <v>2751</v>
      </c>
      <c r="F1491" t="s">
        <v>34</v>
      </c>
      <c r="G1491" s="21">
        <v>1</v>
      </c>
      <c r="H1491" s="21">
        <v>0</v>
      </c>
      <c r="J1491" s="20" t="s">
        <v>2456</v>
      </c>
      <c r="K1491" t="s">
        <v>2713</v>
      </c>
    </row>
    <row r="1492" spans="2:11" x14ac:dyDescent="0.2">
      <c r="B1492" s="21">
        <f t="shared" si="23"/>
        <v>629</v>
      </c>
      <c r="C1492" t="s">
        <v>578</v>
      </c>
      <c r="D1492" t="s">
        <v>14</v>
      </c>
      <c r="E1492" t="s">
        <v>2751</v>
      </c>
      <c r="F1492" t="s">
        <v>27</v>
      </c>
      <c r="G1492" s="21">
        <v>1</v>
      </c>
      <c r="H1492" s="21">
        <v>0</v>
      </c>
      <c r="I1492" t="s">
        <v>606</v>
      </c>
      <c r="J1492" s="20" t="s">
        <v>2457</v>
      </c>
      <c r="K1492" t="s">
        <v>2456</v>
      </c>
    </row>
    <row r="1493" spans="2:11" x14ac:dyDescent="0.2">
      <c r="B1493" s="21">
        <f t="shared" si="23"/>
        <v>628</v>
      </c>
      <c r="C1493" t="s">
        <v>65</v>
      </c>
      <c r="D1493" t="s">
        <v>14</v>
      </c>
      <c r="E1493" t="s">
        <v>2751</v>
      </c>
      <c r="F1493" t="s">
        <v>64</v>
      </c>
      <c r="G1493" s="21">
        <v>1</v>
      </c>
      <c r="H1493" s="21">
        <v>0</v>
      </c>
      <c r="J1493" s="20" t="s">
        <v>2457</v>
      </c>
      <c r="K1493" t="s">
        <v>2456</v>
      </c>
    </row>
    <row r="1494" spans="2:11" x14ac:dyDescent="0.2">
      <c r="B1494" s="21">
        <f t="shared" si="23"/>
        <v>627</v>
      </c>
      <c r="C1494" t="s">
        <v>503</v>
      </c>
      <c r="D1494" t="s">
        <v>13</v>
      </c>
      <c r="E1494" t="s">
        <v>2751</v>
      </c>
      <c r="F1494" t="s">
        <v>34</v>
      </c>
      <c r="G1494" s="21">
        <v>1</v>
      </c>
      <c r="H1494" s="21">
        <v>0</v>
      </c>
      <c r="I1494" t="s">
        <v>609</v>
      </c>
      <c r="J1494" s="20" t="s">
        <v>2457</v>
      </c>
      <c r="K1494" t="s">
        <v>2456</v>
      </c>
    </row>
    <row r="1495" spans="2:11" x14ac:dyDescent="0.2">
      <c r="B1495" s="21">
        <f t="shared" si="23"/>
        <v>626</v>
      </c>
      <c r="C1495" t="s">
        <v>578</v>
      </c>
      <c r="D1495" t="s">
        <v>14</v>
      </c>
      <c r="E1495" t="s">
        <v>2751</v>
      </c>
      <c r="F1495" t="s">
        <v>27</v>
      </c>
      <c r="G1495" s="21">
        <v>1</v>
      </c>
      <c r="H1495" s="21">
        <v>0</v>
      </c>
      <c r="I1495" t="s">
        <v>606</v>
      </c>
      <c r="J1495" s="20" t="s">
        <v>2458</v>
      </c>
      <c r="K1495" t="s">
        <v>2457</v>
      </c>
    </row>
    <row r="1496" spans="2:11" x14ac:dyDescent="0.2">
      <c r="B1496" s="21">
        <f t="shared" si="23"/>
        <v>625</v>
      </c>
      <c r="C1496" t="s">
        <v>503</v>
      </c>
      <c r="D1496" t="s">
        <v>13</v>
      </c>
      <c r="E1496" t="s">
        <v>2751</v>
      </c>
      <c r="F1496" t="s">
        <v>27</v>
      </c>
      <c r="G1496" s="21">
        <v>1</v>
      </c>
      <c r="H1496" s="21">
        <v>0</v>
      </c>
      <c r="I1496" t="s">
        <v>607</v>
      </c>
      <c r="J1496" s="20" t="s">
        <v>2458</v>
      </c>
      <c r="K1496" t="s">
        <v>2458</v>
      </c>
    </row>
    <row r="1497" spans="2:11" x14ac:dyDescent="0.2">
      <c r="B1497" s="21">
        <f t="shared" si="23"/>
        <v>624</v>
      </c>
      <c r="C1497" t="s">
        <v>32</v>
      </c>
      <c r="D1497" t="s">
        <v>13</v>
      </c>
      <c r="E1497" t="s">
        <v>2751</v>
      </c>
      <c r="F1497" t="s">
        <v>28</v>
      </c>
      <c r="G1497" s="21">
        <v>1</v>
      </c>
      <c r="H1497" s="21">
        <v>0</v>
      </c>
      <c r="I1497" t="s">
        <v>608</v>
      </c>
      <c r="J1497" s="20" t="s">
        <v>2458</v>
      </c>
      <c r="K1497" t="s">
        <v>2458</v>
      </c>
    </row>
    <row r="1498" spans="2:11" x14ac:dyDescent="0.2">
      <c r="B1498" s="21">
        <f t="shared" si="23"/>
        <v>623</v>
      </c>
      <c r="C1498" t="s">
        <v>578</v>
      </c>
      <c r="D1498" t="s">
        <v>14</v>
      </c>
      <c r="E1498" t="s">
        <v>2751</v>
      </c>
      <c r="F1498" t="s">
        <v>27</v>
      </c>
      <c r="G1498" s="21">
        <v>1</v>
      </c>
      <c r="H1498" s="21">
        <v>0</v>
      </c>
      <c r="I1498" t="s">
        <v>603</v>
      </c>
      <c r="J1498" s="20" t="s">
        <v>2459</v>
      </c>
      <c r="K1498" t="s">
        <v>2458</v>
      </c>
    </row>
    <row r="1499" spans="2:11" x14ac:dyDescent="0.2">
      <c r="B1499" s="21">
        <f t="shared" si="23"/>
        <v>622</v>
      </c>
      <c r="C1499" t="s">
        <v>109</v>
      </c>
      <c r="D1499" t="s">
        <v>15</v>
      </c>
      <c r="E1499" t="s">
        <v>2751</v>
      </c>
      <c r="F1499" t="s">
        <v>8</v>
      </c>
      <c r="G1499" s="21">
        <v>1</v>
      </c>
      <c r="H1499" s="21">
        <v>0</v>
      </c>
      <c r="I1499" t="s">
        <v>604</v>
      </c>
      <c r="J1499" s="20" t="s">
        <v>2459</v>
      </c>
      <c r="K1499" t="s">
        <v>2459</v>
      </c>
    </row>
    <row r="1500" spans="2:11" x14ac:dyDescent="0.2">
      <c r="B1500" s="21">
        <f t="shared" si="23"/>
        <v>621</v>
      </c>
      <c r="C1500" t="s">
        <v>503</v>
      </c>
      <c r="D1500" t="s">
        <v>13</v>
      </c>
      <c r="E1500" t="s">
        <v>2751</v>
      </c>
      <c r="F1500" t="s">
        <v>27</v>
      </c>
      <c r="G1500" s="21">
        <v>1</v>
      </c>
      <c r="H1500" s="21">
        <v>0</v>
      </c>
      <c r="I1500" t="s">
        <v>605</v>
      </c>
      <c r="J1500" s="20" t="s">
        <v>2459</v>
      </c>
      <c r="K1500" t="s">
        <v>2459</v>
      </c>
    </row>
    <row r="1501" spans="2:11" x14ac:dyDescent="0.2">
      <c r="B1501" s="21">
        <f t="shared" si="23"/>
        <v>620</v>
      </c>
      <c r="C1501" t="s">
        <v>426</v>
      </c>
      <c r="D1501" t="s">
        <v>13</v>
      </c>
      <c r="E1501" t="s">
        <v>2751</v>
      </c>
      <c r="F1501" t="s">
        <v>49</v>
      </c>
      <c r="G1501" s="21">
        <v>1</v>
      </c>
      <c r="H1501" s="21">
        <v>0</v>
      </c>
      <c r="I1501" t="s">
        <v>602</v>
      </c>
      <c r="J1501" s="20" t="s">
        <v>2460</v>
      </c>
      <c r="K1501" t="s">
        <v>2460</v>
      </c>
    </row>
    <row r="1502" spans="2:11" x14ac:dyDescent="0.2">
      <c r="B1502" s="21">
        <f t="shared" si="23"/>
        <v>619</v>
      </c>
      <c r="C1502" t="s">
        <v>32</v>
      </c>
      <c r="D1502" t="s">
        <v>13</v>
      </c>
      <c r="E1502" t="s">
        <v>2751</v>
      </c>
      <c r="F1502" t="s">
        <v>49</v>
      </c>
      <c r="G1502" s="21">
        <v>1</v>
      </c>
      <c r="H1502" s="21">
        <v>0</v>
      </c>
      <c r="I1502" t="s">
        <v>599</v>
      </c>
      <c r="J1502" s="20" t="s">
        <v>2460</v>
      </c>
      <c r="K1502" t="s">
        <v>2460</v>
      </c>
    </row>
    <row r="1503" spans="2:11" x14ac:dyDescent="0.2">
      <c r="B1503" s="21">
        <f t="shared" si="23"/>
        <v>618</v>
      </c>
      <c r="C1503" t="s">
        <v>365</v>
      </c>
      <c r="D1503" t="s">
        <v>13</v>
      </c>
      <c r="E1503" t="s">
        <v>2751</v>
      </c>
      <c r="F1503" t="s">
        <v>8</v>
      </c>
      <c r="G1503" s="21">
        <v>1</v>
      </c>
      <c r="H1503" s="21">
        <v>0</v>
      </c>
      <c r="I1503" t="s">
        <v>598</v>
      </c>
      <c r="J1503" s="20" t="s">
        <v>2460</v>
      </c>
      <c r="K1503" t="s">
        <v>2460</v>
      </c>
    </row>
    <row r="1504" spans="2:11" x14ac:dyDescent="0.2">
      <c r="B1504" s="21">
        <f t="shared" si="23"/>
        <v>617</v>
      </c>
      <c r="C1504" t="s">
        <v>151</v>
      </c>
      <c r="D1504" t="s">
        <v>13</v>
      </c>
      <c r="E1504" t="s">
        <v>2751</v>
      </c>
      <c r="F1504" t="s">
        <v>42</v>
      </c>
      <c r="G1504" s="21">
        <v>1</v>
      </c>
      <c r="H1504" s="21">
        <v>0</v>
      </c>
      <c r="I1504" t="s">
        <v>601</v>
      </c>
      <c r="J1504" s="20" t="s">
        <v>2460</v>
      </c>
      <c r="K1504" t="s">
        <v>2460</v>
      </c>
    </row>
    <row r="1505" spans="2:11" x14ac:dyDescent="0.2">
      <c r="B1505" s="21">
        <f t="shared" si="23"/>
        <v>616</v>
      </c>
      <c r="C1505" t="s">
        <v>578</v>
      </c>
      <c r="D1505" t="s">
        <v>14</v>
      </c>
      <c r="E1505" t="s">
        <v>2751</v>
      </c>
      <c r="F1505" t="s">
        <v>27</v>
      </c>
      <c r="G1505" s="21">
        <v>1</v>
      </c>
      <c r="H1505" s="21">
        <v>0</v>
      </c>
      <c r="I1505" t="s">
        <v>600</v>
      </c>
      <c r="J1505" s="20" t="s">
        <v>2460</v>
      </c>
      <c r="K1505" t="s">
        <v>2460</v>
      </c>
    </row>
    <row r="1506" spans="2:11" x14ac:dyDescent="0.2">
      <c r="B1506" s="21">
        <f t="shared" si="23"/>
        <v>615</v>
      </c>
      <c r="C1506" t="s">
        <v>426</v>
      </c>
      <c r="D1506" t="s">
        <v>13</v>
      </c>
      <c r="E1506" t="s">
        <v>2751</v>
      </c>
      <c r="F1506" t="s">
        <v>49</v>
      </c>
      <c r="G1506" s="21">
        <v>1</v>
      </c>
      <c r="H1506" s="21">
        <v>0</v>
      </c>
      <c r="I1506" t="s">
        <v>597</v>
      </c>
      <c r="J1506" s="20" t="s">
        <v>2461</v>
      </c>
      <c r="K1506" t="s">
        <v>2461</v>
      </c>
    </row>
    <row r="1507" spans="2:11" x14ac:dyDescent="0.2">
      <c r="B1507" s="21">
        <f t="shared" si="23"/>
        <v>614</v>
      </c>
      <c r="C1507" t="s">
        <v>426</v>
      </c>
      <c r="D1507" t="s">
        <v>13</v>
      </c>
      <c r="E1507" t="s">
        <v>2751</v>
      </c>
      <c r="F1507" t="s">
        <v>27</v>
      </c>
      <c r="G1507" s="21">
        <v>1</v>
      </c>
      <c r="H1507" s="21">
        <v>0</v>
      </c>
      <c r="I1507" t="s">
        <v>588</v>
      </c>
      <c r="J1507" s="20" t="s">
        <v>2462</v>
      </c>
      <c r="K1507" t="s">
        <v>2462</v>
      </c>
    </row>
    <row r="1508" spans="2:11" x14ac:dyDescent="0.2">
      <c r="B1508" s="21">
        <f t="shared" si="23"/>
        <v>613</v>
      </c>
      <c r="C1508" t="s">
        <v>32</v>
      </c>
      <c r="D1508" t="s">
        <v>13</v>
      </c>
      <c r="E1508" t="s">
        <v>2751</v>
      </c>
      <c r="F1508" t="s">
        <v>4</v>
      </c>
      <c r="G1508" s="21">
        <v>1</v>
      </c>
      <c r="H1508" s="21">
        <v>0</v>
      </c>
      <c r="I1508" t="s">
        <v>595</v>
      </c>
      <c r="J1508" s="20" t="s">
        <v>2462</v>
      </c>
      <c r="K1508" t="s">
        <v>2462</v>
      </c>
    </row>
    <row r="1509" spans="2:11" x14ac:dyDescent="0.2">
      <c r="B1509" s="21">
        <f t="shared" si="23"/>
        <v>612</v>
      </c>
      <c r="C1509" t="s">
        <v>489</v>
      </c>
      <c r="D1509" t="s">
        <v>19</v>
      </c>
      <c r="E1509" t="s">
        <v>2751</v>
      </c>
      <c r="F1509" t="s">
        <v>27</v>
      </c>
      <c r="G1509" s="21">
        <v>1</v>
      </c>
      <c r="H1509" s="21">
        <v>0</v>
      </c>
      <c r="I1509" t="s">
        <v>515</v>
      </c>
      <c r="J1509" s="20" t="s">
        <v>2462</v>
      </c>
      <c r="K1509" t="s">
        <v>2462</v>
      </c>
    </row>
    <row r="1510" spans="2:11" x14ac:dyDescent="0.2">
      <c r="B1510" s="21">
        <f t="shared" si="23"/>
        <v>611</v>
      </c>
      <c r="C1510" t="s">
        <v>65</v>
      </c>
      <c r="D1510" t="s">
        <v>14</v>
      </c>
      <c r="E1510" t="s">
        <v>2751</v>
      </c>
      <c r="F1510" t="s">
        <v>115</v>
      </c>
      <c r="G1510" s="21">
        <v>1</v>
      </c>
      <c r="H1510" s="21">
        <v>0</v>
      </c>
      <c r="I1510" t="s">
        <v>596</v>
      </c>
      <c r="J1510" s="20" t="s">
        <v>2462</v>
      </c>
      <c r="K1510" t="s">
        <v>2462</v>
      </c>
    </row>
    <row r="1511" spans="2:11" x14ac:dyDescent="0.2">
      <c r="B1511" s="21">
        <f t="shared" si="23"/>
        <v>610</v>
      </c>
      <c r="C1511" t="s">
        <v>235</v>
      </c>
      <c r="D1511" t="s">
        <v>13</v>
      </c>
      <c r="E1511" t="s">
        <v>2751</v>
      </c>
      <c r="F1511" t="s">
        <v>27</v>
      </c>
      <c r="G1511" s="21">
        <v>1</v>
      </c>
      <c r="H1511" s="21">
        <v>0</v>
      </c>
      <c r="I1511" t="s">
        <v>589</v>
      </c>
      <c r="J1511" s="20" t="s">
        <v>2463</v>
      </c>
      <c r="K1511" t="s">
        <v>2463</v>
      </c>
    </row>
    <row r="1512" spans="2:11" x14ac:dyDescent="0.2">
      <c r="B1512" s="21">
        <f t="shared" si="23"/>
        <v>609</v>
      </c>
      <c r="C1512" t="s">
        <v>578</v>
      </c>
      <c r="D1512" t="s">
        <v>14</v>
      </c>
      <c r="E1512" t="s">
        <v>2751</v>
      </c>
      <c r="F1512" t="s">
        <v>27</v>
      </c>
      <c r="G1512" s="21">
        <v>1</v>
      </c>
      <c r="H1512" s="21">
        <v>0</v>
      </c>
      <c r="I1512" t="s">
        <v>590</v>
      </c>
      <c r="J1512" s="20" t="s">
        <v>2463</v>
      </c>
      <c r="K1512" t="s">
        <v>2463</v>
      </c>
    </row>
    <row r="1513" spans="2:11" x14ac:dyDescent="0.2">
      <c r="B1513" s="21">
        <f t="shared" si="23"/>
        <v>608</v>
      </c>
      <c r="C1513" t="s">
        <v>578</v>
      </c>
      <c r="D1513" t="s">
        <v>14</v>
      </c>
      <c r="E1513" t="s">
        <v>2751</v>
      </c>
      <c r="F1513" t="s">
        <v>27</v>
      </c>
      <c r="G1513" s="21">
        <v>1</v>
      </c>
      <c r="H1513" s="21">
        <v>0</v>
      </c>
      <c r="I1513" t="s">
        <v>587</v>
      </c>
      <c r="J1513" s="20" t="s">
        <v>2463</v>
      </c>
      <c r="K1513" t="s">
        <v>2463</v>
      </c>
    </row>
    <row r="1514" spans="2:11" x14ac:dyDescent="0.2">
      <c r="B1514" s="21">
        <f t="shared" si="23"/>
        <v>607</v>
      </c>
      <c r="C1514" t="s">
        <v>426</v>
      </c>
      <c r="D1514" t="s">
        <v>13</v>
      </c>
      <c r="E1514" t="s">
        <v>2751</v>
      </c>
      <c r="F1514" t="s">
        <v>27</v>
      </c>
      <c r="G1514" s="21">
        <v>1</v>
      </c>
      <c r="H1514" s="21">
        <v>0</v>
      </c>
      <c r="I1514" t="s">
        <v>588</v>
      </c>
      <c r="J1514" s="20" t="s">
        <v>2463</v>
      </c>
      <c r="K1514" t="s">
        <v>2463</v>
      </c>
    </row>
    <row r="1515" spans="2:11" x14ac:dyDescent="0.2">
      <c r="B1515" s="21">
        <f t="shared" si="23"/>
        <v>606</v>
      </c>
      <c r="C1515" t="s">
        <v>65</v>
      </c>
      <c r="D1515" t="s">
        <v>14</v>
      </c>
      <c r="E1515" t="s">
        <v>2751</v>
      </c>
      <c r="F1515" t="s">
        <v>115</v>
      </c>
      <c r="G1515" s="21">
        <v>1</v>
      </c>
      <c r="H1515" s="21">
        <v>0</v>
      </c>
      <c r="I1515" t="s">
        <v>594</v>
      </c>
      <c r="J1515" s="20" t="s">
        <v>2463</v>
      </c>
      <c r="K1515" t="s">
        <v>2463</v>
      </c>
    </row>
    <row r="1516" spans="2:11" x14ac:dyDescent="0.2">
      <c r="B1516" s="21">
        <f t="shared" si="23"/>
        <v>605</v>
      </c>
      <c r="C1516" t="s">
        <v>145</v>
      </c>
      <c r="D1516" t="s">
        <v>13</v>
      </c>
      <c r="E1516" t="s">
        <v>2751</v>
      </c>
      <c r="F1516" t="s">
        <v>27</v>
      </c>
      <c r="G1516" s="21">
        <v>1</v>
      </c>
      <c r="H1516" s="21">
        <v>0</v>
      </c>
      <c r="I1516" t="s">
        <v>591</v>
      </c>
      <c r="J1516" s="20" t="s">
        <v>2463</v>
      </c>
      <c r="K1516" t="s">
        <v>2463</v>
      </c>
    </row>
    <row r="1517" spans="2:11" x14ac:dyDescent="0.2">
      <c r="B1517" s="21">
        <f t="shared" si="23"/>
        <v>604</v>
      </c>
      <c r="C1517" t="s">
        <v>365</v>
      </c>
      <c r="D1517" t="s">
        <v>13</v>
      </c>
      <c r="E1517" t="s">
        <v>2751</v>
      </c>
      <c r="F1517" t="s">
        <v>43</v>
      </c>
      <c r="G1517" s="21">
        <v>1</v>
      </c>
      <c r="H1517" s="21">
        <v>0</v>
      </c>
      <c r="I1517" t="s">
        <v>593</v>
      </c>
      <c r="J1517" s="20" t="s">
        <v>2463</v>
      </c>
      <c r="K1517" t="s">
        <v>2463</v>
      </c>
    </row>
    <row r="1518" spans="2:11" x14ac:dyDescent="0.2">
      <c r="B1518" s="21">
        <f t="shared" si="23"/>
        <v>603</v>
      </c>
      <c r="C1518" t="s">
        <v>32</v>
      </c>
      <c r="D1518" t="s">
        <v>13</v>
      </c>
      <c r="E1518" t="s">
        <v>2751</v>
      </c>
      <c r="F1518" t="s">
        <v>28</v>
      </c>
      <c r="G1518" s="21">
        <v>1</v>
      </c>
      <c r="H1518" s="21">
        <v>0</v>
      </c>
      <c r="I1518" t="s">
        <v>592</v>
      </c>
      <c r="J1518" s="20" t="s">
        <v>2463</v>
      </c>
      <c r="K1518" t="s">
        <v>2462</v>
      </c>
    </row>
    <row r="1519" spans="2:11" x14ac:dyDescent="0.2">
      <c r="B1519" s="21">
        <f t="shared" si="23"/>
        <v>602</v>
      </c>
      <c r="C1519" t="s">
        <v>235</v>
      </c>
      <c r="D1519" t="s">
        <v>13</v>
      </c>
      <c r="E1519" t="s">
        <v>2751</v>
      </c>
      <c r="F1519" t="s">
        <v>27</v>
      </c>
      <c r="G1519" s="21">
        <v>1</v>
      </c>
      <c r="H1519" s="21">
        <v>0</v>
      </c>
      <c r="J1519" s="20" t="s">
        <v>2464</v>
      </c>
      <c r="K1519" t="s">
        <v>2463</v>
      </c>
    </row>
    <row r="1520" spans="2:11" x14ac:dyDescent="0.2">
      <c r="B1520" s="21">
        <f t="shared" si="23"/>
        <v>601</v>
      </c>
      <c r="C1520" t="s">
        <v>578</v>
      </c>
      <c r="D1520" t="s">
        <v>14</v>
      </c>
      <c r="E1520" t="s">
        <v>2751</v>
      </c>
      <c r="F1520" t="s">
        <v>27</v>
      </c>
      <c r="G1520" s="21">
        <v>1</v>
      </c>
      <c r="H1520" s="21">
        <v>0</v>
      </c>
      <c r="J1520" s="20" t="s">
        <v>2464</v>
      </c>
      <c r="K1520" t="s">
        <v>2463</v>
      </c>
    </row>
    <row r="1521" spans="2:11" x14ac:dyDescent="0.2">
      <c r="B1521" s="21">
        <f t="shared" si="23"/>
        <v>600</v>
      </c>
      <c r="C1521" t="s">
        <v>578</v>
      </c>
      <c r="D1521" t="s">
        <v>14</v>
      </c>
      <c r="E1521" t="s">
        <v>2751</v>
      </c>
      <c r="F1521" t="s">
        <v>4</v>
      </c>
      <c r="G1521" s="21">
        <v>1</v>
      </c>
      <c r="H1521" s="21">
        <v>0</v>
      </c>
      <c r="I1521" t="s">
        <v>585</v>
      </c>
      <c r="J1521" s="20" t="s">
        <v>2464</v>
      </c>
      <c r="K1521" t="s">
        <v>2464</v>
      </c>
    </row>
    <row r="1522" spans="2:11" x14ac:dyDescent="0.2">
      <c r="B1522" s="21">
        <f t="shared" si="23"/>
        <v>599</v>
      </c>
      <c r="C1522" t="s">
        <v>584</v>
      </c>
      <c r="D1522" t="s">
        <v>13</v>
      </c>
      <c r="E1522" t="s">
        <v>2751</v>
      </c>
      <c r="F1522" t="s">
        <v>27</v>
      </c>
      <c r="G1522" s="21">
        <v>1</v>
      </c>
      <c r="H1522" s="21">
        <v>0</v>
      </c>
      <c r="I1522" t="s">
        <v>586</v>
      </c>
      <c r="J1522" s="20" t="s">
        <v>2464</v>
      </c>
      <c r="K1522" t="s">
        <v>2464</v>
      </c>
    </row>
    <row r="1523" spans="2:11" x14ac:dyDescent="0.2">
      <c r="B1523" s="21">
        <f t="shared" si="23"/>
        <v>598</v>
      </c>
      <c r="C1523" t="s">
        <v>32</v>
      </c>
      <c r="D1523" t="s">
        <v>13</v>
      </c>
      <c r="E1523" t="s">
        <v>2751</v>
      </c>
      <c r="F1523" t="s">
        <v>28</v>
      </c>
      <c r="G1523" s="21">
        <v>1</v>
      </c>
      <c r="H1523" s="21">
        <v>0</v>
      </c>
      <c r="I1523" t="s">
        <v>583</v>
      </c>
      <c r="J1523" s="20" t="s">
        <v>2465</v>
      </c>
      <c r="K1523" t="s">
        <v>2465</v>
      </c>
    </row>
    <row r="1524" spans="2:11" x14ac:dyDescent="0.2">
      <c r="B1524" s="21">
        <f t="shared" si="23"/>
        <v>597</v>
      </c>
      <c r="C1524" t="s">
        <v>235</v>
      </c>
      <c r="D1524" t="s">
        <v>13</v>
      </c>
      <c r="E1524" t="s">
        <v>2751</v>
      </c>
      <c r="F1524" t="s">
        <v>27</v>
      </c>
      <c r="G1524" s="21">
        <v>1</v>
      </c>
      <c r="H1524" s="21">
        <v>0</v>
      </c>
      <c r="I1524" t="s">
        <v>582</v>
      </c>
      <c r="J1524" s="20" t="s">
        <v>2465</v>
      </c>
      <c r="K1524" t="s">
        <v>2464</v>
      </c>
    </row>
    <row r="1525" spans="2:11" x14ac:dyDescent="0.2">
      <c r="B1525" s="21">
        <f t="shared" si="23"/>
        <v>596</v>
      </c>
      <c r="C1525" t="s">
        <v>503</v>
      </c>
      <c r="D1525" t="s">
        <v>13</v>
      </c>
      <c r="E1525" t="s">
        <v>2751</v>
      </c>
      <c r="F1525" t="s">
        <v>27</v>
      </c>
      <c r="G1525" s="21">
        <v>1</v>
      </c>
      <c r="H1525" s="21">
        <v>0</v>
      </c>
      <c r="I1525" t="s">
        <v>580</v>
      </c>
      <c r="J1525" s="20" t="s">
        <v>2465</v>
      </c>
      <c r="K1525" t="s">
        <v>2465</v>
      </c>
    </row>
    <row r="1526" spans="2:11" x14ac:dyDescent="0.2">
      <c r="B1526" s="21">
        <f t="shared" si="23"/>
        <v>595</v>
      </c>
      <c r="C1526" t="s">
        <v>426</v>
      </c>
      <c r="D1526" t="s">
        <v>13</v>
      </c>
      <c r="E1526" t="s">
        <v>2751</v>
      </c>
      <c r="F1526" t="s">
        <v>27</v>
      </c>
      <c r="G1526" s="21">
        <v>1</v>
      </c>
      <c r="H1526" s="21">
        <v>0</v>
      </c>
      <c r="I1526" t="s">
        <v>579</v>
      </c>
      <c r="J1526" s="20" t="s">
        <v>2465</v>
      </c>
      <c r="K1526" t="s">
        <v>2465</v>
      </c>
    </row>
    <row r="1527" spans="2:11" x14ac:dyDescent="0.2">
      <c r="B1527" s="21">
        <f t="shared" si="23"/>
        <v>594</v>
      </c>
      <c r="C1527" t="s">
        <v>578</v>
      </c>
      <c r="D1527" t="s">
        <v>14</v>
      </c>
      <c r="E1527" t="s">
        <v>2751</v>
      </c>
      <c r="F1527" t="s">
        <v>27</v>
      </c>
      <c r="G1527" s="21">
        <v>1</v>
      </c>
      <c r="H1527" s="21">
        <v>0</v>
      </c>
      <c r="I1527" t="s">
        <v>581</v>
      </c>
      <c r="J1527" s="20" t="s">
        <v>2465</v>
      </c>
      <c r="K1527" t="s">
        <v>2464</v>
      </c>
    </row>
    <row r="1528" spans="2:11" x14ac:dyDescent="0.2">
      <c r="B1528" s="21">
        <f t="shared" si="23"/>
        <v>593</v>
      </c>
      <c r="C1528" t="s">
        <v>32</v>
      </c>
      <c r="D1528" t="s">
        <v>13</v>
      </c>
      <c r="E1528" t="s">
        <v>2751</v>
      </c>
      <c r="F1528" t="s">
        <v>28</v>
      </c>
      <c r="G1528" s="21">
        <v>1</v>
      </c>
      <c r="H1528" s="21">
        <v>0</v>
      </c>
      <c r="I1528" t="s">
        <v>575</v>
      </c>
      <c r="J1528" s="20" t="s">
        <v>2466</v>
      </c>
      <c r="K1528" t="s">
        <v>2465</v>
      </c>
    </row>
    <row r="1529" spans="2:11" x14ac:dyDescent="0.2">
      <c r="B1529" s="21">
        <f t="shared" si="23"/>
        <v>592</v>
      </c>
      <c r="C1529" t="s">
        <v>235</v>
      </c>
      <c r="D1529" t="s">
        <v>13</v>
      </c>
      <c r="E1529" t="s">
        <v>2751</v>
      </c>
      <c r="F1529" t="s">
        <v>27</v>
      </c>
      <c r="G1529" s="21">
        <v>1</v>
      </c>
      <c r="H1529" s="21">
        <v>0</v>
      </c>
      <c r="J1529" s="20" t="s">
        <v>2466</v>
      </c>
      <c r="K1529" t="s">
        <v>2465</v>
      </c>
    </row>
    <row r="1530" spans="2:11" x14ac:dyDescent="0.2">
      <c r="B1530" s="21">
        <f t="shared" si="23"/>
        <v>591</v>
      </c>
      <c r="C1530" t="s">
        <v>235</v>
      </c>
      <c r="D1530" t="s">
        <v>13</v>
      </c>
      <c r="E1530" t="s">
        <v>2751</v>
      </c>
      <c r="F1530" t="s">
        <v>43</v>
      </c>
      <c r="G1530" s="21">
        <v>1</v>
      </c>
      <c r="H1530" s="21">
        <v>0</v>
      </c>
      <c r="J1530" s="20" t="s">
        <v>2466</v>
      </c>
      <c r="K1530" t="s">
        <v>2465</v>
      </c>
    </row>
    <row r="1531" spans="2:11" x14ac:dyDescent="0.2">
      <c r="B1531" s="21">
        <f t="shared" si="23"/>
        <v>590</v>
      </c>
      <c r="C1531" t="s">
        <v>503</v>
      </c>
      <c r="D1531" t="s">
        <v>13</v>
      </c>
      <c r="E1531" t="s">
        <v>2751</v>
      </c>
      <c r="F1531" t="s">
        <v>27</v>
      </c>
      <c r="G1531" s="21">
        <v>1</v>
      </c>
      <c r="H1531" s="21">
        <v>0</v>
      </c>
      <c r="I1531" t="s">
        <v>576</v>
      </c>
      <c r="J1531" s="20" t="s">
        <v>2466</v>
      </c>
      <c r="K1531" t="s">
        <v>2466</v>
      </c>
    </row>
    <row r="1532" spans="2:11" x14ac:dyDescent="0.2">
      <c r="B1532" s="21">
        <f t="shared" si="23"/>
        <v>589</v>
      </c>
      <c r="C1532" t="s">
        <v>426</v>
      </c>
      <c r="D1532" t="s">
        <v>13</v>
      </c>
      <c r="E1532" t="s">
        <v>2751</v>
      </c>
      <c r="F1532" t="s">
        <v>27</v>
      </c>
      <c r="G1532" s="21">
        <v>1</v>
      </c>
      <c r="H1532" s="21">
        <v>0</v>
      </c>
      <c r="I1532" t="s">
        <v>577</v>
      </c>
      <c r="J1532" s="20" t="s">
        <v>2466</v>
      </c>
      <c r="K1532" t="s">
        <v>2465</v>
      </c>
    </row>
    <row r="1533" spans="2:11" x14ac:dyDescent="0.2">
      <c r="B1533" s="21">
        <f t="shared" si="23"/>
        <v>588</v>
      </c>
      <c r="C1533" t="s">
        <v>32</v>
      </c>
      <c r="D1533" t="s">
        <v>13</v>
      </c>
      <c r="E1533" t="s">
        <v>2751</v>
      </c>
      <c r="F1533" t="s">
        <v>28</v>
      </c>
      <c r="G1533" s="21">
        <v>1</v>
      </c>
      <c r="H1533" s="21">
        <v>0</v>
      </c>
      <c r="I1533" t="s">
        <v>572</v>
      </c>
      <c r="J1533" s="20" t="s">
        <v>2467</v>
      </c>
      <c r="K1533" t="s">
        <v>2714</v>
      </c>
    </row>
    <row r="1534" spans="2:11" x14ac:dyDescent="0.2">
      <c r="B1534" s="21">
        <f t="shared" si="23"/>
        <v>587</v>
      </c>
      <c r="C1534" t="s">
        <v>365</v>
      </c>
      <c r="D1534" t="s">
        <v>13</v>
      </c>
      <c r="E1534" t="s">
        <v>2751</v>
      </c>
      <c r="F1534" t="s">
        <v>43</v>
      </c>
      <c r="G1534" s="21">
        <v>1</v>
      </c>
      <c r="H1534" s="21">
        <v>0</v>
      </c>
      <c r="J1534" s="20" t="s">
        <v>2467</v>
      </c>
      <c r="K1534" t="s">
        <v>2714</v>
      </c>
    </row>
    <row r="1535" spans="2:11" x14ac:dyDescent="0.2">
      <c r="B1535" s="21">
        <f t="shared" si="23"/>
        <v>586</v>
      </c>
      <c r="C1535" t="s">
        <v>235</v>
      </c>
      <c r="D1535" t="s">
        <v>13</v>
      </c>
      <c r="E1535" t="s">
        <v>2751</v>
      </c>
      <c r="F1535" t="s">
        <v>27</v>
      </c>
      <c r="G1535" s="21">
        <v>1</v>
      </c>
      <c r="H1535" s="21">
        <v>0</v>
      </c>
      <c r="J1535" s="20" t="s">
        <v>2467</v>
      </c>
      <c r="K1535" t="s">
        <v>2714</v>
      </c>
    </row>
    <row r="1536" spans="2:11" x14ac:dyDescent="0.2">
      <c r="B1536" s="21">
        <f t="shared" si="23"/>
        <v>585</v>
      </c>
      <c r="C1536" t="s">
        <v>235</v>
      </c>
      <c r="D1536" t="s">
        <v>13</v>
      </c>
      <c r="E1536" t="s">
        <v>2751</v>
      </c>
      <c r="F1536" t="s">
        <v>43</v>
      </c>
      <c r="G1536" s="21">
        <v>1</v>
      </c>
      <c r="H1536" s="21">
        <v>0</v>
      </c>
      <c r="I1536" t="s">
        <v>574</v>
      </c>
      <c r="J1536" s="20" t="s">
        <v>2467</v>
      </c>
      <c r="K1536" t="s">
        <v>2714</v>
      </c>
    </row>
    <row r="1537" spans="2:11" x14ac:dyDescent="0.2">
      <c r="B1537" s="21">
        <f t="shared" si="23"/>
        <v>584</v>
      </c>
      <c r="C1537" t="s">
        <v>503</v>
      </c>
      <c r="D1537" t="s">
        <v>13</v>
      </c>
      <c r="E1537" t="s">
        <v>2751</v>
      </c>
      <c r="F1537" t="s">
        <v>27</v>
      </c>
      <c r="G1537" s="21">
        <v>1</v>
      </c>
      <c r="H1537" s="21">
        <v>0</v>
      </c>
      <c r="I1537" t="s">
        <v>521</v>
      </c>
      <c r="J1537" s="20" t="s">
        <v>2467</v>
      </c>
      <c r="K1537" t="s">
        <v>2714</v>
      </c>
    </row>
    <row r="1538" spans="2:11" x14ac:dyDescent="0.2">
      <c r="B1538" s="21">
        <f t="shared" si="23"/>
        <v>583</v>
      </c>
      <c r="C1538" t="s">
        <v>32</v>
      </c>
      <c r="D1538" t="s">
        <v>13</v>
      </c>
      <c r="E1538" t="s">
        <v>2751</v>
      </c>
      <c r="F1538" t="s">
        <v>28</v>
      </c>
      <c r="G1538" s="21">
        <v>1</v>
      </c>
      <c r="H1538" s="21">
        <v>0</v>
      </c>
      <c r="I1538" t="s">
        <v>572</v>
      </c>
      <c r="J1538" s="20" t="s">
        <v>2468</v>
      </c>
      <c r="K1538" t="s">
        <v>2467</v>
      </c>
    </row>
    <row r="1539" spans="2:11" x14ac:dyDescent="0.2">
      <c r="B1539" s="21">
        <f t="shared" si="23"/>
        <v>582</v>
      </c>
      <c r="C1539" t="s">
        <v>365</v>
      </c>
      <c r="D1539" t="s">
        <v>13</v>
      </c>
      <c r="E1539" t="s">
        <v>2751</v>
      </c>
      <c r="F1539" t="s">
        <v>43</v>
      </c>
      <c r="G1539" s="21">
        <v>1</v>
      </c>
      <c r="H1539" s="21">
        <v>0</v>
      </c>
      <c r="J1539" s="20" t="s">
        <v>2468</v>
      </c>
      <c r="K1539" t="s">
        <v>2467</v>
      </c>
    </row>
    <row r="1540" spans="2:11" x14ac:dyDescent="0.2">
      <c r="B1540" s="21">
        <f t="shared" si="23"/>
        <v>581</v>
      </c>
      <c r="C1540" t="s">
        <v>235</v>
      </c>
      <c r="D1540" t="s">
        <v>13</v>
      </c>
      <c r="E1540" t="s">
        <v>2751</v>
      </c>
      <c r="F1540" t="s">
        <v>21</v>
      </c>
      <c r="G1540" s="21">
        <v>1</v>
      </c>
      <c r="H1540" s="21">
        <v>0</v>
      </c>
      <c r="I1540" t="s">
        <v>573</v>
      </c>
      <c r="J1540" s="20" t="s">
        <v>2468</v>
      </c>
      <c r="K1540" t="s">
        <v>2468</v>
      </c>
    </row>
    <row r="1541" spans="2:11" x14ac:dyDescent="0.2">
      <c r="B1541" s="21">
        <f t="shared" ref="B1541:B1604" si="24">B1540-1</f>
        <v>580</v>
      </c>
      <c r="C1541" t="s">
        <v>235</v>
      </c>
      <c r="D1541" t="s">
        <v>13</v>
      </c>
      <c r="E1541" t="s">
        <v>2751</v>
      </c>
      <c r="F1541" t="s">
        <v>27</v>
      </c>
      <c r="G1541" s="21">
        <v>1</v>
      </c>
      <c r="H1541" s="21">
        <v>0</v>
      </c>
      <c r="J1541" s="20" t="s">
        <v>2468</v>
      </c>
      <c r="K1541" t="s">
        <v>2467</v>
      </c>
    </row>
    <row r="1542" spans="2:11" x14ac:dyDescent="0.2">
      <c r="B1542" s="21">
        <f t="shared" si="24"/>
        <v>579</v>
      </c>
      <c r="C1542" t="s">
        <v>32</v>
      </c>
      <c r="D1542" t="s">
        <v>13</v>
      </c>
      <c r="E1542" t="s">
        <v>2751</v>
      </c>
      <c r="F1542" t="s">
        <v>28</v>
      </c>
      <c r="G1542" s="21">
        <v>1</v>
      </c>
      <c r="H1542" s="21">
        <v>0</v>
      </c>
      <c r="I1542" t="s">
        <v>570</v>
      </c>
      <c r="J1542" s="20" t="s">
        <v>2469</v>
      </c>
      <c r="K1542" t="s">
        <v>2468</v>
      </c>
    </row>
    <row r="1543" spans="2:11" x14ac:dyDescent="0.2">
      <c r="B1543" s="21">
        <f t="shared" si="24"/>
        <v>578</v>
      </c>
      <c r="C1543" t="s">
        <v>365</v>
      </c>
      <c r="D1543" t="s">
        <v>13</v>
      </c>
      <c r="E1543" t="s">
        <v>2751</v>
      </c>
      <c r="F1543" t="s">
        <v>43</v>
      </c>
      <c r="G1543" s="21">
        <v>1</v>
      </c>
      <c r="H1543" s="21">
        <v>0</v>
      </c>
      <c r="I1543" t="s">
        <v>571</v>
      </c>
      <c r="J1543" s="20" t="s">
        <v>2469</v>
      </c>
      <c r="K1543" t="s">
        <v>2468</v>
      </c>
    </row>
    <row r="1544" spans="2:11" x14ac:dyDescent="0.2">
      <c r="B1544" s="21">
        <f t="shared" si="24"/>
        <v>577</v>
      </c>
      <c r="C1544" t="s">
        <v>32</v>
      </c>
      <c r="D1544" t="s">
        <v>13</v>
      </c>
      <c r="E1544" t="s">
        <v>2751</v>
      </c>
      <c r="F1544" t="s">
        <v>28</v>
      </c>
      <c r="G1544" s="21">
        <v>1</v>
      </c>
      <c r="H1544" s="21">
        <v>0</v>
      </c>
      <c r="I1544" t="s">
        <v>569</v>
      </c>
      <c r="J1544" s="20" t="s">
        <v>2470</v>
      </c>
      <c r="K1544" t="s">
        <v>2469</v>
      </c>
    </row>
    <row r="1545" spans="2:11" x14ac:dyDescent="0.2">
      <c r="B1545" s="21">
        <f t="shared" si="24"/>
        <v>576</v>
      </c>
      <c r="C1545" t="s">
        <v>365</v>
      </c>
      <c r="D1545" t="s">
        <v>13</v>
      </c>
      <c r="E1545" t="s">
        <v>2751</v>
      </c>
      <c r="F1545" t="s">
        <v>43</v>
      </c>
      <c r="G1545" s="21">
        <v>1</v>
      </c>
      <c r="H1545" s="21">
        <v>0</v>
      </c>
      <c r="J1545" s="20" t="s">
        <v>2470</v>
      </c>
      <c r="K1545" t="s">
        <v>2469</v>
      </c>
    </row>
    <row r="1546" spans="2:11" x14ac:dyDescent="0.2">
      <c r="B1546" s="21">
        <f t="shared" si="24"/>
        <v>575</v>
      </c>
      <c r="C1546" t="s">
        <v>32</v>
      </c>
      <c r="D1546" t="s">
        <v>13</v>
      </c>
      <c r="E1546" t="s">
        <v>2751</v>
      </c>
      <c r="F1546" t="s">
        <v>28</v>
      </c>
      <c r="G1546" s="21">
        <v>1</v>
      </c>
      <c r="H1546" s="21">
        <v>0</v>
      </c>
      <c r="J1546" s="20" t="s">
        <v>2471</v>
      </c>
      <c r="K1546" t="s">
        <v>2470</v>
      </c>
    </row>
    <row r="1547" spans="2:11" x14ac:dyDescent="0.2">
      <c r="B1547" s="21">
        <f t="shared" si="24"/>
        <v>574</v>
      </c>
      <c r="C1547" t="s">
        <v>32</v>
      </c>
      <c r="D1547" t="s">
        <v>13</v>
      </c>
      <c r="E1547" t="s">
        <v>2751</v>
      </c>
      <c r="F1547" t="s">
        <v>28</v>
      </c>
      <c r="G1547" s="21">
        <v>1</v>
      </c>
      <c r="H1547" s="21">
        <v>0</v>
      </c>
      <c r="J1547" s="20" t="s">
        <v>2472</v>
      </c>
      <c r="K1547" t="s">
        <v>2715</v>
      </c>
    </row>
    <row r="1548" spans="2:11" x14ac:dyDescent="0.2">
      <c r="B1548" s="21">
        <f t="shared" si="24"/>
        <v>573</v>
      </c>
      <c r="C1548" t="s">
        <v>551</v>
      </c>
      <c r="D1548" t="s">
        <v>13</v>
      </c>
      <c r="E1548" t="s">
        <v>2751</v>
      </c>
      <c r="F1548" t="s">
        <v>28</v>
      </c>
      <c r="G1548" s="21">
        <v>1</v>
      </c>
      <c r="H1548" s="21">
        <v>0</v>
      </c>
      <c r="I1548" t="s">
        <v>568</v>
      </c>
      <c r="J1548" s="20" t="s">
        <v>2472</v>
      </c>
      <c r="K1548" t="s">
        <v>2472</v>
      </c>
    </row>
    <row r="1549" spans="2:11" x14ac:dyDescent="0.2">
      <c r="B1549" s="21">
        <f t="shared" si="24"/>
        <v>572</v>
      </c>
      <c r="C1549" t="s">
        <v>235</v>
      </c>
      <c r="D1549" t="s">
        <v>13</v>
      </c>
      <c r="E1549" t="s">
        <v>2751</v>
      </c>
      <c r="F1549" t="s">
        <v>27</v>
      </c>
      <c r="G1549" s="21">
        <v>1</v>
      </c>
      <c r="H1549" s="21">
        <v>0</v>
      </c>
      <c r="I1549" t="s">
        <v>566</v>
      </c>
      <c r="J1549" s="20" t="s">
        <v>2473</v>
      </c>
      <c r="K1549" t="s">
        <v>2473</v>
      </c>
    </row>
    <row r="1550" spans="2:11" x14ac:dyDescent="0.2">
      <c r="B1550" s="21">
        <f t="shared" si="24"/>
        <v>571</v>
      </c>
      <c r="C1550" t="s">
        <v>316</v>
      </c>
      <c r="D1550" t="s">
        <v>13</v>
      </c>
      <c r="E1550" t="s">
        <v>2751</v>
      </c>
      <c r="F1550" t="s">
        <v>27</v>
      </c>
      <c r="G1550" s="21">
        <v>1</v>
      </c>
      <c r="H1550" s="21">
        <v>0</v>
      </c>
      <c r="I1550" t="s">
        <v>565</v>
      </c>
      <c r="J1550" s="20" t="s">
        <v>2473</v>
      </c>
      <c r="K1550" t="s">
        <v>2473</v>
      </c>
    </row>
    <row r="1551" spans="2:11" x14ac:dyDescent="0.2">
      <c r="B1551" s="21">
        <f t="shared" si="24"/>
        <v>570</v>
      </c>
      <c r="C1551" t="s">
        <v>32</v>
      </c>
      <c r="D1551" t="s">
        <v>13</v>
      </c>
      <c r="E1551" t="s">
        <v>2751</v>
      </c>
      <c r="F1551" t="s">
        <v>28</v>
      </c>
      <c r="G1551" s="21">
        <v>1</v>
      </c>
      <c r="H1551" s="21">
        <v>0</v>
      </c>
      <c r="I1551" t="s">
        <v>567</v>
      </c>
      <c r="J1551" s="20" t="s">
        <v>2473</v>
      </c>
      <c r="K1551" t="s">
        <v>2472</v>
      </c>
    </row>
    <row r="1552" spans="2:11" x14ac:dyDescent="0.2">
      <c r="B1552" s="21">
        <f t="shared" si="24"/>
        <v>569</v>
      </c>
      <c r="C1552" t="s">
        <v>32</v>
      </c>
      <c r="D1552" t="s">
        <v>13</v>
      </c>
      <c r="E1552" t="s">
        <v>2751</v>
      </c>
      <c r="F1552" t="s">
        <v>28</v>
      </c>
      <c r="G1552" s="21">
        <v>1</v>
      </c>
      <c r="H1552" s="21">
        <v>0</v>
      </c>
      <c r="I1552" t="s">
        <v>563</v>
      </c>
      <c r="J1552" s="20" t="s">
        <v>2474</v>
      </c>
      <c r="K1552" t="s">
        <v>2474</v>
      </c>
    </row>
    <row r="1553" spans="2:11" x14ac:dyDescent="0.2">
      <c r="B1553" s="21">
        <f t="shared" si="24"/>
        <v>568</v>
      </c>
      <c r="C1553" t="s">
        <v>555</v>
      </c>
      <c r="D1553" t="s">
        <v>13</v>
      </c>
      <c r="E1553" t="s">
        <v>2751</v>
      </c>
      <c r="F1553" t="s">
        <v>27</v>
      </c>
      <c r="G1553" s="21">
        <v>1</v>
      </c>
      <c r="H1553" s="21">
        <v>0</v>
      </c>
      <c r="J1553" s="20" t="s">
        <v>2474</v>
      </c>
      <c r="K1553" t="s">
        <v>2716</v>
      </c>
    </row>
    <row r="1554" spans="2:11" x14ac:dyDescent="0.2">
      <c r="B1554" s="21">
        <f t="shared" si="24"/>
        <v>567</v>
      </c>
      <c r="C1554" t="s">
        <v>235</v>
      </c>
      <c r="D1554" t="s">
        <v>13</v>
      </c>
      <c r="E1554" t="s">
        <v>2751</v>
      </c>
      <c r="F1554" t="s">
        <v>27</v>
      </c>
      <c r="G1554" s="21">
        <v>1</v>
      </c>
      <c r="H1554" s="21">
        <v>0</v>
      </c>
      <c r="J1554" s="20" t="s">
        <v>2474</v>
      </c>
      <c r="K1554" t="s">
        <v>2716</v>
      </c>
    </row>
    <row r="1555" spans="2:11" x14ac:dyDescent="0.2">
      <c r="B1555" s="21">
        <f t="shared" si="24"/>
        <v>566</v>
      </c>
      <c r="C1555" t="s">
        <v>316</v>
      </c>
      <c r="D1555" t="s">
        <v>13</v>
      </c>
      <c r="E1555" t="s">
        <v>2751</v>
      </c>
      <c r="F1555" t="s">
        <v>27</v>
      </c>
      <c r="G1555" s="21">
        <v>1</v>
      </c>
      <c r="H1555" s="21">
        <v>0</v>
      </c>
      <c r="I1555" t="s">
        <v>561</v>
      </c>
      <c r="J1555" s="20" t="s">
        <v>2474</v>
      </c>
      <c r="K1555" t="s">
        <v>2474</v>
      </c>
    </row>
    <row r="1556" spans="2:11" x14ac:dyDescent="0.2">
      <c r="B1556" s="21">
        <f t="shared" si="24"/>
        <v>565</v>
      </c>
      <c r="C1556" t="s">
        <v>109</v>
      </c>
      <c r="D1556" t="s">
        <v>15</v>
      </c>
      <c r="E1556" t="s">
        <v>2751</v>
      </c>
      <c r="F1556" t="s">
        <v>8</v>
      </c>
      <c r="G1556" s="21">
        <v>1</v>
      </c>
      <c r="H1556" s="21">
        <v>0</v>
      </c>
      <c r="I1556" t="s">
        <v>562</v>
      </c>
      <c r="J1556" s="20" t="s">
        <v>2474</v>
      </c>
      <c r="K1556" t="s">
        <v>2474</v>
      </c>
    </row>
    <row r="1557" spans="2:11" x14ac:dyDescent="0.2">
      <c r="B1557" s="21">
        <f t="shared" si="24"/>
        <v>564</v>
      </c>
      <c r="C1557" t="s">
        <v>551</v>
      </c>
      <c r="D1557" t="s">
        <v>13</v>
      </c>
      <c r="E1557" t="s">
        <v>2751</v>
      </c>
      <c r="F1557" t="s">
        <v>8</v>
      </c>
      <c r="G1557" s="21">
        <v>1</v>
      </c>
      <c r="H1557" s="21">
        <v>0</v>
      </c>
      <c r="I1557" t="s">
        <v>564</v>
      </c>
      <c r="J1557" s="20" t="s">
        <v>2474</v>
      </c>
      <c r="K1557" t="s">
        <v>2474</v>
      </c>
    </row>
    <row r="1558" spans="2:11" x14ac:dyDescent="0.2">
      <c r="B1558" s="21">
        <f t="shared" si="24"/>
        <v>563</v>
      </c>
      <c r="C1558" t="s">
        <v>32</v>
      </c>
      <c r="D1558" t="s">
        <v>13</v>
      </c>
      <c r="E1558" t="s">
        <v>2751</v>
      </c>
      <c r="F1558" t="s">
        <v>28</v>
      </c>
      <c r="G1558" s="21">
        <v>1</v>
      </c>
      <c r="H1558" s="21">
        <v>0</v>
      </c>
      <c r="J1558" s="20" t="s">
        <v>2475</v>
      </c>
      <c r="K1558" t="s">
        <v>2474</v>
      </c>
    </row>
    <row r="1559" spans="2:11" x14ac:dyDescent="0.2">
      <c r="B1559" s="21">
        <f t="shared" si="24"/>
        <v>562</v>
      </c>
      <c r="C1559" t="s">
        <v>555</v>
      </c>
      <c r="D1559" t="s">
        <v>13</v>
      </c>
      <c r="E1559" t="s">
        <v>2751</v>
      </c>
      <c r="F1559" t="s">
        <v>27</v>
      </c>
      <c r="G1559" s="21">
        <v>1</v>
      </c>
      <c r="H1559" s="21">
        <v>0</v>
      </c>
      <c r="J1559" s="20" t="s">
        <v>2475</v>
      </c>
      <c r="K1559" t="s">
        <v>2474</v>
      </c>
    </row>
    <row r="1560" spans="2:11" x14ac:dyDescent="0.2">
      <c r="B1560" s="21">
        <f t="shared" si="24"/>
        <v>561</v>
      </c>
      <c r="C1560" t="s">
        <v>235</v>
      </c>
      <c r="D1560" t="s">
        <v>13</v>
      </c>
      <c r="E1560" t="s">
        <v>2751</v>
      </c>
      <c r="F1560" t="s">
        <v>4</v>
      </c>
      <c r="G1560" s="21">
        <v>1</v>
      </c>
      <c r="H1560" s="21">
        <v>0</v>
      </c>
      <c r="I1560" t="s">
        <v>558</v>
      </c>
      <c r="J1560" s="20" t="s">
        <v>2475</v>
      </c>
      <c r="K1560" t="s">
        <v>2475</v>
      </c>
    </row>
    <row r="1561" spans="2:11" x14ac:dyDescent="0.2">
      <c r="B1561" s="21">
        <f t="shared" si="24"/>
        <v>560</v>
      </c>
      <c r="C1561" t="s">
        <v>235</v>
      </c>
      <c r="D1561" t="s">
        <v>13</v>
      </c>
      <c r="E1561" t="s">
        <v>2751</v>
      </c>
      <c r="F1561" t="s">
        <v>27</v>
      </c>
      <c r="G1561" s="21">
        <v>1</v>
      </c>
      <c r="H1561" s="21">
        <v>0</v>
      </c>
      <c r="I1561" t="s">
        <v>557</v>
      </c>
      <c r="J1561" s="20" t="s">
        <v>2475</v>
      </c>
      <c r="K1561" t="s">
        <v>2474</v>
      </c>
    </row>
    <row r="1562" spans="2:11" x14ac:dyDescent="0.2">
      <c r="B1562" s="21">
        <f t="shared" si="24"/>
        <v>559</v>
      </c>
      <c r="C1562" t="s">
        <v>316</v>
      </c>
      <c r="D1562" t="s">
        <v>13</v>
      </c>
      <c r="E1562" t="s">
        <v>2751</v>
      </c>
      <c r="F1562" t="s">
        <v>27</v>
      </c>
      <c r="G1562" s="21">
        <v>1</v>
      </c>
      <c r="H1562" s="21">
        <v>0</v>
      </c>
      <c r="I1562" t="s">
        <v>560</v>
      </c>
      <c r="J1562" s="20" t="s">
        <v>2475</v>
      </c>
      <c r="K1562" t="s">
        <v>2475</v>
      </c>
    </row>
    <row r="1563" spans="2:11" x14ac:dyDescent="0.2">
      <c r="B1563" s="21">
        <f t="shared" si="24"/>
        <v>558</v>
      </c>
      <c r="C1563" t="s">
        <v>32</v>
      </c>
      <c r="D1563" t="s">
        <v>13</v>
      </c>
      <c r="E1563" t="s">
        <v>2751</v>
      </c>
      <c r="F1563" t="s">
        <v>28</v>
      </c>
      <c r="G1563" s="21">
        <v>1</v>
      </c>
      <c r="H1563" s="21">
        <v>0</v>
      </c>
      <c r="J1563" s="20" t="s">
        <v>2476</v>
      </c>
      <c r="K1563" t="s">
        <v>2717</v>
      </c>
    </row>
    <row r="1564" spans="2:11" x14ac:dyDescent="0.2">
      <c r="B1564" s="21">
        <f t="shared" si="24"/>
        <v>557</v>
      </c>
      <c r="C1564" t="s">
        <v>553</v>
      </c>
      <c r="D1564" t="s">
        <v>13</v>
      </c>
      <c r="E1564" t="s">
        <v>2751</v>
      </c>
      <c r="F1564" t="s">
        <v>27</v>
      </c>
      <c r="G1564" s="21">
        <v>1</v>
      </c>
      <c r="H1564" s="21">
        <v>0</v>
      </c>
      <c r="I1564" t="s">
        <v>556</v>
      </c>
      <c r="J1564" s="20" t="s">
        <v>2476</v>
      </c>
      <c r="K1564" t="s">
        <v>2476</v>
      </c>
    </row>
    <row r="1565" spans="2:11" x14ac:dyDescent="0.2">
      <c r="B1565" s="21">
        <f t="shared" si="24"/>
        <v>556</v>
      </c>
      <c r="C1565" t="s">
        <v>145</v>
      </c>
      <c r="D1565" t="s">
        <v>13</v>
      </c>
      <c r="E1565" t="s">
        <v>2751</v>
      </c>
      <c r="F1565" t="s">
        <v>64</v>
      </c>
      <c r="G1565" s="21">
        <v>1</v>
      </c>
      <c r="H1565" s="21">
        <v>0</v>
      </c>
      <c r="I1565" t="s">
        <v>559</v>
      </c>
      <c r="J1565" s="20" t="s">
        <v>2476</v>
      </c>
      <c r="K1565" t="s">
        <v>2476</v>
      </c>
    </row>
    <row r="1566" spans="2:11" x14ac:dyDescent="0.2">
      <c r="B1566" s="21">
        <f t="shared" si="24"/>
        <v>555</v>
      </c>
      <c r="C1566" t="s">
        <v>555</v>
      </c>
      <c r="D1566" t="s">
        <v>13</v>
      </c>
      <c r="E1566" t="s">
        <v>2751</v>
      </c>
      <c r="F1566" t="s">
        <v>27</v>
      </c>
      <c r="G1566" s="21">
        <v>1</v>
      </c>
      <c r="H1566" s="21">
        <v>0</v>
      </c>
      <c r="J1566" s="20" t="s">
        <v>2476</v>
      </c>
      <c r="K1566" t="s">
        <v>2717</v>
      </c>
    </row>
    <row r="1567" spans="2:11" x14ac:dyDescent="0.2">
      <c r="B1567" s="21">
        <f t="shared" si="24"/>
        <v>554</v>
      </c>
      <c r="C1567" t="s">
        <v>32</v>
      </c>
      <c r="D1567" t="s">
        <v>13</v>
      </c>
      <c r="E1567" t="s">
        <v>2751</v>
      </c>
      <c r="F1567" t="s">
        <v>28</v>
      </c>
      <c r="G1567" s="21">
        <v>1</v>
      </c>
      <c r="H1567" s="21">
        <v>0</v>
      </c>
      <c r="I1567" t="s">
        <v>549</v>
      </c>
      <c r="J1567" s="20" t="s">
        <v>2477</v>
      </c>
      <c r="K1567" t="s">
        <v>2476</v>
      </c>
    </row>
    <row r="1568" spans="2:11" x14ac:dyDescent="0.2">
      <c r="B1568" s="21">
        <f t="shared" si="24"/>
        <v>553</v>
      </c>
      <c r="C1568" t="s">
        <v>365</v>
      </c>
      <c r="D1568" t="s">
        <v>13</v>
      </c>
      <c r="E1568" t="s">
        <v>2751</v>
      </c>
      <c r="F1568" t="s">
        <v>28</v>
      </c>
      <c r="G1568" s="21">
        <v>1</v>
      </c>
      <c r="H1568" s="21">
        <v>0</v>
      </c>
      <c r="I1568" t="s">
        <v>554</v>
      </c>
      <c r="J1568" s="20" t="s">
        <v>2477</v>
      </c>
      <c r="K1568" t="s">
        <v>2477</v>
      </c>
    </row>
    <row r="1569" spans="2:11" x14ac:dyDescent="0.2">
      <c r="B1569" s="21">
        <f t="shared" si="24"/>
        <v>552</v>
      </c>
      <c r="C1569" t="s">
        <v>551</v>
      </c>
      <c r="D1569" t="s">
        <v>13</v>
      </c>
      <c r="E1569" t="s">
        <v>2751</v>
      </c>
      <c r="F1569" t="s">
        <v>27</v>
      </c>
      <c r="G1569" s="21">
        <v>1</v>
      </c>
      <c r="H1569" s="21">
        <v>0</v>
      </c>
      <c r="I1569" t="s">
        <v>552</v>
      </c>
      <c r="J1569" s="20" t="s">
        <v>2477</v>
      </c>
      <c r="K1569" t="s">
        <v>2477</v>
      </c>
    </row>
    <row r="1570" spans="2:11" x14ac:dyDescent="0.2">
      <c r="B1570" s="21">
        <f t="shared" si="24"/>
        <v>551</v>
      </c>
      <c r="C1570" t="s">
        <v>553</v>
      </c>
      <c r="D1570" t="s">
        <v>13</v>
      </c>
      <c r="E1570" t="s">
        <v>2751</v>
      </c>
      <c r="F1570" t="s">
        <v>27</v>
      </c>
      <c r="G1570" s="21">
        <v>1</v>
      </c>
      <c r="H1570" s="21">
        <v>0</v>
      </c>
      <c r="J1570" s="20" t="s">
        <v>2477</v>
      </c>
      <c r="K1570" t="s">
        <v>2476</v>
      </c>
    </row>
    <row r="1571" spans="2:11" x14ac:dyDescent="0.2">
      <c r="B1571" s="21">
        <f t="shared" si="24"/>
        <v>550</v>
      </c>
      <c r="C1571" t="s">
        <v>32</v>
      </c>
      <c r="D1571" t="s">
        <v>13</v>
      </c>
      <c r="E1571" t="s">
        <v>2751</v>
      </c>
      <c r="F1571" t="s">
        <v>28</v>
      </c>
      <c r="G1571" s="21">
        <v>1</v>
      </c>
      <c r="H1571" s="21">
        <v>0</v>
      </c>
      <c r="I1571" t="s">
        <v>548</v>
      </c>
      <c r="J1571" s="20" t="s">
        <v>2478</v>
      </c>
      <c r="K1571" t="s">
        <v>2477</v>
      </c>
    </row>
    <row r="1572" spans="2:11" x14ac:dyDescent="0.2">
      <c r="B1572" s="21">
        <f t="shared" si="24"/>
        <v>549</v>
      </c>
      <c r="C1572" t="s">
        <v>365</v>
      </c>
      <c r="D1572" t="s">
        <v>13</v>
      </c>
      <c r="E1572" t="s">
        <v>2751</v>
      </c>
      <c r="F1572" t="s">
        <v>43</v>
      </c>
      <c r="G1572" s="21">
        <v>1</v>
      </c>
      <c r="H1572" s="21">
        <v>0</v>
      </c>
      <c r="J1572" s="20" t="s">
        <v>2478</v>
      </c>
      <c r="K1572" t="s">
        <v>2477</v>
      </c>
    </row>
    <row r="1573" spans="2:11" x14ac:dyDescent="0.2">
      <c r="B1573" s="21">
        <f t="shared" si="24"/>
        <v>548</v>
      </c>
      <c r="C1573" t="s">
        <v>65</v>
      </c>
      <c r="D1573" t="s">
        <v>14</v>
      </c>
      <c r="E1573" t="s">
        <v>2751</v>
      </c>
      <c r="F1573" t="s">
        <v>8</v>
      </c>
      <c r="G1573" s="21">
        <v>1</v>
      </c>
      <c r="H1573" s="21">
        <v>0</v>
      </c>
      <c r="I1573" t="s">
        <v>550</v>
      </c>
      <c r="J1573" s="20" t="s">
        <v>2478</v>
      </c>
      <c r="K1573" t="s">
        <v>2478</v>
      </c>
    </row>
    <row r="1574" spans="2:11" x14ac:dyDescent="0.2">
      <c r="B1574" s="21">
        <f t="shared" si="24"/>
        <v>547</v>
      </c>
      <c r="C1574" t="s">
        <v>32</v>
      </c>
      <c r="D1574" t="s">
        <v>13</v>
      </c>
      <c r="E1574" t="s">
        <v>2751</v>
      </c>
      <c r="F1574" t="s">
        <v>28</v>
      </c>
      <c r="G1574" s="21">
        <v>1</v>
      </c>
      <c r="H1574" s="21">
        <v>0</v>
      </c>
      <c r="I1574" t="s">
        <v>547</v>
      </c>
      <c r="J1574" s="20" t="s">
        <v>2479</v>
      </c>
      <c r="K1574" t="s">
        <v>2478</v>
      </c>
    </row>
    <row r="1575" spans="2:11" x14ac:dyDescent="0.2">
      <c r="B1575" s="21">
        <f t="shared" si="24"/>
        <v>546</v>
      </c>
      <c r="C1575" t="s">
        <v>365</v>
      </c>
      <c r="D1575" t="s">
        <v>13</v>
      </c>
      <c r="E1575" t="s">
        <v>2751</v>
      </c>
      <c r="F1575" t="s">
        <v>43</v>
      </c>
      <c r="G1575" s="21">
        <v>1</v>
      </c>
      <c r="H1575" s="21">
        <v>0</v>
      </c>
      <c r="J1575" s="20" t="s">
        <v>2479</v>
      </c>
      <c r="K1575" t="s">
        <v>2478</v>
      </c>
    </row>
    <row r="1576" spans="2:11" x14ac:dyDescent="0.2">
      <c r="B1576" s="21">
        <f t="shared" si="24"/>
        <v>545</v>
      </c>
      <c r="C1576" t="s">
        <v>65</v>
      </c>
      <c r="D1576" t="s">
        <v>14</v>
      </c>
      <c r="E1576" t="s">
        <v>2751</v>
      </c>
      <c r="F1576" t="s">
        <v>43</v>
      </c>
      <c r="G1576" s="21">
        <v>1</v>
      </c>
      <c r="H1576" s="21">
        <v>0</v>
      </c>
      <c r="I1576" t="s">
        <v>546</v>
      </c>
      <c r="J1576" s="20" t="s">
        <v>2479</v>
      </c>
      <c r="K1576" t="s">
        <v>2478</v>
      </c>
    </row>
    <row r="1577" spans="2:11" x14ac:dyDescent="0.2">
      <c r="B1577" s="21">
        <f t="shared" si="24"/>
        <v>544</v>
      </c>
      <c r="C1577" t="s">
        <v>32</v>
      </c>
      <c r="D1577" t="s">
        <v>13</v>
      </c>
      <c r="E1577" t="s">
        <v>2751</v>
      </c>
      <c r="F1577" t="s">
        <v>28</v>
      </c>
      <c r="G1577" s="21">
        <v>1</v>
      </c>
      <c r="H1577" s="21">
        <v>0</v>
      </c>
      <c r="I1577" t="s">
        <v>545</v>
      </c>
      <c r="J1577" s="20" t="s">
        <v>2480</v>
      </c>
      <c r="K1577" t="s">
        <v>2479</v>
      </c>
    </row>
    <row r="1578" spans="2:11" x14ac:dyDescent="0.2">
      <c r="B1578" s="21">
        <f t="shared" si="24"/>
        <v>543</v>
      </c>
      <c r="C1578" t="s">
        <v>503</v>
      </c>
      <c r="D1578" t="s">
        <v>13</v>
      </c>
      <c r="E1578" t="s">
        <v>2751</v>
      </c>
      <c r="F1578" t="s">
        <v>8</v>
      </c>
      <c r="G1578" s="21">
        <v>1</v>
      </c>
      <c r="H1578" s="21">
        <v>0</v>
      </c>
      <c r="I1578" t="s">
        <v>544</v>
      </c>
      <c r="J1578" s="20" t="s">
        <v>2480</v>
      </c>
      <c r="K1578" t="s">
        <v>2480</v>
      </c>
    </row>
    <row r="1579" spans="2:11" x14ac:dyDescent="0.2">
      <c r="B1579" s="21">
        <f t="shared" si="24"/>
        <v>542</v>
      </c>
      <c r="C1579" t="s">
        <v>365</v>
      </c>
      <c r="D1579" t="s">
        <v>13</v>
      </c>
      <c r="E1579" t="s">
        <v>2751</v>
      </c>
      <c r="F1579" t="s">
        <v>43</v>
      </c>
      <c r="G1579" s="21">
        <v>1</v>
      </c>
      <c r="H1579" s="21">
        <v>0</v>
      </c>
      <c r="I1579" t="s">
        <v>543</v>
      </c>
      <c r="J1579" s="20" t="s">
        <v>2480</v>
      </c>
      <c r="K1579" t="s">
        <v>2479</v>
      </c>
    </row>
    <row r="1580" spans="2:11" x14ac:dyDescent="0.2">
      <c r="B1580" s="21">
        <f t="shared" si="24"/>
        <v>541</v>
      </c>
      <c r="C1580" t="s">
        <v>316</v>
      </c>
      <c r="D1580" t="s">
        <v>13</v>
      </c>
      <c r="E1580" t="s">
        <v>2751</v>
      </c>
      <c r="F1580" t="s">
        <v>27</v>
      </c>
      <c r="G1580" s="21">
        <v>1</v>
      </c>
      <c r="H1580" s="21">
        <v>0</v>
      </c>
      <c r="I1580" t="s">
        <v>542</v>
      </c>
      <c r="J1580" s="20" t="s">
        <v>2480</v>
      </c>
      <c r="K1580" t="s">
        <v>2480</v>
      </c>
    </row>
    <row r="1581" spans="2:11" x14ac:dyDescent="0.2">
      <c r="B1581" s="21">
        <f t="shared" si="24"/>
        <v>540</v>
      </c>
      <c r="C1581" t="s">
        <v>540</v>
      </c>
      <c r="D1581" t="s">
        <v>13</v>
      </c>
      <c r="E1581" t="s">
        <v>2751</v>
      </c>
      <c r="F1581" t="s">
        <v>27</v>
      </c>
      <c r="G1581" s="21">
        <v>1</v>
      </c>
      <c r="H1581" s="21">
        <v>0</v>
      </c>
      <c r="I1581" t="s">
        <v>541</v>
      </c>
      <c r="J1581" s="20" t="s">
        <v>2480</v>
      </c>
      <c r="K1581" t="s">
        <v>2480</v>
      </c>
    </row>
    <row r="1582" spans="2:11" x14ac:dyDescent="0.2">
      <c r="B1582" s="21">
        <f t="shared" si="24"/>
        <v>539</v>
      </c>
      <c r="C1582" t="s">
        <v>32</v>
      </c>
      <c r="D1582" t="s">
        <v>13</v>
      </c>
      <c r="E1582" t="s">
        <v>2751</v>
      </c>
      <c r="F1582" t="s">
        <v>28</v>
      </c>
      <c r="G1582" s="21">
        <v>1</v>
      </c>
      <c r="H1582" s="21">
        <v>0</v>
      </c>
      <c r="I1582" t="s">
        <v>539</v>
      </c>
      <c r="J1582" s="20" t="s">
        <v>2481</v>
      </c>
      <c r="K1582" t="s">
        <v>2718</v>
      </c>
    </row>
    <row r="1583" spans="2:11" x14ac:dyDescent="0.2">
      <c r="B1583" s="21">
        <f t="shared" si="24"/>
        <v>538</v>
      </c>
      <c r="C1583" t="s">
        <v>503</v>
      </c>
      <c r="D1583" t="s">
        <v>13</v>
      </c>
      <c r="E1583" t="s">
        <v>2751</v>
      </c>
      <c r="F1583" t="s">
        <v>27</v>
      </c>
      <c r="G1583" s="21">
        <v>1</v>
      </c>
      <c r="H1583" s="21">
        <v>0</v>
      </c>
      <c r="J1583" s="20" t="s">
        <v>2481</v>
      </c>
      <c r="K1583" t="s">
        <v>2718</v>
      </c>
    </row>
    <row r="1584" spans="2:11" x14ac:dyDescent="0.2">
      <c r="B1584" s="21">
        <f t="shared" si="24"/>
        <v>537</v>
      </c>
      <c r="C1584" t="s">
        <v>365</v>
      </c>
      <c r="D1584" t="s">
        <v>13</v>
      </c>
      <c r="E1584" t="s">
        <v>2751</v>
      </c>
      <c r="F1584" t="s">
        <v>43</v>
      </c>
      <c r="G1584" s="21">
        <v>1</v>
      </c>
      <c r="H1584" s="21">
        <v>0</v>
      </c>
      <c r="J1584" s="20" t="s">
        <v>2481</v>
      </c>
      <c r="K1584" t="s">
        <v>2718</v>
      </c>
    </row>
    <row r="1585" spans="2:11" x14ac:dyDescent="0.2">
      <c r="B1585" s="21">
        <f t="shared" si="24"/>
        <v>536</v>
      </c>
      <c r="C1585" t="s">
        <v>316</v>
      </c>
      <c r="D1585" t="s">
        <v>13</v>
      </c>
      <c r="E1585" t="s">
        <v>2751</v>
      </c>
      <c r="F1585" t="s">
        <v>27</v>
      </c>
      <c r="G1585" s="21">
        <v>1</v>
      </c>
      <c r="H1585" s="21">
        <v>0</v>
      </c>
      <c r="I1585" t="s">
        <v>536</v>
      </c>
      <c r="J1585" s="20" t="s">
        <v>2481</v>
      </c>
      <c r="K1585" t="s">
        <v>2481</v>
      </c>
    </row>
    <row r="1586" spans="2:11" x14ac:dyDescent="0.2">
      <c r="B1586" s="21">
        <f t="shared" si="24"/>
        <v>535</v>
      </c>
      <c r="C1586" t="s">
        <v>32</v>
      </c>
      <c r="D1586" t="s">
        <v>13</v>
      </c>
      <c r="E1586" t="s">
        <v>2751</v>
      </c>
      <c r="F1586" t="s">
        <v>28</v>
      </c>
      <c r="G1586" s="21">
        <v>1</v>
      </c>
      <c r="H1586" s="21">
        <v>0</v>
      </c>
      <c r="I1586" t="s">
        <v>538</v>
      </c>
      <c r="J1586" s="20" t="s">
        <v>2482</v>
      </c>
      <c r="K1586" t="s">
        <v>2481</v>
      </c>
    </row>
    <row r="1587" spans="2:11" x14ac:dyDescent="0.2">
      <c r="B1587" s="21">
        <f t="shared" si="24"/>
        <v>534</v>
      </c>
      <c r="C1587" t="s">
        <v>503</v>
      </c>
      <c r="D1587" t="s">
        <v>13</v>
      </c>
      <c r="E1587" t="s">
        <v>2751</v>
      </c>
      <c r="F1587" t="s">
        <v>27</v>
      </c>
      <c r="G1587" s="21">
        <v>1</v>
      </c>
      <c r="H1587" s="21">
        <v>0</v>
      </c>
      <c r="J1587" s="20" t="s">
        <v>2482</v>
      </c>
      <c r="K1587" t="s">
        <v>2481</v>
      </c>
    </row>
    <row r="1588" spans="2:11" x14ac:dyDescent="0.2">
      <c r="B1588" s="21">
        <f t="shared" si="24"/>
        <v>533</v>
      </c>
      <c r="C1588" t="s">
        <v>365</v>
      </c>
      <c r="D1588" t="s">
        <v>13</v>
      </c>
      <c r="E1588" t="s">
        <v>2751</v>
      </c>
      <c r="F1588" t="s">
        <v>43</v>
      </c>
      <c r="G1588" s="21">
        <v>1</v>
      </c>
      <c r="H1588" s="21">
        <v>0</v>
      </c>
      <c r="J1588" s="20" t="s">
        <v>2482</v>
      </c>
      <c r="K1588" t="s">
        <v>2481</v>
      </c>
    </row>
    <row r="1589" spans="2:11" x14ac:dyDescent="0.2">
      <c r="B1589" s="21">
        <f t="shared" si="24"/>
        <v>532</v>
      </c>
      <c r="C1589" t="s">
        <v>220</v>
      </c>
      <c r="D1589" t="s">
        <v>13</v>
      </c>
      <c r="E1589" t="s">
        <v>2751</v>
      </c>
      <c r="F1589" t="s">
        <v>34</v>
      </c>
      <c r="G1589" s="21">
        <v>1</v>
      </c>
      <c r="H1589" s="21">
        <v>0</v>
      </c>
      <c r="I1589" t="s">
        <v>537</v>
      </c>
      <c r="J1589" s="20" t="s">
        <v>2482</v>
      </c>
      <c r="K1589" t="s">
        <v>2482</v>
      </c>
    </row>
    <row r="1590" spans="2:11" x14ac:dyDescent="0.2">
      <c r="B1590" s="21">
        <f t="shared" si="24"/>
        <v>531</v>
      </c>
      <c r="C1590" t="s">
        <v>32</v>
      </c>
      <c r="D1590" t="s">
        <v>13</v>
      </c>
      <c r="E1590" t="s">
        <v>2751</v>
      </c>
      <c r="F1590" t="s">
        <v>28</v>
      </c>
      <c r="G1590" s="21">
        <v>1</v>
      </c>
      <c r="H1590" s="21">
        <v>0</v>
      </c>
      <c r="J1590" s="20" t="s">
        <v>2483</v>
      </c>
      <c r="K1590" t="s">
        <v>2482</v>
      </c>
    </row>
    <row r="1591" spans="2:11" x14ac:dyDescent="0.2">
      <c r="B1591" s="21">
        <f t="shared" si="24"/>
        <v>530</v>
      </c>
      <c r="C1591" t="s">
        <v>503</v>
      </c>
      <c r="D1591" t="s">
        <v>13</v>
      </c>
      <c r="E1591" t="s">
        <v>2751</v>
      </c>
      <c r="F1591" t="s">
        <v>27</v>
      </c>
      <c r="G1591" s="21">
        <v>1</v>
      </c>
      <c r="H1591" s="21">
        <v>0</v>
      </c>
      <c r="J1591" s="20" t="s">
        <v>2483</v>
      </c>
      <c r="K1591" t="s">
        <v>2482</v>
      </c>
    </row>
    <row r="1592" spans="2:11" x14ac:dyDescent="0.2">
      <c r="B1592" s="21">
        <f t="shared" si="24"/>
        <v>529</v>
      </c>
      <c r="C1592" t="s">
        <v>429</v>
      </c>
      <c r="D1592" t="s">
        <v>13</v>
      </c>
      <c r="E1592" t="s">
        <v>2751</v>
      </c>
      <c r="F1592" t="s">
        <v>27</v>
      </c>
      <c r="G1592" s="21">
        <v>1</v>
      </c>
      <c r="H1592" s="21">
        <v>0</v>
      </c>
      <c r="I1592" t="s">
        <v>532</v>
      </c>
      <c r="J1592" s="20" t="s">
        <v>2483</v>
      </c>
      <c r="K1592" t="s">
        <v>2483</v>
      </c>
    </row>
    <row r="1593" spans="2:11" x14ac:dyDescent="0.2">
      <c r="B1593" s="21">
        <f t="shared" si="24"/>
        <v>528</v>
      </c>
      <c r="C1593" t="s">
        <v>495</v>
      </c>
      <c r="D1593" t="s">
        <v>13</v>
      </c>
      <c r="E1593" t="s">
        <v>2751</v>
      </c>
      <c r="F1593" t="s">
        <v>27</v>
      </c>
      <c r="G1593" s="21">
        <v>1</v>
      </c>
      <c r="H1593" s="21">
        <v>0</v>
      </c>
      <c r="I1593" t="s">
        <v>531</v>
      </c>
      <c r="J1593" s="20" t="s">
        <v>2483</v>
      </c>
      <c r="K1593" t="s">
        <v>2483</v>
      </c>
    </row>
    <row r="1594" spans="2:11" x14ac:dyDescent="0.2">
      <c r="B1594" s="21">
        <f t="shared" si="24"/>
        <v>527</v>
      </c>
      <c r="C1594" t="s">
        <v>316</v>
      </c>
      <c r="D1594" t="s">
        <v>13</v>
      </c>
      <c r="E1594" t="s">
        <v>2751</v>
      </c>
      <c r="F1594" t="s">
        <v>27</v>
      </c>
      <c r="G1594" s="21">
        <v>1</v>
      </c>
      <c r="H1594" s="21">
        <v>0</v>
      </c>
      <c r="I1594" t="s">
        <v>533</v>
      </c>
      <c r="J1594" s="20" t="s">
        <v>2483</v>
      </c>
      <c r="K1594" t="s">
        <v>2483</v>
      </c>
    </row>
    <row r="1595" spans="2:11" x14ac:dyDescent="0.2">
      <c r="B1595" s="21">
        <f t="shared" si="24"/>
        <v>526</v>
      </c>
      <c r="C1595" t="s">
        <v>145</v>
      </c>
      <c r="D1595" t="s">
        <v>13</v>
      </c>
      <c r="E1595" t="s">
        <v>2751</v>
      </c>
      <c r="F1595" t="s">
        <v>64</v>
      </c>
      <c r="G1595" s="21">
        <v>1</v>
      </c>
      <c r="H1595" s="21">
        <v>0</v>
      </c>
      <c r="I1595" t="s">
        <v>535</v>
      </c>
      <c r="J1595" s="20" t="s">
        <v>2483</v>
      </c>
      <c r="K1595" t="s">
        <v>2483</v>
      </c>
    </row>
    <row r="1596" spans="2:11" x14ac:dyDescent="0.2">
      <c r="B1596" s="21">
        <f t="shared" si="24"/>
        <v>525</v>
      </c>
      <c r="C1596" t="s">
        <v>365</v>
      </c>
      <c r="D1596" t="s">
        <v>13</v>
      </c>
      <c r="E1596" t="s">
        <v>2751</v>
      </c>
      <c r="F1596" t="s">
        <v>43</v>
      </c>
      <c r="G1596" s="21">
        <v>1</v>
      </c>
      <c r="H1596" s="21">
        <v>0</v>
      </c>
      <c r="J1596" s="20" t="s">
        <v>2483</v>
      </c>
      <c r="K1596" t="s">
        <v>2482</v>
      </c>
    </row>
    <row r="1597" spans="2:11" x14ac:dyDescent="0.2">
      <c r="B1597" s="21">
        <f t="shared" si="24"/>
        <v>524</v>
      </c>
      <c r="C1597" t="s">
        <v>220</v>
      </c>
      <c r="D1597" t="s">
        <v>13</v>
      </c>
      <c r="E1597" t="s">
        <v>2751</v>
      </c>
      <c r="F1597" t="s">
        <v>34</v>
      </c>
      <c r="G1597" s="21">
        <v>1</v>
      </c>
      <c r="H1597" s="21">
        <v>0</v>
      </c>
      <c r="I1597" t="s">
        <v>534</v>
      </c>
      <c r="J1597" s="20" t="s">
        <v>2483</v>
      </c>
      <c r="K1597" t="s">
        <v>2482</v>
      </c>
    </row>
    <row r="1598" spans="2:11" x14ac:dyDescent="0.2">
      <c r="B1598" s="21">
        <f t="shared" si="24"/>
        <v>523</v>
      </c>
      <c r="C1598" t="s">
        <v>220</v>
      </c>
      <c r="D1598" t="s">
        <v>13</v>
      </c>
      <c r="E1598" t="s">
        <v>2751</v>
      </c>
      <c r="F1598" t="s">
        <v>34</v>
      </c>
      <c r="G1598" s="21">
        <v>1</v>
      </c>
      <c r="H1598" s="21">
        <v>0</v>
      </c>
      <c r="I1598" t="s">
        <v>530</v>
      </c>
      <c r="J1598" s="20" t="s">
        <v>2484</v>
      </c>
      <c r="K1598" t="s">
        <v>2483</v>
      </c>
    </row>
    <row r="1599" spans="2:11" x14ac:dyDescent="0.2">
      <c r="B1599" s="21">
        <f t="shared" si="24"/>
        <v>522</v>
      </c>
      <c r="C1599" t="s">
        <v>32</v>
      </c>
      <c r="D1599" t="s">
        <v>13</v>
      </c>
      <c r="E1599" t="s">
        <v>2751</v>
      </c>
      <c r="F1599" t="s">
        <v>28</v>
      </c>
      <c r="G1599" s="21">
        <v>1</v>
      </c>
      <c r="H1599" s="21">
        <v>0</v>
      </c>
      <c r="I1599" t="s">
        <v>523</v>
      </c>
      <c r="J1599" s="20" t="s">
        <v>2484</v>
      </c>
      <c r="K1599" t="s">
        <v>2483</v>
      </c>
    </row>
    <row r="1600" spans="2:11" x14ac:dyDescent="0.2">
      <c r="B1600" s="21">
        <f t="shared" si="24"/>
        <v>521</v>
      </c>
      <c r="C1600" t="s">
        <v>503</v>
      </c>
      <c r="D1600" t="s">
        <v>13</v>
      </c>
      <c r="E1600" t="s">
        <v>2751</v>
      </c>
      <c r="F1600" t="s">
        <v>27</v>
      </c>
      <c r="G1600" s="21">
        <v>1</v>
      </c>
      <c r="H1600" s="21">
        <v>0</v>
      </c>
      <c r="I1600" t="s">
        <v>521</v>
      </c>
      <c r="J1600" s="20" t="s">
        <v>2484</v>
      </c>
      <c r="K1600" t="s">
        <v>2483</v>
      </c>
    </row>
    <row r="1601" spans="2:11" x14ac:dyDescent="0.2">
      <c r="B1601" s="21">
        <f t="shared" si="24"/>
        <v>520</v>
      </c>
      <c r="C1601" t="s">
        <v>429</v>
      </c>
      <c r="D1601" t="s">
        <v>13</v>
      </c>
      <c r="E1601" t="s">
        <v>2751</v>
      </c>
      <c r="F1601" t="s">
        <v>27</v>
      </c>
      <c r="G1601" s="21">
        <v>1</v>
      </c>
      <c r="H1601" s="21">
        <v>0</v>
      </c>
      <c r="I1601" t="s">
        <v>522</v>
      </c>
      <c r="J1601" s="20" t="s">
        <v>2484</v>
      </c>
      <c r="K1601" t="s">
        <v>2483</v>
      </c>
    </row>
    <row r="1602" spans="2:11" x14ac:dyDescent="0.2">
      <c r="B1602" s="21">
        <f t="shared" si="24"/>
        <v>519</v>
      </c>
      <c r="C1602" t="s">
        <v>65</v>
      </c>
      <c r="D1602" t="s">
        <v>14</v>
      </c>
      <c r="E1602" t="s">
        <v>2751</v>
      </c>
      <c r="F1602" t="s">
        <v>42</v>
      </c>
      <c r="G1602" s="21">
        <v>1</v>
      </c>
      <c r="H1602" s="21">
        <v>0</v>
      </c>
      <c r="I1602" t="s">
        <v>524</v>
      </c>
      <c r="J1602" s="20" t="s">
        <v>2484</v>
      </c>
      <c r="K1602" t="s">
        <v>2484</v>
      </c>
    </row>
    <row r="1603" spans="2:11" x14ac:dyDescent="0.2">
      <c r="B1603" s="21">
        <f t="shared" si="24"/>
        <v>518</v>
      </c>
      <c r="C1603" t="s">
        <v>499</v>
      </c>
      <c r="D1603" t="s">
        <v>13</v>
      </c>
      <c r="E1603" t="s">
        <v>2751</v>
      </c>
      <c r="F1603" t="s">
        <v>64</v>
      </c>
      <c r="G1603" s="21">
        <v>1</v>
      </c>
      <c r="H1603" s="21">
        <v>0</v>
      </c>
      <c r="I1603" t="s">
        <v>527</v>
      </c>
      <c r="J1603" s="20" t="s">
        <v>2484</v>
      </c>
      <c r="K1603" t="s">
        <v>2484</v>
      </c>
    </row>
    <row r="1604" spans="2:11" x14ac:dyDescent="0.2">
      <c r="B1604" s="21">
        <f t="shared" si="24"/>
        <v>517</v>
      </c>
      <c r="C1604" t="s">
        <v>495</v>
      </c>
      <c r="D1604" t="s">
        <v>13</v>
      </c>
      <c r="E1604" t="s">
        <v>2751</v>
      </c>
      <c r="F1604" t="s">
        <v>27</v>
      </c>
      <c r="G1604" s="21">
        <v>1</v>
      </c>
      <c r="H1604" s="21">
        <v>0</v>
      </c>
      <c r="I1604" t="s">
        <v>525</v>
      </c>
      <c r="J1604" s="20" t="s">
        <v>2484</v>
      </c>
      <c r="K1604" t="s">
        <v>2483</v>
      </c>
    </row>
    <row r="1605" spans="2:11" x14ac:dyDescent="0.2">
      <c r="B1605" s="21">
        <f t="shared" ref="B1605:B1668" si="25">B1604-1</f>
        <v>516</v>
      </c>
      <c r="C1605" t="s">
        <v>316</v>
      </c>
      <c r="D1605" t="s">
        <v>13</v>
      </c>
      <c r="E1605" t="s">
        <v>2751</v>
      </c>
      <c r="F1605" t="s">
        <v>27</v>
      </c>
      <c r="G1605" s="21">
        <v>1</v>
      </c>
      <c r="H1605" s="21">
        <v>0</v>
      </c>
      <c r="I1605" t="s">
        <v>526</v>
      </c>
      <c r="J1605" s="20" t="s">
        <v>2484</v>
      </c>
      <c r="K1605" t="s">
        <v>2483</v>
      </c>
    </row>
    <row r="1606" spans="2:11" x14ac:dyDescent="0.2">
      <c r="B1606" s="21">
        <f t="shared" si="25"/>
        <v>515</v>
      </c>
      <c r="C1606" t="s">
        <v>145</v>
      </c>
      <c r="D1606" t="s">
        <v>13</v>
      </c>
      <c r="E1606" t="s">
        <v>2751</v>
      </c>
      <c r="F1606" t="s">
        <v>64</v>
      </c>
      <c r="G1606" s="21">
        <v>1</v>
      </c>
      <c r="H1606" s="21">
        <v>0</v>
      </c>
      <c r="I1606" t="s">
        <v>528</v>
      </c>
      <c r="J1606" s="20" t="s">
        <v>2484</v>
      </c>
      <c r="K1606" t="s">
        <v>2483</v>
      </c>
    </row>
    <row r="1607" spans="2:11" x14ac:dyDescent="0.2">
      <c r="B1607" s="21">
        <f t="shared" si="25"/>
        <v>514</v>
      </c>
      <c r="C1607" t="s">
        <v>365</v>
      </c>
      <c r="D1607" t="s">
        <v>13</v>
      </c>
      <c r="E1607" t="s">
        <v>2751</v>
      </c>
      <c r="F1607" t="s">
        <v>43</v>
      </c>
      <c r="G1607" s="21">
        <v>1</v>
      </c>
      <c r="H1607" s="21">
        <v>0</v>
      </c>
      <c r="I1607" t="s">
        <v>529</v>
      </c>
      <c r="J1607" s="20" t="s">
        <v>2484</v>
      </c>
      <c r="K1607" t="s">
        <v>2483</v>
      </c>
    </row>
    <row r="1608" spans="2:11" x14ac:dyDescent="0.2">
      <c r="B1608" s="21">
        <f t="shared" si="25"/>
        <v>513</v>
      </c>
      <c r="C1608" t="s">
        <v>220</v>
      </c>
      <c r="D1608" t="s">
        <v>13</v>
      </c>
      <c r="E1608" t="s">
        <v>2751</v>
      </c>
      <c r="F1608" t="s">
        <v>34</v>
      </c>
      <c r="G1608" s="21">
        <v>1</v>
      </c>
      <c r="H1608" s="21">
        <v>0</v>
      </c>
      <c r="J1608" s="20" t="s">
        <v>2485</v>
      </c>
      <c r="K1608" t="s">
        <v>2484</v>
      </c>
    </row>
    <row r="1609" spans="2:11" x14ac:dyDescent="0.2">
      <c r="B1609" s="21">
        <f t="shared" si="25"/>
        <v>512</v>
      </c>
      <c r="C1609" t="s">
        <v>32</v>
      </c>
      <c r="D1609" t="s">
        <v>13</v>
      </c>
      <c r="E1609" t="s">
        <v>2751</v>
      </c>
      <c r="F1609" t="s">
        <v>28</v>
      </c>
      <c r="G1609" s="21">
        <v>1</v>
      </c>
      <c r="H1609" s="21">
        <v>0</v>
      </c>
      <c r="I1609" t="s">
        <v>523</v>
      </c>
      <c r="J1609" s="20" t="s">
        <v>2485</v>
      </c>
      <c r="K1609" t="s">
        <v>2484</v>
      </c>
    </row>
    <row r="1610" spans="2:11" x14ac:dyDescent="0.2">
      <c r="B1610" s="21">
        <f t="shared" si="25"/>
        <v>511</v>
      </c>
      <c r="C1610" t="s">
        <v>503</v>
      </c>
      <c r="D1610" t="s">
        <v>13</v>
      </c>
      <c r="E1610" t="s">
        <v>2751</v>
      </c>
      <c r="F1610" t="s">
        <v>27</v>
      </c>
      <c r="G1610" s="21">
        <v>1</v>
      </c>
      <c r="H1610" s="21">
        <v>0</v>
      </c>
      <c r="I1610" t="s">
        <v>521</v>
      </c>
      <c r="J1610" s="20" t="s">
        <v>2485</v>
      </c>
      <c r="K1610" t="s">
        <v>2484</v>
      </c>
    </row>
    <row r="1611" spans="2:11" x14ac:dyDescent="0.2">
      <c r="B1611" s="21">
        <f t="shared" si="25"/>
        <v>510</v>
      </c>
      <c r="C1611" t="s">
        <v>429</v>
      </c>
      <c r="D1611" t="s">
        <v>13</v>
      </c>
      <c r="E1611" t="s">
        <v>2751</v>
      </c>
      <c r="F1611" t="s">
        <v>28</v>
      </c>
      <c r="G1611" s="21">
        <v>1</v>
      </c>
      <c r="H1611" s="21">
        <v>0</v>
      </c>
      <c r="I1611" t="s">
        <v>522</v>
      </c>
      <c r="J1611" s="20" t="s">
        <v>2485</v>
      </c>
      <c r="K1611" t="s">
        <v>2484</v>
      </c>
    </row>
    <row r="1612" spans="2:11" x14ac:dyDescent="0.2">
      <c r="B1612" s="21">
        <f t="shared" si="25"/>
        <v>509</v>
      </c>
      <c r="C1612" t="s">
        <v>499</v>
      </c>
      <c r="D1612" t="s">
        <v>13</v>
      </c>
      <c r="E1612" t="s">
        <v>2751</v>
      </c>
      <c r="F1612" t="s">
        <v>64</v>
      </c>
      <c r="G1612" s="21">
        <v>1</v>
      </c>
      <c r="H1612" s="21">
        <v>0</v>
      </c>
      <c r="I1612" t="s">
        <v>520</v>
      </c>
      <c r="J1612" s="20" t="s">
        <v>2485</v>
      </c>
      <c r="K1612" t="s">
        <v>2485</v>
      </c>
    </row>
    <row r="1613" spans="2:11" x14ac:dyDescent="0.2">
      <c r="B1613" s="21">
        <f t="shared" si="25"/>
        <v>508</v>
      </c>
      <c r="C1613" t="s">
        <v>151</v>
      </c>
      <c r="D1613" t="s">
        <v>13</v>
      </c>
      <c r="E1613" t="s">
        <v>2751</v>
      </c>
      <c r="F1613" t="s">
        <v>42</v>
      </c>
      <c r="G1613" s="21">
        <v>1</v>
      </c>
      <c r="H1613" s="21">
        <v>0</v>
      </c>
      <c r="I1613" t="s">
        <v>518</v>
      </c>
      <c r="J1613" s="20" t="s">
        <v>2485</v>
      </c>
      <c r="K1613" t="s">
        <v>2485</v>
      </c>
    </row>
    <row r="1614" spans="2:11" x14ac:dyDescent="0.2">
      <c r="B1614" s="21">
        <f t="shared" si="25"/>
        <v>507</v>
      </c>
      <c r="C1614" t="s">
        <v>235</v>
      </c>
      <c r="D1614" t="s">
        <v>13</v>
      </c>
      <c r="E1614" t="s">
        <v>2751</v>
      </c>
      <c r="F1614" t="s">
        <v>27</v>
      </c>
      <c r="G1614" s="21">
        <v>1</v>
      </c>
      <c r="H1614" s="21">
        <v>0</v>
      </c>
      <c r="I1614" t="s">
        <v>519</v>
      </c>
      <c r="J1614" s="20" t="s">
        <v>2485</v>
      </c>
      <c r="K1614" t="s">
        <v>2485</v>
      </c>
    </row>
    <row r="1615" spans="2:11" x14ac:dyDescent="0.2">
      <c r="B1615" s="21">
        <f t="shared" si="25"/>
        <v>506</v>
      </c>
      <c r="C1615" t="s">
        <v>32</v>
      </c>
      <c r="D1615" t="s">
        <v>13</v>
      </c>
      <c r="E1615" t="s">
        <v>2751</v>
      </c>
      <c r="F1615" t="s">
        <v>28</v>
      </c>
      <c r="G1615" s="21">
        <v>1</v>
      </c>
      <c r="H1615" s="21">
        <v>0</v>
      </c>
      <c r="J1615" s="20" t="s">
        <v>2486</v>
      </c>
      <c r="K1615" t="s">
        <v>2485</v>
      </c>
    </row>
    <row r="1616" spans="2:11" x14ac:dyDescent="0.2">
      <c r="B1616" s="21">
        <f t="shared" si="25"/>
        <v>505</v>
      </c>
      <c r="C1616" t="s">
        <v>477</v>
      </c>
      <c r="D1616" t="s">
        <v>13</v>
      </c>
      <c r="E1616" t="s">
        <v>2751</v>
      </c>
      <c r="F1616" t="s">
        <v>27</v>
      </c>
      <c r="G1616" s="21">
        <v>1</v>
      </c>
      <c r="H1616" s="21">
        <v>0</v>
      </c>
      <c r="J1616" s="20" t="s">
        <v>2486</v>
      </c>
      <c r="K1616" t="s">
        <v>2485</v>
      </c>
    </row>
    <row r="1617" spans="2:11" x14ac:dyDescent="0.2">
      <c r="B1617" s="21">
        <f t="shared" si="25"/>
        <v>504</v>
      </c>
      <c r="C1617" t="s">
        <v>496</v>
      </c>
      <c r="D1617" t="s">
        <v>13</v>
      </c>
      <c r="E1617" t="s">
        <v>2751</v>
      </c>
      <c r="F1617" t="s">
        <v>27</v>
      </c>
      <c r="G1617" s="21">
        <v>1</v>
      </c>
      <c r="H1617" s="21">
        <v>0</v>
      </c>
      <c r="J1617" s="20" t="s">
        <v>2486</v>
      </c>
      <c r="K1617" t="s">
        <v>2485</v>
      </c>
    </row>
    <row r="1618" spans="2:11" x14ac:dyDescent="0.2">
      <c r="B1618" s="21">
        <f t="shared" si="25"/>
        <v>503</v>
      </c>
      <c r="C1618" t="s">
        <v>503</v>
      </c>
      <c r="D1618" t="s">
        <v>13</v>
      </c>
      <c r="E1618" t="s">
        <v>2751</v>
      </c>
      <c r="F1618" t="s">
        <v>27</v>
      </c>
      <c r="G1618" s="21">
        <v>1</v>
      </c>
      <c r="H1618" s="21">
        <v>0</v>
      </c>
      <c r="J1618" s="20" t="s">
        <v>2486</v>
      </c>
      <c r="K1618" t="s">
        <v>2485</v>
      </c>
    </row>
    <row r="1619" spans="2:11" x14ac:dyDescent="0.2">
      <c r="B1619" s="21">
        <f t="shared" si="25"/>
        <v>502</v>
      </c>
      <c r="C1619" t="s">
        <v>429</v>
      </c>
      <c r="D1619" t="s">
        <v>13</v>
      </c>
      <c r="E1619" t="s">
        <v>2751</v>
      </c>
      <c r="F1619" t="s">
        <v>61</v>
      </c>
      <c r="G1619" s="21">
        <v>1</v>
      </c>
      <c r="H1619" s="21">
        <v>0</v>
      </c>
      <c r="I1619" t="s">
        <v>514</v>
      </c>
      <c r="J1619" s="20" t="s">
        <v>2486</v>
      </c>
      <c r="K1619" t="s">
        <v>2486</v>
      </c>
    </row>
    <row r="1620" spans="2:11" x14ac:dyDescent="0.2">
      <c r="B1620" s="21">
        <f t="shared" si="25"/>
        <v>501</v>
      </c>
      <c r="C1620" t="s">
        <v>489</v>
      </c>
      <c r="D1620" t="s">
        <v>19</v>
      </c>
      <c r="E1620" t="s">
        <v>2751</v>
      </c>
      <c r="F1620" t="s">
        <v>27</v>
      </c>
      <c r="G1620" s="21">
        <v>1</v>
      </c>
      <c r="H1620" s="21">
        <v>0</v>
      </c>
      <c r="I1620" t="s">
        <v>515</v>
      </c>
      <c r="J1620" s="20" t="s">
        <v>2486</v>
      </c>
      <c r="K1620" t="s">
        <v>2486</v>
      </c>
    </row>
    <row r="1621" spans="2:11" x14ac:dyDescent="0.2">
      <c r="B1621" s="21">
        <f t="shared" si="25"/>
        <v>500</v>
      </c>
      <c r="C1621" t="s">
        <v>429</v>
      </c>
      <c r="D1621" t="s">
        <v>13</v>
      </c>
      <c r="E1621" t="s">
        <v>2751</v>
      </c>
      <c r="F1621" t="s">
        <v>28</v>
      </c>
      <c r="G1621" s="21">
        <v>1</v>
      </c>
      <c r="H1621" s="21">
        <v>0</v>
      </c>
      <c r="J1621" s="20" t="s">
        <v>2486</v>
      </c>
      <c r="K1621" t="s">
        <v>2485</v>
      </c>
    </row>
    <row r="1622" spans="2:11" x14ac:dyDescent="0.2">
      <c r="B1622" s="21">
        <f t="shared" si="25"/>
        <v>499</v>
      </c>
      <c r="C1622" t="s">
        <v>516</v>
      </c>
      <c r="D1622" t="s">
        <v>13</v>
      </c>
      <c r="E1622" t="s">
        <v>2751</v>
      </c>
      <c r="F1622" t="s">
        <v>64</v>
      </c>
      <c r="G1622" s="21">
        <v>1</v>
      </c>
      <c r="H1622" s="21">
        <v>0</v>
      </c>
      <c r="I1622" t="s">
        <v>517</v>
      </c>
      <c r="J1622" s="20" t="s">
        <v>2486</v>
      </c>
      <c r="K1622" t="s">
        <v>2486</v>
      </c>
    </row>
    <row r="1623" spans="2:11" x14ac:dyDescent="0.2">
      <c r="B1623" s="21">
        <f t="shared" si="25"/>
        <v>498</v>
      </c>
      <c r="C1623" t="s">
        <v>499</v>
      </c>
      <c r="D1623" t="s">
        <v>13</v>
      </c>
      <c r="E1623" t="s">
        <v>2751</v>
      </c>
      <c r="F1623" t="s">
        <v>64</v>
      </c>
      <c r="G1623" s="21">
        <v>1</v>
      </c>
      <c r="H1623" s="21">
        <v>0</v>
      </c>
      <c r="J1623" s="20" t="s">
        <v>2486</v>
      </c>
      <c r="K1623" t="s">
        <v>2485</v>
      </c>
    </row>
    <row r="1624" spans="2:11" x14ac:dyDescent="0.2">
      <c r="B1624" s="21">
        <f t="shared" si="25"/>
        <v>497</v>
      </c>
      <c r="C1624" t="s">
        <v>32</v>
      </c>
      <c r="D1624" t="s">
        <v>13</v>
      </c>
      <c r="E1624" t="s">
        <v>2751</v>
      </c>
      <c r="F1624" t="s">
        <v>28</v>
      </c>
      <c r="G1624" s="21">
        <v>1</v>
      </c>
      <c r="H1624" s="21">
        <v>0</v>
      </c>
      <c r="J1624" s="20" t="s">
        <v>2487</v>
      </c>
      <c r="K1624" t="s">
        <v>2719</v>
      </c>
    </row>
    <row r="1625" spans="2:11" x14ac:dyDescent="0.2">
      <c r="B1625" s="21">
        <f t="shared" si="25"/>
        <v>496</v>
      </c>
      <c r="C1625" t="s">
        <v>477</v>
      </c>
      <c r="D1625" t="s">
        <v>13</v>
      </c>
      <c r="E1625" t="s">
        <v>2751</v>
      </c>
      <c r="F1625" t="s">
        <v>27</v>
      </c>
      <c r="G1625" s="21">
        <v>1</v>
      </c>
      <c r="H1625" s="21">
        <v>0</v>
      </c>
      <c r="J1625" s="20" t="s">
        <v>2487</v>
      </c>
      <c r="K1625" t="s">
        <v>2719</v>
      </c>
    </row>
    <row r="1626" spans="2:11" x14ac:dyDescent="0.2">
      <c r="B1626" s="21">
        <f t="shared" si="25"/>
        <v>495</v>
      </c>
      <c r="C1626" t="s">
        <v>496</v>
      </c>
      <c r="D1626" t="s">
        <v>13</v>
      </c>
      <c r="E1626" t="s">
        <v>2751</v>
      </c>
      <c r="F1626" t="s">
        <v>27</v>
      </c>
      <c r="G1626" s="21">
        <v>1</v>
      </c>
      <c r="H1626" s="21">
        <v>0</v>
      </c>
      <c r="J1626" s="20" t="s">
        <v>2487</v>
      </c>
      <c r="K1626" t="s">
        <v>2719</v>
      </c>
    </row>
    <row r="1627" spans="2:11" x14ac:dyDescent="0.2">
      <c r="B1627" s="21">
        <f t="shared" si="25"/>
        <v>494</v>
      </c>
      <c r="C1627" t="s">
        <v>365</v>
      </c>
      <c r="D1627" t="s">
        <v>13</v>
      </c>
      <c r="E1627" t="s">
        <v>2751</v>
      </c>
      <c r="F1627" t="s">
        <v>8</v>
      </c>
      <c r="G1627" s="21">
        <v>1</v>
      </c>
      <c r="H1627" s="21">
        <v>0</v>
      </c>
      <c r="I1627" t="s">
        <v>513</v>
      </c>
      <c r="J1627" s="20" t="s">
        <v>2487</v>
      </c>
      <c r="K1627" t="s">
        <v>2487</v>
      </c>
    </row>
    <row r="1628" spans="2:11" x14ac:dyDescent="0.2">
      <c r="B1628" s="21">
        <f t="shared" si="25"/>
        <v>493</v>
      </c>
      <c r="C1628" t="s">
        <v>151</v>
      </c>
      <c r="D1628" t="s">
        <v>13</v>
      </c>
      <c r="E1628" t="s">
        <v>2751</v>
      </c>
      <c r="F1628" t="s">
        <v>34</v>
      </c>
      <c r="G1628" s="21">
        <v>1</v>
      </c>
      <c r="H1628" s="21">
        <v>0</v>
      </c>
      <c r="I1628" t="s">
        <v>512</v>
      </c>
      <c r="J1628" s="20" t="s">
        <v>2487</v>
      </c>
      <c r="K1628" t="s">
        <v>2487</v>
      </c>
    </row>
    <row r="1629" spans="2:11" x14ac:dyDescent="0.2">
      <c r="B1629" s="21">
        <f t="shared" si="25"/>
        <v>492</v>
      </c>
      <c r="C1629" t="s">
        <v>503</v>
      </c>
      <c r="D1629" t="s">
        <v>13</v>
      </c>
      <c r="E1629" t="s">
        <v>2751</v>
      </c>
      <c r="F1629" t="s">
        <v>27</v>
      </c>
      <c r="G1629" s="21">
        <v>1</v>
      </c>
      <c r="H1629" s="21">
        <v>0</v>
      </c>
      <c r="J1629" s="20" t="s">
        <v>2487</v>
      </c>
      <c r="K1629" t="s">
        <v>2719</v>
      </c>
    </row>
    <row r="1630" spans="2:11" x14ac:dyDescent="0.2">
      <c r="B1630" s="21">
        <f t="shared" si="25"/>
        <v>491</v>
      </c>
      <c r="C1630" t="s">
        <v>429</v>
      </c>
      <c r="D1630" t="s">
        <v>13</v>
      </c>
      <c r="E1630" t="s">
        <v>2751</v>
      </c>
      <c r="F1630" t="s">
        <v>46</v>
      </c>
      <c r="G1630" s="21">
        <v>1</v>
      </c>
      <c r="H1630" s="21">
        <v>0</v>
      </c>
      <c r="I1630" t="s">
        <v>510</v>
      </c>
      <c r="J1630" s="20" t="s">
        <v>2487</v>
      </c>
      <c r="K1630" t="s">
        <v>2487</v>
      </c>
    </row>
    <row r="1631" spans="2:11" x14ac:dyDescent="0.2">
      <c r="B1631" s="21">
        <f t="shared" si="25"/>
        <v>490</v>
      </c>
      <c r="C1631" t="s">
        <v>316</v>
      </c>
      <c r="D1631" t="s">
        <v>13</v>
      </c>
      <c r="E1631" t="s">
        <v>2751</v>
      </c>
      <c r="F1631" t="s">
        <v>46</v>
      </c>
      <c r="G1631" s="21">
        <v>1</v>
      </c>
      <c r="H1631" s="21">
        <v>0</v>
      </c>
      <c r="I1631" t="s">
        <v>511</v>
      </c>
      <c r="J1631" s="20" t="s">
        <v>2487</v>
      </c>
      <c r="K1631" t="s">
        <v>2487</v>
      </c>
    </row>
    <row r="1632" spans="2:11" x14ac:dyDescent="0.2">
      <c r="B1632" s="21">
        <f t="shared" si="25"/>
        <v>489</v>
      </c>
      <c r="C1632" t="s">
        <v>499</v>
      </c>
      <c r="D1632" t="s">
        <v>13</v>
      </c>
      <c r="E1632" t="s">
        <v>2751</v>
      </c>
      <c r="F1632" t="s">
        <v>64</v>
      </c>
      <c r="G1632" s="21">
        <v>1</v>
      </c>
      <c r="H1632" s="21">
        <v>0</v>
      </c>
      <c r="J1632" s="20" t="s">
        <v>2487</v>
      </c>
      <c r="K1632" t="s">
        <v>2719</v>
      </c>
    </row>
    <row r="1633" spans="2:11" x14ac:dyDescent="0.2">
      <c r="B1633" s="21">
        <f t="shared" si="25"/>
        <v>488</v>
      </c>
      <c r="C1633" t="s">
        <v>220</v>
      </c>
      <c r="D1633" t="s">
        <v>13</v>
      </c>
      <c r="E1633" t="s">
        <v>2751</v>
      </c>
      <c r="F1633" t="s">
        <v>34</v>
      </c>
      <c r="G1633" s="21">
        <v>1</v>
      </c>
      <c r="H1633" s="21">
        <v>0</v>
      </c>
      <c r="J1633" s="20" t="s">
        <v>2488</v>
      </c>
      <c r="K1633" t="s">
        <v>2487</v>
      </c>
    </row>
    <row r="1634" spans="2:11" x14ac:dyDescent="0.2">
      <c r="B1634" s="21">
        <f t="shared" si="25"/>
        <v>487</v>
      </c>
      <c r="C1634" t="s">
        <v>32</v>
      </c>
      <c r="D1634" t="s">
        <v>13</v>
      </c>
      <c r="E1634" t="s">
        <v>2751</v>
      </c>
      <c r="F1634" t="s">
        <v>28</v>
      </c>
      <c r="G1634" s="21">
        <v>1</v>
      </c>
      <c r="H1634" s="21">
        <v>0</v>
      </c>
      <c r="I1634" t="s">
        <v>509</v>
      </c>
      <c r="J1634" s="20" t="s">
        <v>2488</v>
      </c>
      <c r="K1634" t="s">
        <v>2487</v>
      </c>
    </row>
    <row r="1635" spans="2:11" x14ac:dyDescent="0.2">
      <c r="B1635" s="21">
        <f t="shared" si="25"/>
        <v>486</v>
      </c>
      <c r="C1635" t="s">
        <v>477</v>
      </c>
      <c r="D1635" t="s">
        <v>13</v>
      </c>
      <c r="E1635" t="s">
        <v>2751</v>
      </c>
      <c r="F1635" t="s">
        <v>27</v>
      </c>
      <c r="G1635" s="21">
        <v>1</v>
      </c>
      <c r="H1635" s="21">
        <v>0</v>
      </c>
      <c r="J1635" s="20" t="s">
        <v>2488</v>
      </c>
      <c r="K1635" t="s">
        <v>2487</v>
      </c>
    </row>
    <row r="1636" spans="2:11" x14ac:dyDescent="0.2">
      <c r="B1636" s="21">
        <f t="shared" si="25"/>
        <v>485</v>
      </c>
      <c r="C1636" t="s">
        <v>365</v>
      </c>
      <c r="D1636" t="s">
        <v>13</v>
      </c>
      <c r="E1636" t="s">
        <v>2751</v>
      </c>
      <c r="F1636" t="s">
        <v>34</v>
      </c>
      <c r="G1636" s="21">
        <v>1</v>
      </c>
      <c r="H1636" s="21">
        <v>0</v>
      </c>
      <c r="I1636" t="s">
        <v>507</v>
      </c>
      <c r="J1636" s="20" t="s">
        <v>2488</v>
      </c>
      <c r="K1636" t="s">
        <v>2488</v>
      </c>
    </row>
    <row r="1637" spans="2:11" x14ac:dyDescent="0.2">
      <c r="B1637" s="21">
        <f t="shared" si="25"/>
        <v>484</v>
      </c>
      <c r="C1637" t="s">
        <v>496</v>
      </c>
      <c r="D1637" t="s">
        <v>13</v>
      </c>
      <c r="E1637" t="s">
        <v>2751</v>
      </c>
      <c r="F1637" t="s">
        <v>27</v>
      </c>
      <c r="G1637" s="21">
        <v>1</v>
      </c>
      <c r="H1637" s="21">
        <v>0</v>
      </c>
      <c r="I1637" t="s">
        <v>508</v>
      </c>
      <c r="J1637" s="20" t="s">
        <v>2488</v>
      </c>
      <c r="K1637" t="s">
        <v>2487</v>
      </c>
    </row>
    <row r="1638" spans="2:11" x14ac:dyDescent="0.2">
      <c r="B1638" s="21">
        <f t="shared" si="25"/>
        <v>483</v>
      </c>
      <c r="C1638" t="s">
        <v>151</v>
      </c>
      <c r="D1638" t="s">
        <v>13</v>
      </c>
      <c r="E1638" t="s">
        <v>2751</v>
      </c>
      <c r="F1638" t="s">
        <v>34</v>
      </c>
      <c r="G1638" s="21">
        <v>1</v>
      </c>
      <c r="H1638" s="21">
        <v>0</v>
      </c>
      <c r="I1638" t="s">
        <v>504</v>
      </c>
      <c r="J1638" s="20" t="s">
        <v>2488</v>
      </c>
      <c r="K1638" t="s">
        <v>2487</v>
      </c>
    </row>
    <row r="1639" spans="2:11" x14ac:dyDescent="0.2">
      <c r="B1639" s="21">
        <f t="shared" si="25"/>
        <v>482</v>
      </c>
      <c r="C1639" t="s">
        <v>503</v>
      </c>
      <c r="D1639" t="s">
        <v>13</v>
      </c>
      <c r="E1639" t="s">
        <v>2751</v>
      </c>
      <c r="F1639" t="s">
        <v>27</v>
      </c>
      <c r="G1639" s="21">
        <v>1</v>
      </c>
      <c r="H1639" s="21">
        <v>0</v>
      </c>
      <c r="I1639" t="s">
        <v>505</v>
      </c>
      <c r="J1639" s="20" t="s">
        <v>2488</v>
      </c>
      <c r="K1639" t="s">
        <v>2487</v>
      </c>
    </row>
    <row r="1640" spans="2:11" x14ac:dyDescent="0.2">
      <c r="B1640" s="21">
        <f t="shared" si="25"/>
        <v>481</v>
      </c>
      <c r="C1640" t="s">
        <v>145</v>
      </c>
      <c r="D1640" t="s">
        <v>13</v>
      </c>
      <c r="E1640" t="s">
        <v>2751</v>
      </c>
      <c r="F1640" t="s">
        <v>27</v>
      </c>
      <c r="G1640" s="21">
        <v>1</v>
      </c>
      <c r="H1640" s="21">
        <v>0</v>
      </c>
      <c r="I1640" t="s">
        <v>506</v>
      </c>
      <c r="J1640" s="20" t="s">
        <v>2488</v>
      </c>
      <c r="K1640" t="s">
        <v>2488</v>
      </c>
    </row>
    <row r="1641" spans="2:11" x14ac:dyDescent="0.2">
      <c r="B1641" s="21">
        <f t="shared" si="25"/>
        <v>480</v>
      </c>
      <c r="C1641" t="s">
        <v>429</v>
      </c>
      <c r="D1641" t="s">
        <v>13</v>
      </c>
      <c r="E1641" t="s">
        <v>2751</v>
      </c>
      <c r="F1641" t="s">
        <v>8</v>
      </c>
      <c r="G1641" s="21">
        <v>1</v>
      </c>
      <c r="H1641" s="21">
        <v>0</v>
      </c>
      <c r="J1641" s="20" t="s">
        <v>2488</v>
      </c>
      <c r="K1641" t="s">
        <v>2488</v>
      </c>
    </row>
    <row r="1642" spans="2:11" x14ac:dyDescent="0.2">
      <c r="B1642" s="21">
        <f t="shared" si="25"/>
        <v>479</v>
      </c>
      <c r="C1642" t="s">
        <v>220</v>
      </c>
      <c r="D1642" t="s">
        <v>13</v>
      </c>
      <c r="E1642" t="s">
        <v>2751</v>
      </c>
      <c r="F1642" t="s">
        <v>34</v>
      </c>
      <c r="G1642" s="21">
        <v>1</v>
      </c>
      <c r="H1642" s="21">
        <v>0</v>
      </c>
      <c r="J1642" s="20" t="s">
        <v>2489</v>
      </c>
      <c r="K1642" t="s">
        <v>2488</v>
      </c>
    </row>
    <row r="1643" spans="2:11" x14ac:dyDescent="0.2">
      <c r="B1643" s="21">
        <f t="shared" si="25"/>
        <v>478</v>
      </c>
      <c r="C1643" t="s">
        <v>32</v>
      </c>
      <c r="D1643" t="s">
        <v>13</v>
      </c>
      <c r="E1643" t="s">
        <v>2751</v>
      </c>
      <c r="F1643" t="s">
        <v>28</v>
      </c>
      <c r="G1643" s="21">
        <v>1</v>
      </c>
      <c r="H1643" s="21">
        <v>0</v>
      </c>
      <c r="I1643" t="s">
        <v>497</v>
      </c>
      <c r="J1643" s="20" t="s">
        <v>2489</v>
      </c>
      <c r="K1643" t="s">
        <v>2488</v>
      </c>
    </row>
    <row r="1644" spans="2:11" x14ac:dyDescent="0.2">
      <c r="B1644" s="21">
        <f t="shared" si="25"/>
        <v>477</v>
      </c>
      <c r="C1644" t="s">
        <v>477</v>
      </c>
      <c r="D1644" t="s">
        <v>13</v>
      </c>
      <c r="E1644" t="s">
        <v>2751</v>
      </c>
      <c r="F1644" t="s">
        <v>27</v>
      </c>
      <c r="G1644" s="21">
        <v>1</v>
      </c>
      <c r="H1644" s="21">
        <v>0</v>
      </c>
      <c r="J1644" s="20" t="s">
        <v>2489</v>
      </c>
      <c r="K1644" t="s">
        <v>2488</v>
      </c>
    </row>
    <row r="1645" spans="2:11" x14ac:dyDescent="0.2">
      <c r="B1645" s="21">
        <f t="shared" si="25"/>
        <v>476</v>
      </c>
      <c r="C1645" t="s">
        <v>316</v>
      </c>
      <c r="D1645" t="s">
        <v>13</v>
      </c>
      <c r="E1645" t="s">
        <v>2751</v>
      </c>
      <c r="F1645" t="s">
        <v>27</v>
      </c>
      <c r="G1645" s="21">
        <v>1</v>
      </c>
      <c r="H1645" s="21">
        <v>0</v>
      </c>
      <c r="I1645" t="s">
        <v>498</v>
      </c>
      <c r="J1645" s="20" t="s">
        <v>2489</v>
      </c>
      <c r="K1645" t="s">
        <v>2489</v>
      </c>
    </row>
    <row r="1646" spans="2:11" x14ac:dyDescent="0.2">
      <c r="B1646" s="21">
        <f t="shared" si="25"/>
        <v>475</v>
      </c>
      <c r="C1646" t="s">
        <v>365</v>
      </c>
      <c r="D1646" t="s">
        <v>13</v>
      </c>
      <c r="E1646" t="s">
        <v>2751</v>
      </c>
      <c r="F1646" t="s">
        <v>34</v>
      </c>
      <c r="G1646" s="21">
        <v>1</v>
      </c>
      <c r="H1646" s="21">
        <v>0</v>
      </c>
      <c r="J1646" s="20" t="s">
        <v>2489</v>
      </c>
      <c r="K1646" t="s">
        <v>2488</v>
      </c>
    </row>
    <row r="1647" spans="2:11" x14ac:dyDescent="0.2">
      <c r="B1647" s="21">
        <f t="shared" si="25"/>
        <v>474</v>
      </c>
      <c r="C1647" t="s">
        <v>495</v>
      </c>
      <c r="D1647" t="s">
        <v>13</v>
      </c>
      <c r="E1647" t="s">
        <v>2751</v>
      </c>
      <c r="F1647" t="s">
        <v>27</v>
      </c>
      <c r="G1647" s="21">
        <v>1</v>
      </c>
      <c r="H1647" s="21">
        <v>0</v>
      </c>
      <c r="I1647" t="s">
        <v>500</v>
      </c>
      <c r="J1647" s="20" t="s">
        <v>2489</v>
      </c>
      <c r="K1647" t="s">
        <v>2489</v>
      </c>
    </row>
    <row r="1648" spans="2:11" x14ac:dyDescent="0.2">
      <c r="B1648" s="21">
        <f t="shared" si="25"/>
        <v>473</v>
      </c>
      <c r="C1648" t="s">
        <v>496</v>
      </c>
      <c r="D1648" t="s">
        <v>13</v>
      </c>
      <c r="E1648" t="s">
        <v>2751</v>
      </c>
      <c r="F1648" t="s">
        <v>27</v>
      </c>
      <c r="G1648" s="21">
        <v>1</v>
      </c>
      <c r="H1648" s="21">
        <v>0</v>
      </c>
      <c r="J1648" s="20" t="s">
        <v>2489</v>
      </c>
      <c r="K1648" t="s">
        <v>2488</v>
      </c>
    </row>
    <row r="1649" spans="2:11" x14ac:dyDescent="0.2">
      <c r="B1649" s="21">
        <f t="shared" si="25"/>
        <v>472</v>
      </c>
      <c r="C1649" t="s">
        <v>151</v>
      </c>
      <c r="D1649" t="s">
        <v>13</v>
      </c>
      <c r="E1649" t="s">
        <v>2751</v>
      </c>
      <c r="F1649" t="s">
        <v>27</v>
      </c>
      <c r="G1649" s="21">
        <v>1</v>
      </c>
      <c r="H1649" s="21">
        <v>0</v>
      </c>
      <c r="I1649" t="s">
        <v>501</v>
      </c>
      <c r="J1649" s="20" t="s">
        <v>2489</v>
      </c>
      <c r="K1649" t="s">
        <v>2489</v>
      </c>
    </row>
    <row r="1650" spans="2:11" x14ac:dyDescent="0.2">
      <c r="B1650" s="21">
        <f t="shared" si="25"/>
        <v>471</v>
      </c>
      <c r="C1650" t="s">
        <v>499</v>
      </c>
      <c r="D1650" t="s">
        <v>13</v>
      </c>
      <c r="E1650" t="s">
        <v>2751</v>
      </c>
      <c r="F1650" t="s">
        <v>27</v>
      </c>
      <c r="G1650" s="21">
        <v>1</v>
      </c>
      <c r="H1650" s="21">
        <v>0</v>
      </c>
      <c r="I1650" t="s">
        <v>502</v>
      </c>
      <c r="J1650" s="20" t="s">
        <v>2489</v>
      </c>
      <c r="K1650" t="s">
        <v>2489</v>
      </c>
    </row>
    <row r="1651" spans="2:11" x14ac:dyDescent="0.2">
      <c r="B1651" s="21">
        <f t="shared" si="25"/>
        <v>470</v>
      </c>
      <c r="C1651" t="s">
        <v>145</v>
      </c>
      <c r="D1651" t="s">
        <v>13</v>
      </c>
      <c r="E1651" t="s">
        <v>2751</v>
      </c>
      <c r="F1651" t="s">
        <v>27</v>
      </c>
      <c r="G1651" s="21">
        <v>1</v>
      </c>
      <c r="H1651" s="21">
        <v>0</v>
      </c>
      <c r="J1651" s="20" t="s">
        <v>2489</v>
      </c>
      <c r="K1651" t="s">
        <v>2488</v>
      </c>
    </row>
    <row r="1652" spans="2:11" x14ac:dyDescent="0.2">
      <c r="B1652" s="21">
        <f t="shared" si="25"/>
        <v>469</v>
      </c>
      <c r="C1652" t="s">
        <v>220</v>
      </c>
      <c r="D1652" t="s">
        <v>13</v>
      </c>
      <c r="E1652" t="s">
        <v>2751</v>
      </c>
      <c r="F1652" t="s">
        <v>34</v>
      </c>
      <c r="G1652" s="21">
        <v>1</v>
      </c>
      <c r="H1652" s="21">
        <v>0</v>
      </c>
      <c r="J1652" s="20" t="s">
        <v>2490</v>
      </c>
      <c r="K1652" t="s">
        <v>2489</v>
      </c>
    </row>
    <row r="1653" spans="2:11" x14ac:dyDescent="0.2">
      <c r="B1653" s="21">
        <f t="shared" si="25"/>
        <v>468</v>
      </c>
      <c r="C1653" t="s">
        <v>32</v>
      </c>
      <c r="D1653" t="s">
        <v>13</v>
      </c>
      <c r="E1653" t="s">
        <v>2751</v>
      </c>
      <c r="F1653" t="s">
        <v>28</v>
      </c>
      <c r="G1653" s="21">
        <v>1</v>
      </c>
      <c r="H1653" s="21">
        <v>0</v>
      </c>
      <c r="I1653" t="s">
        <v>492</v>
      </c>
      <c r="J1653" s="20" t="s">
        <v>2490</v>
      </c>
      <c r="K1653" t="s">
        <v>2489</v>
      </c>
    </row>
    <row r="1654" spans="2:11" x14ac:dyDescent="0.2">
      <c r="B1654" s="21">
        <f t="shared" si="25"/>
        <v>467</v>
      </c>
      <c r="C1654" t="s">
        <v>316</v>
      </c>
      <c r="D1654" t="s">
        <v>13</v>
      </c>
      <c r="E1654" t="s">
        <v>2751</v>
      </c>
      <c r="F1654" t="s">
        <v>27</v>
      </c>
      <c r="G1654" s="21">
        <v>1</v>
      </c>
      <c r="H1654" s="21">
        <v>0</v>
      </c>
      <c r="I1654" t="s">
        <v>494</v>
      </c>
      <c r="J1654" s="20" t="s">
        <v>2490</v>
      </c>
      <c r="K1654" t="s">
        <v>2490</v>
      </c>
    </row>
    <row r="1655" spans="2:11" x14ac:dyDescent="0.2">
      <c r="B1655" s="21">
        <f t="shared" si="25"/>
        <v>466</v>
      </c>
      <c r="C1655" t="s">
        <v>477</v>
      </c>
      <c r="D1655" t="s">
        <v>13</v>
      </c>
      <c r="E1655" t="s">
        <v>2751</v>
      </c>
      <c r="F1655" t="s">
        <v>27</v>
      </c>
      <c r="G1655" s="21">
        <v>1</v>
      </c>
      <c r="H1655" s="21">
        <v>0</v>
      </c>
      <c r="I1655" t="s">
        <v>493</v>
      </c>
      <c r="J1655" s="20" t="s">
        <v>2490</v>
      </c>
      <c r="K1655" t="s">
        <v>2489</v>
      </c>
    </row>
    <row r="1656" spans="2:11" x14ac:dyDescent="0.2">
      <c r="B1656" s="21">
        <f t="shared" si="25"/>
        <v>465</v>
      </c>
      <c r="C1656" t="s">
        <v>365</v>
      </c>
      <c r="D1656" t="s">
        <v>13</v>
      </c>
      <c r="E1656" t="s">
        <v>2751</v>
      </c>
      <c r="F1656" t="s">
        <v>34</v>
      </c>
      <c r="G1656" s="21">
        <v>1</v>
      </c>
      <c r="H1656" s="21">
        <v>0</v>
      </c>
      <c r="J1656" s="20" t="s">
        <v>2490</v>
      </c>
      <c r="K1656" t="s">
        <v>2489</v>
      </c>
    </row>
    <row r="1657" spans="2:11" x14ac:dyDescent="0.2">
      <c r="B1657" s="21">
        <f t="shared" si="25"/>
        <v>464</v>
      </c>
      <c r="C1657" t="s">
        <v>145</v>
      </c>
      <c r="D1657" t="s">
        <v>13</v>
      </c>
      <c r="E1657" t="s">
        <v>2751</v>
      </c>
      <c r="F1657" t="s">
        <v>27</v>
      </c>
      <c r="G1657" s="21">
        <v>1</v>
      </c>
      <c r="H1657" s="21">
        <v>0</v>
      </c>
      <c r="J1657" s="20" t="s">
        <v>2490</v>
      </c>
      <c r="K1657" t="s">
        <v>2489</v>
      </c>
    </row>
    <row r="1658" spans="2:11" x14ac:dyDescent="0.2">
      <c r="B1658" s="21">
        <f t="shared" si="25"/>
        <v>463</v>
      </c>
      <c r="C1658" t="s">
        <v>220</v>
      </c>
      <c r="D1658" t="s">
        <v>13</v>
      </c>
      <c r="E1658" t="s">
        <v>2751</v>
      </c>
      <c r="F1658" t="s">
        <v>34</v>
      </c>
      <c r="G1658" s="21">
        <v>1</v>
      </c>
      <c r="H1658" s="21">
        <v>0</v>
      </c>
      <c r="J1658" s="20" t="s">
        <v>2491</v>
      </c>
      <c r="K1658" t="s">
        <v>2490</v>
      </c>
    </row>
    <row r="1659" spans="2:11" x14ac:dyDescent="0.2">
      <c r="B1659" s="21">
        <f t="shared" si="25"/>
        <v>462</v>
      </c>
      <c r="C1659" t="s">
        <v>32</v>
      </c>
      <c r="D1659" t="s">
        <v>13</v>
      </c>
      <c r="E1659" t="s">
        <v>2751</v>
      </c>
      <c r="F1659" t="s">
        <v>28</v>
      </c>
      <c r="G1659" s="21">
        <v>1</v>
      </c>
      <c r="H1659" s="21">
        <v>0</v>
      </c>
      <c r="J1659" s="20" t="s">
        <v>2491</v>
      </c>
      <c r="K1659" t="s">
        <v>2490</v>
      </c>
    </row>
    <row r="1660" spans="2:11" x14ac:dyDescent="0.2">
      <c r="B1660" s="21">
        <f t="shared" si="25"/>
        <v>461</v>
      </c>
      <c r="C1660" t="s">
        <v>316</v>
      </c>
      <c r="D1660" t="s">
        <v>13</v>
      </c>
      <c r="E1660" t="s">
        <v>2751</v>
      </c>
      <c r="F1660" t="s">
        <v>27</v>
      </c>
      <c r="G1660" s="21">
        <v>1</v>
      </c>
      <c r="H1660" s="21">
        <v>0</v>
      </c>
      <c r="I1660" t="s">
        <v>491</v>
      </c>
      <c r="J1660" s="20" t="s">
        <v>2491</v>
      </c>
      <c r="K1660" t="s">
        <v>2490</v>
      </c>
    </row>
    <row r="1661" spans="2:11" x14ac:dyDescent="0.2">
      <c r="B1661" s="21">
        <f t="shared" si="25"/>
        <v>460</v>
      </c>
      <c r="C1661" t="s">
        <v>477</v>
      </c>
      <c r="D1661" t="s">
        <v>13</v>
      </c>
      <c r="E1661" t="s">
        <v>2751</v>
      </c>
      <c r="F1661" t="s">
        <v>27</v>
      </c>
      <c r="G1661" s="21">
        <v>1</v>
      </c>
      <c r="H1661" s="21">
        <v>0</v>
      </c>
      <c r="J1661" s="20" t="s">
        <v>2491</v>
      </c>
      <c r="K1661" t="s">
        <v>2490</v>
      </c>
    </row>
    <row r="1662" spans="2:11" x14ac:dyDescent="0.2">
      <c r="B1662" s="21">
        <f t="shared" si="25"/>
        <v>459</v>
      </c>
      <c r="C1662" t="s">
        <v>489</v>
      </c>
      <c r="D1662" t="s">
        <v>19</v>
      </c>
      <c r="E1662" t="s">
        <v>2751</v>
      </c>
      <c r="F1662" t="s">
        <v>27</v>
      </c>
      <c r="G1662" s="21">
        <v>1</v>
      </c>
      <c r="H1662" s="21">
        <v>0</v>
      </c>
      <c r="I1662" t="s">
        <v>490</v>
      </c>
      <c r="J1662" s="20" t="s">
        <v>2491</v>
      </c>
      <c r="K1662" t="s">
        <v>2491</v>
      </c>
    </row>
    <row r="1663" spans="2:11" x14ac:dyDescent="0.2">
      <c r="B1663" s="21">
        <f t="shared" si="25"/>
        <v>458</v>
      </c>
      <c r="C1663" t="s">
        <v>145</v>
      </c>
      <c r="D1663" t="s">
        <v>13</v>
      </c>
      <c r="E1663" t="s">
        <v>2751</v>
      </c>
      <c r="F1663" t="s">
        <v>27</v>
      </c>
      <c r="G1663" s="21">
        <v>1</v>
      </c>
      <c r="H1663" s="21">
        <v>0</v>
      </c>
      <c r="J1663" s="20" t="s">
        <v>2491</v>
      </c>
      <c r="K1663" t="s">
        <v>2490</v>
      </c>
    </row>
    <row r="1664" spans="2:11" x14ac:dyDescent="0.2">
      <c r="B1664" s="21">
        <f t="shared" si="25"/>
        <v>457</v>
      </c>
      <c r="C1664" t="s">
        <v>220</v>
      </c>
      <c r="D1664" t="s">
        <v>13</v>
      </c>
      <c r="E1664" t="s">
        <v>2751</v>
      </c>
      <c r="F1664" t="s">
        <v>34</v>
      </c>
      <c r="G1664" s="21">
        <v>1</v>
      </c>
      <c r="H1664" s="21">
        <v>0</v>
      </c>
      <c r="J1664" s="20" t="s">
        <v>2492</v>
      </c>
      <c r="K1664" t="s">
        <v>2720</v>
      </c>
    </row>
    <row r="1665" spans="2:11" x14ac:dyDescent="0.2">
      <c r="B1665" s="21">
        <f t="shared" si="25"/>
        <v>456</v>
      </c>
      <c r="C1665" t="s">
        <v>32</v>
      </c>
      <c r="D1665" t="s">
        <v>13</v>
      </c>
      <c r="E1665" t="s">
        <v>2751</v>
      </c>
      <c r="F1665" t="s">
        <v>28</v>
      </c>
      <c r="G1665" s="21">
        <v>1</v>
      </c>
      <c r="H1665" s="21">
        <v>0</v>
      </c>
      <c r="J1665" s="20" t="s">
        <v>2492</v>
      </c>
      <c r="K1665" t="s">
        <v>2720</v>
      </c>
    </row>
    <row r="1666" spans="2:11" x14ac:dyDescent="0.2">
      <c r="B1666" s="21">
        <f t="shared" si="25"/>
        <v>455</v>
      </c>
      <c r="C1666" t="s">
        <v>316</v>
      </c>
      <c r="D1666" t="s">
        <v>13</v>
      </c>
      <c r="E1666" t="s">
        <v>2751</v>
      </c>
      <c r="F1666" t="s">
        <v>27</v>
      </c>
      <c r="G1666" s="21">
        <v>1</v>
      </c>
      <c r="H1666" s="21">
        <v>0</v>
      </c>
      <c r="I1666" t="s">
        <v>488</v>
      </c>
      <c r="J1666" s="20" t="s">
        <v>2492</v>
      </c>
      <c r="K1666" t="s">
        <v>2492</v>
      </c>
    </row>
    <row r="1667" spans="2:11" x14ac:dyDescent="0.2">
      <c r="B1667" s="21">
        <f t="shared" si="25"/>
        <v>454</v>
      </c>
      <c r="C1667" t="s">
        <v>477</v>
      </c>
      <c r="D1667" t="s">
        <v>13</v>
      </c>
      <c r="E1667" t="s">
        <v>2751</v>
      </c>
      <c r="F1667" t="s">
        <v>27</v>
      </c>
      <c r="G1667" s="21">
        <v>1</v>
      </c>
      <c r="H1667" s="21">
        <v>0</v>
      </c>
      <c r="J1667" s="20" t="s">
        <v>2492</v>
      </c>
      <c r="K1667" t="s">
        <v>2720</v>
      </c>
    </row>
    <row r="1668" spans="2:11" x14ac:dyDescent="0.2">
      <c r="B1668" s="21">
        <f t="shared" si="25"/>
        <v>453</v>
      </c>
      <c r="C1668" t="s">
        <v>145</v>
      </c>
      <c r="D1668" t="s">
        <v>13</v>
      </c>
      <c r="E1668" t="s">
        <v>2751</v>
      </c>
      <c r="F1668" t="s">
        <v>27</v>
      </c>
      <c r="G1668" s="21">
        <v>1</v>
      </c>
      <c r="H1668" s="21">
        <v>0</v>
      </c>
      <c r="J1668" s="20" t="s">
        <v>2492</v>
      </c>
      <c r="K1668" t="s">
        <v>2720</v>
      </c>
    </row>
    <row r="1669" spans="2:11" x14ac:dyDescent="0.2">
      <c r="B1669" s="21">
        <f t="shared" ref="B1669:B1732" si="26">B1668-1</f>
        <v>452</v>
      </c>
      <c r="C1669" t="s">
        <v>220</v>
      </c>
      <c r="D1669" t="s">
        <v>13</v>
      </c>
      <c r="E1669" t="s">
        <v>2751</v>
      </c>
      <c r="F1669" t="s">
        <v>34</v>
      </c>
      <c r="G1669" s="21">
        <v>1</v>
      </c>
      <c r="H1669" s="21">
        <v>0</v>
      </c>
      <c r="J1669" s="20" t="s">
        <v>2493</v>
      </c>
      <c r="K1669" t="s">
        <v>2492</v>
      </c>
    </row>
    <row r="1670" spans="2:11" x14ac:dyDescent="0.2">
      <c r="B1670" s="21">
        <f t="shared" si="26"/>
        <v>451</v>
      </c>
      <c r="C1670" t="s">
        <v>32</v>
      </c>
      <c r="D1670" t="s">
        <v>13</v>
      </c>
      <c r="E1670" t="s">
        <v>2751</v>
      </c>
      <c r="F1670" t="s">
        <v>28</v>
      </c>
      <c r="G1670" s="21">
        <v>1</v>
      </c>
      <c r="H1670" s="21">
        <v>0</v>
      </c>
      <c r="I1670" t="s">
        <v>484</v>
      </c>
      <c r="J1670" s="20" t="s">
        <v>2493</v>
      </c>
      <c r="K1670" t="s">
        <v>2492</v>
      </c>
    </row>
    <row r="1671" spans="2:11" x14ac:dyDescent="0.2">
      <c r="B1671" s="21">
        <f t="shared" si="26"/>
        <v>450</v>
      </c>
      <c r="C1671" t="s">
        <v>316</v>
      </c>
      <c r="D1671" t="s">
        <v>13</v>
      </c>
      <c r="E1671" t="s">
        <v>2751</v>
      </c>
      <c r="F1671" t="s">
        <v>27</v>
      </c>
      <c r="G1671" s="21">
        <v>1</v>
      </c>
      <c r="H1671" s="21">
        <v>0</v>
      </c>
      <c r="I1671" t="s">
        <v>485</v>
      </c>
      <c r="J1671" s="20" t="s">
        <v>2493</v>
      </c>
      <c r="K1671" t="s">
        <v>2492</v>
      </c>
    </row>
    <row r="1672" spans="2:11" x14ac:dyDescent="0.2">
      <c r="B1672" s="21">
        <f t="shared" si="26"/>
        <v>449</v>
      </c>
      <c r="C1672" t="s">
        <v>477</v>
      </c>
      <c r="D1672" t="s">
        <v>13</v>
      </c>
      <c r="E1672" t="s">
        <v>2751</v>
      </c>
      <c r="F1672" t="s">
        <v>27</v>
      </c>
      <c r="G1672" s="21">
        <v>1</v>
      </c>
      <c r="H1672" s="21">
        <v>0</v>
      </c>
      <c r="I1672" t="s">
        <v>486</v>
      </c>
      <c r="J1672" s="20" t="s">
        <v>2493</v>
      </c>
      <c r="K1672" t="s">
        <v>2492</v>
      </c>
    </row>
    <row r="1673" spans="2:11" x14ac:dyDescent="0.2">
      <c r="B1673" s="21">
        <f t="shared" si="26"/>
        <v>448</v>
      </c>
      <c r="C1673" t="s">
        <v>457</v>
      </c>
      <c r="D1673" t="s">
        <v>13</v>
      </c>
      <c r="E1673" t="s">
        <v>2751</v>
      </c>
      <c r="F1673" t="s">
        <v>8</v>
      </c>
      <c r="G1673" s="21">
        <v>1</v>
      </c>
      <c r="H1673" s="21">
        <v>0</v>
      </c>
      <c r="I1673" t="s">
        <v>487</v>
      </c>
      <c r="J1673" s="20" t="s">
        <v>2493</v>
      </c>
      <c r="K1673" t="s">
        <v>2493</v>
      </c>
    </row>
    <row r="1674" spans="2:11" x14ac:dyDescent="0.2">
      <c r="B1674" s="21">
        <f t="shared" si="26"/>
        <v>447</v>
      </c>
      <c r="C1674" t="s">
        <v>220</v>
      </c>
      <c r="D1674" t="s">
        <v>13</v>
      </c>
      <c r="E1674" t="s">
        <v>2751</v>
      </c>
      <c r="F1674" t="s">
        <v>34</v>
      </c>
      <c r="G1674" s="21">
        <v>1</v>
      </c>
      <c r="H1674" s="21">
        <v>0</v>
      </c>
      <c r="J1674" s="20" t="s">
        <v>2494</v>
      </c>
      <c r="K1674" t="s">
        <v>2721</v>
      </c>
    </row>
    <row r="1675" spans="2:11" x14ac:dyDescent="0.2">
      <c r="B1675" s="21">
        <f t="shared" si="26"/>
        <v>446</v>
      </c>
      <c r="C1675" t="s">
        <v>32</v>
      </c>
      <c r="D1675" t="s">
        <v>13</v>
      </c>
      <c r="E1675" t="s">
        <v>2751</v>
      </c>
      <c r="F1675" t="s">
        <v>28</v>
      </c>
      <c r="G1675" s="21">
        <v>1</v>
      </c>
      <c r="H1675" s="21">
        <v>0</v>
      </c>
      <c r="J1675" s="20" t="s">
        <v>2494</v>
      </c>
      <c r="K1675" t="s">
        <v>2721</v>
      </c>
    </row>
    <row r="1676" spans="2:11" x14ac:dyDescent="0.2">
      <c r="B1676" s="21">
        <f t="shared" si="26"/>
        <v>445</v>
      </c>
      <c r="C1676" t="s">
        <v>316</v>
      </c>
      <c r="D1676" t="s">
        <v>13</v>
      </c>
      <c r="E1676" t="s">
        <v>2751</v>
      </c>
      <c r="F1676" t="s">
        <v>27</v>
      </c>
      <c r="G1676" s="21">
        <v>1</v>
      </c>
      <c r="H1676" s="21">
        <v>0</v>
      </c>
      <c r="I1676" t="s">
        <v>483</v>
      </c>
      <c r="J1676" s="20" t="s">
        <v>2494</v>
      </c>
      <c r="K1676" t="s">
        <v>2721</v>
      </c>
    </row>
    <row r="1677" spans="2:11" x14ac:dyDescent="0.2">
      <c r="B1677" s="21">
        <f t="shared" si="26"/>
        <v>444</v>
      </c>
      <c r="C1677" t="s">
        <v>477</v>
      </c>
      <c r="D1677" t="s">
        <v>13</v>
      </c>
      <c r="E1677" t="s">
        <v>2751</v>
      </c>
      <c r="F1677" t="s">
        <v>27</v>
      </c>
      <c r="G1677" s="21">
        <v>1</v>
      </c>
      <c r="H1677" s="21">
        <v>0</v>
      </c>
      <c r="I1677" t="s">
        <v>482</v>
      </c>
      <c r="J1677" s="20" t="s">
        <v>2494</v>
      </c>
      <c r="K1677" t="s">
        <v>2721</v>
      </c>
    </row>
    <row r="1678" spans="2:11" x14ac:dyDescent="0.2">
      <c r="B1678" s="21">
        <f t="shared" si="26"/>
        <v>443</v>
      </c>
      <c r="C1678" t="s">
        <v>220</v>
      </c>
      <c r="D1678" t="s">
        <v>13</v>
      </c>
      <c r="E1678" t="s">
        <v>2751</v>
      </c>
      <c r="F1678" t="s">
        <v>34</v>
      </c>
      <c r="G1678" s="21">
        <v>1</v>
      </c>
      <c r="H1678" s="21">
        <v>0</v>
      </c>
      <c r="J1678" s="20" t="s">
        <v>2495</v>
      </c>
      <c r="K1678" t="s">
        <v>2494</v>
      </c>
    </row>
    <row r="1679" spans="2:11" x14ac:dyDescent="0.2">
      <c r="B1679" s="21">
        <f t="shared" si="26"/>
        <v>442</v>
      </c>
      <c r="C1679" t="s">
        <v>365</v>
      </c>
      <c r="D1679" t="s">
        <v>13</v>
      </c>
      <c r="E1679" t="s">
        <v>2751</v>
      </c>
      <c r="F1679" t="s">
        <v>28</v>
      </c>
      <c r="G1679" s="21">
        <v>1</v>
      </c>
      <c r="H1679" s="21">
        <v>0</v>
      </c>
      <c r="I1679" t="s">
        <v>476</v>
      </c>
      <c r="J1679" s="20" t="s">
        <v>2495</v>
      </c>
      <c r="K1679" t="s">
        <v>2495</v>
      </c>
    </row>
    <row r="1680" spans="2:11" x14ac:dyDescent="0.2">
      <c r="B1680" s="21">
        <f t="shared" si="26"/>
        <v>441</v>
      </c>
      <c r="C1680" t="s">
        <v>32</v>
      </c>
      <c r="D1680" t="s">
        <v>13</v>
      </c>
      <c r="E1680" t="s">
        <v>2751</v>
      </c>
      <c r="F1680" t="s">
        <v>28</v>
      </c>
      <c r="G1680" s="21">
        <v>1</v>
      </c>
      <c r="H1680" s="21">
        <v>0</v>
      </c>
      <c r="J1680" s="20" t="s">
        <v>2495</v>
      </c>
      <c r="K1680" t="s">
        <v>2494</v>
      </c>
    </row>
    <row r="1681" spans="2:11" x14ac:dyDescent="0.2">
      <c r="B1681" s="21">
        <f t="shared" si="26"/>
        <v>440</v>
      </c>
      <c r="C1681" t="s">
        <v>316</v>
      </c>
      <c r="D1681" t="s">
        <v>13</v>
      </c>
      <c r="E1681" t="s">
        <v>2751</v>
      </c>
      <c r="F1681" t="s">
        <v>27</v>
      </c>
      <c r="G1681" s="21">
        <v>1</v>
      </c>
      <c r="H1681" s="21">
        <v>0</v>
      </c>
      <c r="I1681" t="s">
        <v>481</v>
      </c>
      <c r="J1681" s="20" t="s">
        <v>2495</v>
      </c>
      <c r="K1681" t="s">
        <v>2495</v>
      </c>
    </row>
    <row r="1682" spans="2:11" x14ac:dyDescent="0.2">
      <c r="B1682" s="21">
        <f t="shared" si="26"/>
        <v>439</v>
      </c>
      <c r="C1682" t="s">
        <v>477</v>
      </c>
      <c r="D1682" t="s">
        <v>13</v>
      </c>
      <c r="E1682" t="s">
        <v>2751</v>
      </c>
      <c r="F1682" t="s">
        <v>27</v>
      </c>
      <c r="G1682" s="21">
        <v>1</v>
      </c>
      <c r="H1682" s="21">
        <v>0</v>
      </c>
      <c r="I1682" t="s">
        <v>480</v>
      </c>
      <c r="J1682" s="20" t="s">
        <v>2495</v>
      </c>
      <c r="K1682" t="s">
        <v>2494</v>
      </c>
    </row>
    <row r="1683" spans="2:11" x14ac:dyDescent="0.2">
      <c r="B1683" s="21">
        <f t="shared" si="26"/>
        <v>438</v>
      </c>
      <c r="C1683" t="s">
        <v>478</v>
      </c>
      <c r="D1683" t="s">
        <v>13</v>
      </c>
      <c r="E1683" t="s">
        <v>2751</v>
      </c>
      <c r="F1683" t="s">
        <v>27</v>
      </c>
      <c r="G1683" s="21">
        <v>1</v>
      </c>
      <c r="H1683" s="21">
        <v>0</v>
      </c>
      <c r="I1683" t="s">
        <v>479</v>
      </c>
      <c r="J1683" s="20" t="s">
        <v>2495</v>
      </c>
      <c r="K1683" t="s">
        <v>2495</v>
      </c>
    </row>
    <row r="1684" spans="2:11" x14ac:dyDescent="0.2">
      <c r="B1684" s="21">
        <f t="shared" si="26"/>
        <v>437</v>
      </c>
      <c r="C1684" t="s">
        <v>220</v>
      </c>
      <c r="D1684" t="s">
        <v>13</v>
      </c>
      <c r="E1684" t="s">
        <v>2751</v>
      </c>
      <c r="F1684" t="s">
        <v>34</v>
      </c>
      <c r="G1684" s="21">
        <v>1</v>
      </c>
      <c r="H1684" s="21">
        <v>0</v>
      </c>
      <c r="J1684" s="20" t="s">
        <v>2496</v>
      </c>
      <c r="K1684" t="s">
        <v>2495</v>
      </c>
    </row>
    <row r="1685" spans="2:11" x14ac:dyDescent="0.2">
      <c r="B1685" s="21">
        <f t="shared" si="26"/>
        <v>436</v>
      </c>
      <c r="C1685" t="s">
        <v>365</v>
      </c>
      <c r="D1685" t="s">
        <v>13</v>
      </c>
      <c r="E1685" t="s">
        <v>2751</v>
      </c>
      <c r="F1685" t="s">
        <v>8</v>
      </c>
      <c r="G1685" s="21">
        <v>1</v>
      </c>
      <c r="H1685" s="21">
        <v>0</v>
      </c>
      <c r="J1685" s="20" t="s">
        <v>2496</v>
      </c>
      <c r="K1685" t="s">
        <v>2495</v>
      </c>
    </row>
    <row r="1686" spans="2:11" x14ac:dyDescent="0.2">
      <c r="B1686" s="21">
        <f t="shared" si="26"/>
        <v>435</v>
      </c>
      <c r="C1686" t="s">
        <v>32</v>
      </c>
      <c r="D1686" t="s">
        <v>13</v>
      </c>
      <c r="E1686" t="s">
        <v>2751</v>
      </c>
      <c r="F1686" t="s">
        <v>28</v>
      </c>
      <c r="G1686" s="21">
        <v>1</v>
      </c>
      <c r="H1686" s="21">
        <v>0</v>
      </c>
      <c r="J1686" s="20" t="s">
        <v>2496</v>
      </c>
      <c r="K1686" t="s">
        <v>2495</v>
      </c>
    </row>
    <row r="1687" spans="2:11" x14ac:dyDescent="0.2">
      <c r="B1687" s="21">
        <f t="shared" si="26"/>
        <v>434</v>
      </c>
      <c r="C1687" t="s">
        <v>316</v>
      </c>
      <c r="D1687" t="s">
        <v>13</v>
      </c>
      <c r="E1687" t="s">
        <v>2751</v>
      </c>
      <c r="F1687" t="s">
        <v>27</v>
      </c>
      <c r="G1687" s="21">
        <v>1</v>
      </c>
      <c r="H1687" s="21">
        <v>0</v>
      </c>
      <c r="J1687" s="20" t="s">
        <v>2496</v>
      </c>
      <c r="K1687" t="s">
        <v>2495</v>
      </c>
    </row>
    <row r="1688" spans="2:11" x14ac:dyDescent="0.2">
      <c r="B1688" s="21">
        <f t="shared" si="26"/>
        <v>433</v>
      </c>
      <c r="C1688" t="s">
        <v>349</v>
      </c>
      <c r="D1688" t="s">
        <v>13</v>
      </c>
      <c r="E1688" t="s">
        <v>2751</v>
      </c>
      <c r="F1688" t="s">
        <v>42</v>
      </c>
      <c r="G1688" s="21">
        <v>1</v>
      </c>
      <c r="H1688" s="21">
        <v>0</v>
      </c>
      <c r="I1688" t="s">
        <v>473</v>
      </c>
      <c r="J1688" s="20" t="s">
        <v>2496</v>
      </c>
      <c r="K1688" t="s">
        <v>2496</v>
      </c>
    </row>
    <row r="1689" spans="2:11" x14ac:dyDescent="0.2">
      <c r="B1689" s="21">
        <f t="shared" si="26"/>
        <v>432</v>
      </c>
      <c r="C1689" t="s">
        <v>145</v>
      </c>
      <c r="D1689" t="s">
        <v>13</v>
      </c>
      <c r="E1689" t="s">
        <v>2751</v>
      </c>
      <c r="F1689" t="s">
        <v>27</v>
      </c>
      <c r="G1689" s="21">
        <v>1</v>
      </c>
      <c r="H1689" s="21">
        <v>0</v>
      </c>
      <c r="I1689" t="s">
        <v>475</v>
      </c>
      <c r="J1689" s="20" t="s">
        <v>2496</v>
      </c>
      <c r="K1689" t="s">
        <v>2496</v>
      </c>
    </row>
    <row r="1690" spans="2:11" x14ac:dyDescent="0.2">
      <c r="B1690" s="21">
        <f t="shared" si="26"/>
        <v>431</v>
      </c>
      <c r="C1690" t="s">
        <v>457</v>
      </c>
      <c r="D1690" t="s">
        <v>13</v>
      </c>
      <c r="E1690" t="s">
        <v>2751</v>
      </c>
      <c r="F1690" t="s">
        <v>8</v>
      </c>
      <c r="G1690" s="21">
        <v>1</v>
      </c>
      <c r="H1690" s="21">
        <v>0</v>
      </c>
      <c r="I1690" t="s">
        <v>474</v>
      </c>
      <c r="J1690" s="20" t="s">
        <v>2496</v>
      </c>
      <c r="K1690" t="s">
        <v>2496</v>
      </c>
    </row>
    <row r="1691" spans="2:11" x14ac:dyDescent="0.2">
      <c r="B1691" s="21">
        <f t="shared" si="26"/>
        <v>430</v>
      </c>
      <c r="C1691" t="s">
        <v>220</v>
      </c>
      <c r="D1691" t="s">
        <v>13</v>
      </c>
      <c r="E1691" t="s">
        <v>2751</v>
      </c>
      <c r="F1691" t="s">
        <v>34</v>
      </c>
      <c r="G1691" s="21">
        <v>1</v>
      </c>
      <c r="H1691" s="21">
        <v>0</v>
      </c>
      <c r="J1691" s="20" t="s">
        <v>2497</v>
      </c>
      <c r="K1691" t="s">
        <v>2496</v>
      </c>
    </row>
    <row r="1692" spans="2:11" x14ac:dyDescent="0.2">
      <c r="B1692" s="21">
        <f t="shared" si="26"/>
        <v>429</v>
      </c>
      <c r="C1692" t="s">
        <v>429</v>
      </c>
      <c r="D1692" t="s">
        <v>13</v>
      </c>
      <c r="E1692" t="s">
        <v>2751</v>
      </c>
      <c r="F1692" t="s">
        <v>27</v>
      </c>
      <c r="G1692" s="21">
        <v>1</v>
      </c>
      <c r="H1692" s="21">
        <v>0</v>
      </c>
      <c r="I1692" t="s">
        <v>466</v>
      </c>
      <c r="J1692" s="20" t="s">
        <v>2497</v>
      </c>
      <c r="K1692" t="s">
        <v>2496</v>
      </c>
    </row>
    <row r="1693" spans="2:11" x14ac:dyDescent="0.2">
      <c r="B1693" s="21">
        <f t="shared" si="26"/>
        <v>428</v>
      </c>
      <c r="C1693" t="s">
        <v>365</v>
      </c>
      <c r="D1693" t="s">
        <v>13</v>
      </c>
      <c r="E1693" t="s">
        <v>2751</v>
      </c>
      <c r="F1693" t="s">
        <v>8</v>
      </c>
      <c r="G1693" s="21">
        <v>1</v>
      </c>
      <c r="H1693" s="21">
        <v>0</v>
      </c>
      <c r="J1693" s="20" t="s">
        <v>2497</v>
      </c>
      <c r="K1693" t="s">
        <v>2496</v>
      </c>
    </row>
    <row r="1694" spans="2:11" x14ac:dyDescent="0.2">
      <c r="B1694" s="21">
        <f t="shared" si="26"/>
        <v>427</v>
      </c>
      <c r="C1694" t="s">
        <v>32</v>
      </c>
      <c r="D1694" t="s">
        <v>13</v>
      </c>
      <c r="E1694" t="s">
        <v>2751</v>
      </c>
      <c r="F1694" t="s">
        <v>28</v>
      </c>
      <c r="G1694" s="21">
        <v>1</v>
      </c>
      <c r="H1694" s="21">
        <v>0</v>
      </c>
      <c r="J1694" s="20" t="s">
        <v>2497</v>
      </c>
      <c r="K1694" t="s">
        <v>2496</v>
      </c>
    </row>
    <row r="1695" spans="2:11" x14ac:dyDescent="0.2">
      <c r="B1695" s="21">
        <f t="shared" si="26"/>
        <v>426</v>
      </c>
      <c r="C1695" t="s">
        <v>316</v>
      </c>
      <c r="D1695" t="s">
        <v>13</v>
      </c>
      <c r="E1695" t="s">
        <v>2751</v>
      </c>
      <c r="F1695" t="s">
        <v>27</v>
      </c>
      <c r="G1695" s="21">
        <v>1</v>
      </c>
      <c r="H1695" s="21">
        <v>0</v>
      </c>
      <c r="I1695" t="s">
        <v>471</v>
      </c>
      <c r="J1695" s="20" t="s">
        <v>2497</v>
      </c>
      <c r="K1695" t="s">
        <v>2496</v>
      </c>
    </row>
    <row r="1696" spans="2:11" x14ac:dyDescent="0.2">
      <c r="B1696" s="21">
        <f t="shared" si="26"/>
        <v>425</v>
      </c>
      <c r="C1696" t="s">
        <v>426</v>
      </c>
      <c r="D1696" t="s">
        <v>13</v>
      </c>
      <c r="E1696" t="s">
        <v>2751</v>
      </c>
      <c r="F1696" t="s">
        <v>21</v>
      </c>
      <c r="G1696" s="21">
        <v>1</v>
      </c>
      <c r="H1696" s="21">
        <v>0</v>
      </c>
      <c r="I1696" t="s">
        <v>470</v>
      </c>
      <c r="J1696" s="20" t="s">
        <v>2497</v>
      </c>
      <c r="K1696" t="s">
        <v>2497</v>
      </c>
    </row>
    <row r="1697" spans="2:11" x14ac:dyDescent="0.2">
      <c r="B1697" s="21">
        <f t="shared" si="26"/>
        <v>424</v>
      </c>
      <c r="C1697" t="s">
        <v>349</v>
      </c>
      <c r="D1697" t="s">
        <v>13</v>
      </c>
      <c r="E1697" t="s">
        <v>2751</v>
      </c>
      <c r="F1697" t="s">
        <v>49</v>
      </c>
      <c r="G1697" s="21">
        <v>1</v>
      </c>
      <c r="H1697" s="21">
        <v>0</v>
      </c>
      <c r="I1697" t="s">
        <v>472</v>
      </c>
      <c r="J1697" s="20" t="s">
        <v>2497</v>
      </c>
      <c r="K1697" t="s">
        <v>2497</v>
      </c>
    </row>
    <row r="1698" spans="2:11" x14ac:dyDescent="0.2">
      <c r="B1698" s="21">
        <f t="shared" si="26"/>
        <v>423</v>
      </c>
      <c r="C1698" t="s">
        <v>220</v>
      </c>
      <c r="D1698" t="s">
        <v>13</v>
      </c>
      <c r="E1698" t="s">
        <v>2751</v>
      </c>
      <c r="F1698" t="s">
        <v>34</v>
      </c>
      <c r="G1698" s="21">
        <v>1</v>
      </c>
      <c r="H1698" s="21">
        <v>0</v>
      </c>
      <c r="J1698" s="20" t="s">
        <v>2498</v>
      </c>
      <c r="K1698" t="s">
        <v>2497</v>
      </c>
    </row>
    <row r="1699" spans="2:11" x14ac:dyDescent="0.2">
      <c r="B1699" s="21">
        <f t="shared" si="26"/>
        <v>422</v>
      </c>
      <c r="C1699" t="s">
        <v>429</v>
      </c>
      <c r="D1699" t="s">
        <v>13</v>
      </c>
      <c r="E1699" t="s">
        <v>2751</v>
      </c>
      <c r="F1699" t="s">
        <v>27</v>
      </c>
      <c r="G1699" s="21">
        <v>1</v>
      </c>
      <c r="H1699" s="21">
        <v>0</v>
      </c>
      <c r="I1699" t="s">
        <v>466</v>
      </c>
      <c r="J1699" s="20" t="s">
        <v>2498</v>
      </c>
      <c r="K1699" t="s">
        <v>2497</v>
      </c>
    </row>
    <row r="1700" spans="2:11" x14ac:dyDescent="0.2">
      <c r="B1700" s="21">
        <f t="shared" si="26"/>
        <v>421</v>
      </c>
      <c r="C1700" t="s">
        <v>365</v>
      </c>
      <c r="D1700" t="s">
        <v>13</v>
      </c>
      <c r="E1700" t="s">
        <v>2751</v>
      </c>
      <c r="F1700" t="s">
        <v>8</v>
      </c>
      <c r="G1700" s="21">
        <v>1</v>
      </c>
      <c r="H1700" s="21">
        <v>0</v>
      </c>
      <c r="J1700" s="20" t="s">
        <v>2498</v>
      </c>
      <c r="K1700" t="s">
        <v>2497</v>
      </c>
    </row>
    <row r="1701" spans="2:11" x14ac:dyDescent="0.2">
      <c r="B1701" s="21">
        <f t="shared" si="26"/>
        <v>420</v>
      </c>
      <c r="C1701" t="s">
        <v>457</v>
      </c>
      <c r="D1701" t="s">
        <v>13</v>
      </c>
      <c r="E1701" t="s">
        <v>2751</v>
      </c>
      <c r="F1701" t="s">
        <v>34</v>
      </c>
      <c r="G1701" s="21">
        <v>1</v>
      </c>
      <c r="H1701" s="21">
        <v>0</v>
      </c>
      <c r="I1701" t="s">
        <v>469</v>
      </c>
      <c r="J1701" s="20" t="s">
        <v>2498</v>
      </c>
      <c r="K1701" t="s">
        <v>2498</v>
      </c>
    </row>
    <row r="1702" spans="2:11" x14ac:dyDescent="0.2">
      <c r="B1702" s="21">
        <f t="shared" si="26"/>
        <v>419</v>
      </c>
      <c r="C1702" t="s">
        <v>32</v>
      </c>
      <c r="D1702" t="s">
        <v>13</v>
      </c>
      <c r="E1702" t="s">
        <v>2751</v>
      </c>
      <c r="F1702" t="s">
        <v>28</v>
      </c>
      <c r="G1702" s="21">
        <v>1</v>
      </c>
      <c r="H1702" s="21">
        <v>0</v>
      </c>
      <c r="J1702" s="20" t="s">
        <v>2498</v>
      </c>
      <c r="K1702" t="s">
        <v>2497</v>
      </c>
    </row>
    <row r="1703" spans="2:11" x14ac:dyDescent="0.2">
      <c r="B1703" s="21">
        <f t="shared" si="26"/>
        <v>418</v>
      </c>
      <c r="C1703" t="s">
        <v>220</v>
      </c>
      <c r="D1703" t="s">
        <v>13</v>
      </c>
      <c r="E1703" t="s">
        <v>2751</v>
      </c>
      <c r="F1703" t="s">
        <v>34</v>
      </c>
      <c r="G1703" s="21">
        <v>1</v>
      </c>
      <c r="H1703" s="21">
        <v>0</v>
      </c>
      <c r="J1703" s="20" t="s">
        <v>2499</v>
      </c>
      <c r="K1703" t="s">
        <v>2498</v>
      </c>
    </row>
    <row r="1704" spans="2:11" x14ac:dyDescent="0.2">
      <c r="B1704" s="21">
        <f t="shared" si="26"/>
        <v>417</v>
      </c>
      <c r="C1704" t="s">
        <v>429</v>
      </c>
      <c r="D1704" t="s">
        <v>13</v>
      </c>
      <c r="E1704" t="s">
        <v>2751</v>
      </c>
      <c r="F1704" t="s">
        <v>27</v>
      </c>
      <c r="G1704" s="21">
        <v>1</v>
      </c>
      <c r="H1704" s="21">
        <v>0</v>
      </c>
      <c r="J1704" s="20" t="s">
        <v>2499</v>
      </c>
      <c r="K1704" t="s">
        <v>2498</v>
      </c>
    </row>
    <row r="1705" spans="2:11" x14ac:dyDescent="0.2">
      <c r="B1705" s="21">
        <f t="shared" si="26"/>
        <v>416</v>
      </c>
      <c r="C1705" t="s">
        <v>365</v>
      </c>
      <c r="D1705" t="s">
        <v>13</v>
      </c>
      <c r="E1705" t="s">
        <v>2751</v>
      </c>
      <c r="F1705" t="s">
        <v>8</v>
      </c>
      <c r="G1705" s="21">
        <v>1</v>
      </c>
      <c r="H1705" s="21">
        <v>0</v>
      </c>
      <c r="I1705" t="s">
        <v>468</v>
      </c>
      <c r="J1705" s="20" t="s">
        <v>2499</v>
      </c>
      <c r="K1705" t="s">
        <v>2498</v>
      </c>
    </row>
    <row r="1706" spans="2:11" x14ac:dyDescent="0.2">
      <c r="B1706" s="21">
        <f t="shared" si="26"/>
        <v>415</v>
      </c>
      <c r="C1706" t="s">
        <v>457</v>
      </c>
      <c r="D1706" t="s">
        <v>13</v>
      </c>
      <c r="E1706" t="s">
        <v>2751</v>
      </c>
      <c r="F1706" t="s">
        <v>34</v>
      </c>
      <c r="G1706" s="21">
        <v>1</v>
      </c>
      <c r="H1706" s="21">
        <v>0</v>
      </c>
      <c r="I1706" t="s">
        <v>467</v>
      </c>
      <c r="J1706" s="20" t="s">
        <v>2499</v>
      </c>
      <c r="K1706" t="s">
        <v>2498</v>
      </c>
    </row>
    <row r="1707" spans="2:11" x14ac:dyDescent="0.2">
      <c r="B1707" s="21">
        <f t="shared" si="26"/>
        <v>414</v>
      </c>
      <c r="C1707" t="s">
        <v>32</v>
      </c>
      <c r="D1707" t="s">
        <v>13</v>
      </c>
      <c r="E1707" t="s">
        <v>2751</v>
      </c>
      <c r="F1707" t="s">
        <v>28</v>
      </c>
      <c r="G1707" s="21">
        <v>1</v>
      </c>
      <c r="H1707" s="21">
        <v>0</v>
      </c>
      <c r="J1707" s="20" t="s">
        <v>2499</v>
      </c>
      <c r="K1707" t="s">
        <v>2498</v>
      </c>
    </row>
    <row r="1708" spans="2:11" x14ac:dyDescent="0.2">
      <c r="B1708" s="21">
        <f t="shared" si="26"/>
        <v>413</v>
      </c>
      <c r="C1708" t="s">
        <v>220</v>
      </c>
      <c r="D1708" t="s">
        <v>13</v>
      </c>
      <c r="E1708" t="s">
        <v>2751</v>
      </c>
      <c r="F1708" t="s">
        <v>34</v>
      </c>
      <c r="G1708" s="21">
        <v>1</v>
      </c>
      <c r="H1708" s="21">
        <v>0</v>
      </c>
      <c r="J1708" s="20" t="s">
        <v>2500</v>
      </c>
      <c r="K1708" t="s">
        <v>2722</v>
      </c>
    </row>
    <row r="1709" spans="2:11" x14ac:dyDescent="0.2">
      <c r="B1709" s="21">
        <f t="shared" si="26"/>
        <v>412</v>
      </c>
      <c r="C1709" t="s">
        <v>429</v>
      </c>
      <c r="D1709" t="s">
        <v>13</v>
      </c>
      <c r="E1709" t="s">
        <v>2751</v>
      </c>
      <c r="F1709" t="s">
        <v>64</v>
      </c>
      <c r="G1709" s="21">
        <v>1</v>
      </c>
      <c r="H1709" s="21">
        <v>0</v>
      </c>
      <c r="I1709" t="s">
        <v>464</v>
      </c>
      <c r="J1709" s="20" t="s">
        <v>2500</v>
      </c>
      <c r="K1709" t="s">
        <v>2500</v>
      </c>
    </row>
    <row r="1710" spans="2:11" x14ac:dyDescent="0.2">
      <c r="B1710" s="21">
        <f t="shared" si="26"/>
        <v>411</v>
      </c>
      <c r="C1710" t="s">
        <v>429</v>
      </c>
      <c r="D1710" t="s">
        <v>13</v>
      </c>
      <c r="E1710" t="s">
        <v>2751</v>
      </c>
      <c r="F1710" t="s">
        <v>27</v>
      </c>
      <c r="G1710" s="21">
        <v>1</v>
      </c>
      <c r="H1710" s="21">
        <v>0</v>
      </c>
      <c r="J1710" s="20" t="s">
        <v>2500</v>
      </c>
      <c r="K1710" t="s">
        <v>2722</v>
      </c>
    </row>
    <row r="1711" spans="2:11" x14ac:dyDescent="0.2">
      <c r="B1711" s="21">
        <f t="shared" si="26"/>
        <v>410</v>
      </c>
      <c r="C1711" t="s">
        <v>446</v>
      </c>
      <c r="D1711" t="s">
        <v>13</v>
      </c>
      <c r="E1711" t="s">
        <v>2751</v>
      </c>
      <c r="F1711" t="s">
        <v>27</v>
      </c>
      <c r="G1711" s="21">
        <v>1</v>
      </c>
      <c r="H1711" s="21">
        <v>0</v>
      </c>
      <c r="I1711" t="s">
        <v>463</v>
      </c>
      <c r="J1711" s="20" t="s">
        <v>2500</v>
      </c>
      <c r="K1711" t="s">
        <v>2500</v>
      </c>
    </row>
    <row r="1712" spans="2:11" x14ac:dyDescent="0.2">
      <c r="B1712" s="21">
        <f t="shared" si="26"/>
        <v>409</v>
      </c>
      <c r="C1712" t="s">
        <v>365</v>
      </c>
      <c r="D1712" t="s">
        <v>13</v>
      </c>
      <c r="E1712" t="s">
        <v>2751</v>
      </c>
      <c r="F1712" t="s">
        <v>8</v>
      </c>
      <c r="G1712" s="21">
        <v>1</v>
      </c>
      <c r="H1712" s="21">
        <v>0</v>
      </c>
      <c r="I1712" t="s">
        <v>465</v>
      </c>
      <c r="J1712" s="20" t="s">
        <v>2500</v>
      </c>
      <c r="K1712" t="s">
        <v>2500</v>
      </c>
    </row>
    <row r="1713" spans="2:11" x14ac:dyDescent="0.2">
      <c r="B1713" s="21">
        <f t="shared" si="26"/>
        <v>408</v>
      </c>
      <c r="C1713" t="s">
        <v>457</v>
      </c>
      <c r="D1713" t="s">
        <v>13</v>
      </c>
      <c r="E1713" t="s">
        <v>2751</v>
      </c>
      <c r="F1713" t="s">
        <v>27</v>
      </c>
      <c r="G1713" s="21">
        <v>1</v>
      </c>
      <c r="H1713" s="21">
        <v>0</v>
      </c>
      <c r="I1713" t="s">
        <v>462</v>
      </c>
      <c r="J1713" s="20" t="s">
        <v>2500</v>
      </c>
      <c r="K1713" t="s">
        <v>2500</v>
      </c>
    </row>
    <row r="1714" spans="2:11" x14ac:dyDescent="0.2">
      <c r="B1714" s="21">
        <f t="shared" si="26"/>
        <v>407</v>
      </c>
      <c r="C1714" t="s">
        <v>220</v>
      </c>
      <c r="D1714" t="s">
        <v>13</v>
      </c>
      <c r="E1714" t="s">
        <v>2751</v>
      </c>
      <c r="F1714" t="s">
        <v>34</v>
      </c>
      <c r="G1714" s="21">
        <v>1</v>
      </c>
      <c r="H1714" s="21">
        <v>0</v>
      </c>
      <c r="I1714" t="s">
        <v>460</v>
      </c>
      <c r="J1714" s="20" t="s">
        <v>2501</v>
      </c>
      <c r="K1714" t="s">
        <v>2500</v>
      </c>
    </row>
    <row r="1715" spans="2:11" x14ac:dyDescent="0.2">
      <c r="B1715" s="21">
        <f t="shared" si="26"/>
        <v>406</v>
      </c>
      <c r="C1715" t="s">
        <v>429</v>
      </c>
      <c r="D1715" t="s">
        <v>13</v>
      </c>
      <c r="E1715" t="s">
        <v>2751</v>
      </c>
      <c r="F1715" t="s">
        <v>64</v>
      </c>
      <c r="G1715" s="21">
        <v>1</v>
      </c>
      <c r="H1715" s="21">
        <v>0</v>
      </c>
      <c r="I1715" t="s">
        <v>461</v>
      </c>
      <c r="J1715" s="20" t="s">
        <v>2501</v>
      </c>
      <c r="K1715" t="s">
        <v>2501</v>
      </c>
    </row>
    <row r="1716" spans="2:11" x14ac:dyDescent="0.2">
      <c r="B1716" s="21">
        <f t="shared" si="26"/>
        <v>405</v>
      </c>
      <c r="C1716" t="s">
        <v>429</v>
      </c>
      <c r="D1716" t="s">
        <v>13</v>
      </c>
      <c r="E1716" t="s">
        <v>2751</v>
      </c>
      <c r="F1716" t="s">
        <v>27</v>
      </c>
      <c r="G1716" s="21">
        <v>1</v>
      </c>
      <c r="H1716" s="21">
        <v>0</v>
      </c>
      <c r="J1716" s="20" t="s">
        <v>2501</v>
      </c>
      <c r="K1716" t="s">
        <v>2500</v>
      </c>
    </row>
    <row r="1717" spans="2:11" x14ac:dyDescent="0.2">
      <c r="B1717" s="21">
        <f t="shared" si="26"/>
        <v>404</v>
      </c>
      <c r="C1717" t="s">
        <v>446</v>
      </c>
      <c r="D1717" t="s">
        <v>13</v>
      </c>
      <c r="E1717" t="s">
        <v>2751</v>
      </c>
      <c r="F1717" t="s">
        <v>27</v>
      </c>
      <c r="G1717" s="21">
        <v>1</v>
      </c>
      <c r="H1717" s="21">
        <v>0</v>
      </c>
      <c r="I1717" t="s">
        <v>456</v>
      </c>
      <c r="J1717" s="20" t="s">
        <v>2501</v>
      </c>
      <c r="K1717" t="s">
        <v>2501</v>
      </c>
    </row>
    <row r="1718" spans="2:11" x14ac:dyDescent="0.2">
      <c r="B1718" s="21">
        <f t="shared" si="26"/>
        <v>403</v>
      </c>
      <c r="C1718" t="s">
        <v>365</v>
      </c>
      <c r="D1718" t="s">
        <v>13</v>
      </c>
      <c r="E1718" t="s">
        <v>2751</v>
      </c>
      <c r="F1718" t="s">
        <v>8</v>
      </c>
      <c r="G1718" s="21">
        <v>1</v>
      </c>
      <c r="H1718" s="21">
        <v>0</v>
      </c>
      <c r="J1718" s="20" t="s">
        <v>2501</v>
      </c>
      <c r="K1718" t="s">
        <v>2500</v>
      </c>
    </row>
    <row r="1719" spans="2:11" x14ac:dyDescent="0.2">
      <c r="B1719" s="21">
        <f t="shared" si="26"/>
        <v>402</v>
      </c>
      <c r="C1719" t="s">
        <v>58</v>
      </c>
      <c r="D1719" t="s">
        <v>14</v>
      </c>
      <c r="E1719" t="s">
        <v>2751</v>
      </c>
      <c r="F1719" t="s">
        <v>27</v>
      </c>
      <c r="G1719" s="21">
        <v>1</v>
      </c>
      <c r="H1719" s="21">
        <v>0</v>
      </c>
      <c r="I1719" t="s">
        <v>458</v>
      </c>
      <c r="J1719" s="20" t="s">
        <v>2501</v>
      </c>
      <c r="K1719" t="s">
        <v>2501</v>
      </c>
    </row>
    <row r="1720" spans="2:11" x14ac:dyDescent="0.2">
      <c r="B1720" s="21">
        <f t="shared" si="26"/>
        <v>401</v>
      </c>
      <c r="C1720" t="s">
        <v>457</v>
      </c>
      <c r="D1720" t="s">
        <v>13</v>
      </c>
      <c r="E1720" t="s">
        <v>2751</v>
      </c>
      <c r="F1720" t="s">
        <v>27</v>
      </c>
      <c r="G1720" s="21">
        <v>1</v>
      </c>
      <c r="H1720" s="21">
        <v>0</v>
      </c>
      <c r="I1720" t="s">
        <v>459</v>
      </c>
      <c r="J1720" s="20" t="s">
        <v>2501</v>
      </c>
      <c r="K1720" t="s">
        <v>2501</v>
      </c>
    </row>
    <row r="1721" spans="2:11" x14ac:dyDescent="0.2">
      <c r="B1721" s="21">
        <f t="shared" si="26"/>
        <v>400</v>
      </c>
      <c r="C1721" t="s">
        <v>220</v>
      </c>
      <c r="D1721" t="s">
        <v>13</v>
      </c>
      <c r="E1721" t="s">
        <v>2751</v>
      </c>
      <c r="F1721" t="s">
        <v>34</v>
      </c>
      <c r="G1721" s="21">
        <v>1</v>
      </c>
      <c r="H1721" s="21">
        <v>0</v>
      </c>
      <c r="I1721" t="s">
        <v>455</v>
      </c>
      <c r="J1721" s="20" t="s">
        <v>2502</v>
      </c>
      <c r="K1721" t="s">
        <v>2501</v>
      </c>
    </row>
    <row r="1722" spans="2:11" x14ac:dyDescent="0.2">
      <c r="B1722" s="21">
        <f t="shared" si="26"/>
        <v>399</v>
      </c>
      <c r="C1722" t="s">
        <v>429</v>
      </c>
      <c r="D1722" t="s">
        <v>13</v>
      </c>
      <c r="E1722" t="s">
        <v>2751</v>
      </c>
      <c r="F1722" t="s">
        <v>27</v>
      </c>
      <c r="G1722" s="21">
        <v>1</v>
      </c>
      <c r="H1722" s="21">
        <v>0</v>
      </c>
      <c r="J1722" s="20" t="s">
        <v>2502</v>
      </c>
      <c r="K1722" t="s">
        <v>2501</v>
      </c>
    </row>
    <row r="1723" spans="2:11" x14ac:dyDescent="0.2">
      <c r="B1723" s="21">
        <f t="shared" si="26"/>
        <v>398</v>
      </c>
      <c r="C1723" t="s">
        <v>32</v>
      </c>
      <c r="D1723" t="s">
        <v>13</v>
      </c>
      <c r="E1723" t="s">
        <v>2751</v>
      </c>
      <c r="F1723" t="s">
        <v>28</v>
      </c>
      <c r="G1723" s="21">
        <v>1</v>
      </c>
      <c r="H1723" s="21">
        <v>0</v>
      </c>
      <c r="I1723" t="s">
        <v>454</v>
      </c>
      <c r="J1723" s="20" t="s">
        <v>2502</v>
      </c>
      <c r="K1723" t="s">
        <v>2502</v>
      </c>
    </row>
    <row r="1724" spans="2:11" x14ac:dyDescent="0.2">
      <c r="B1724" s="21">
        <f t="shared" si="26"/>
        <v>397</v>
      </c>
      <c r="C1724" t="s">
        <v>151</v>
      </c>
      <c r="D1724" t="s">
        <v>13</v>
      </c>
      <c r="E1724" t="s">
        <v>2751</v>
      </c>
      <c r="F1724" t="s">
        <v>42</v>
      </c>
      <c r="G1724" s="21">
        <v>1</v>
      </c>
      <c r="H1724" s="21">
        <v>0</v>
      </c>
      <c r="I1724" t="s">
        <v>453</v>
      </c>
      <c r="J1724" s="20" t="s">
        <v>2502</v>
      </c>
      <c r="K1724" t="s">
        <v>2502</v>
      </c>
    </row>
    <row r="1725" spans="2:11" x14ac:dyDescent="0.2">
      <c r="B1725" s="21">
        <f t="shared" si="26"/>
        <v>396</v>
      </c>
      <c r="C1725" t="s">
        <v>446</v>
      </c>
      <c r="D1725" t="s">
        <v>13</v>
      </c>
      <c r="E1725" t="s">
        <v>2751</v>
      </c>
      <c r="F1725" t="s">
        <v>43</v>
      </c>
      <c r="G1725" s="21">
        <v>1</v>
      </c>
      <c r="H1725" s="21">
        <v>0</v>
      </c>
      <c r="J1725" s="20" t="s">
        <v>2502</v>
      </c>
      <c r="K1725" t="s">
        <v>2501</v>
      </c>
    </row>
    <row r="1726" spans="2:11" x14ac:dyDescent="0.2">
      <c r="B1726" s="21">
        <f t="shared" si="26"/>
        <v>395</v>
      </c>
      <c r="C1726" t="s">
        <v>365</v>
      </c>
      <c r="D1726" t="s">
        <v>13</v>
      </c>
      <c r="E1726" t="s">
        <v>2751</v>
      </c>
      <c r="F1726" t="s">
        <v>8</v>
      </c>
      <c r="G1726" s="21">
        <v>1</v>
      </c>
      <c r="H1726" s="21">
        <v>0</v>
      </c>
      <c r="I1726" t="s">
        <v>452</v>
      </c>
      <c r="J1726" s="20" t="s">
        <v>2502</v>
      </c>
      <c r="K1726" t="s">
        <v>2502</v>
      </c>
    </row>
    <row r="1727" spans="2:11" x14ac:dyDescent="0.2">
      <c r="B1727" s="21">
        <f t="shared" si="26"/>
        <v>394</v>
      </c>
      <c r="C1727" t="s">
        <v>220</v>
      </c>
      <c r="D1727" t="s">
        <v>13</v>
      </c>
      <c r="E1727" t="s">
        <v>2751</v>
      </c>
      <c r="F1727" t="s">
        <v>34</v>
      </c>
      <c r="G1727" s="21">
        <v>1</v>
      </c>
      <c r="H1727" s="21">
        <v>0</v>
      </c>
      <c r="J1727" s="20" t="s">
        <v>2503</v>
      </c>
      <c r="K1727" t="s">
        <v>2502</v>
      </c>
    </row>
    <row r="1728" spans="2:11" x14ac:dyDescent="0.2">
      <c r="B1728" s="21">
        <f t="shared" si="26"/>
        <v>393</v>
      </c>
      <c r="C1728" t="s">
        <v>429</v>
      </c>
      <c r="D1728" t="s">
        <v>13</v>
      </c>
      <c r="E1728" t="s">
        <v>2751</v>
      </c>
      <c r="F1728" t="s">
        <v>27</v>
      </c>
      <c r="G1728" s="21">
        <v>1</v>
      </c>
      <c r="H1728" s="21">
        <v>0</v>
      </c>
      <c r="J1728" s="20" t="s">
        <v>2503</v>
      </c>
      <c r="K1728" t="s">
        <v>2502</v>
      </c>
    </row>
    <row r="1729" spans="2:11" x14ac:dyDescent="0.2">
      <c r="B1729" s="21">
        <f t="shared" si="26"/>
        <v>392</v>
      </c>
      <c r="C1729" t="s">
        <v>429</v>
      </c>
      <c r="D1729" t="s">
        <v>13</v>
      </c>
      <c r="E1729" t="s">
        <v>2751</v>
      </c>
      <c r="F1729" t="s">
        <v>4</v>
      </c>
      <c r="G1729" s="21">
        <v>1</v>
      </c>
      <c r="H1729" s="21">
        <v>0</v>
      </c>
      <c r="I1729" t="s">
        <v>451</v>
      </c>
      <c r="J1729" s="20" t="s">
        <v>2503</v>
      </c>
      <c r="K1729" t="s">
        <v>2503</v>
      </c>
    </row>
    <row r="1730" spans="2:11" x14ac:dyDescent="0.2">
      <c r="B1730" s="21">
        <f t="shared" si="26"/>
        <v>391</v>
      </c>
      <c r="C1730" t="s">
        <v>32</v>
      </c>
      <c r="D1730" t="s">
        <v>13</v>
      </c>
      <c r="E1730" t="s">
        <v>2751</v>
      </c>
      <c r="F1730" t="s">
        <v>28</v>
      </c>
      <c r="G1730" s="21">
        <v>1</v>
      </c>
      <c r="H1730" s="21">
        <v>0</v>
      </c>
      <c r="I1730" t="s">
        <v>448</v>
      </c>
      <c r="J1730" s="20" t="s">
        <v>2503</v>
      </c>
      <c r="K1730" t="s">
        <v>2502</v>
      </c>
    </row>
    <row r="1731" spans="2:11" x14ac:dyDescent="0.2">
      <c r="B1731" s="21">
        <f t="shared" si="26"/>
        <v>390</v>
      </c>
      <c r="C1731" t="s">
        <v>151</v>
      </c>
      <c r="D1731" t="s">
        <v>13</v>
      </c>
      <c r="E1731" t="s">
        <v>2751</v>
      </c>
      <c r="F1731" t="s">
        <v>42</v>
      </c>
      <c r="G1731" s="21">
        <v>1</v>
      </c>
      <c r="H1731" s="21">
        <v>0</v>
      </c>
      <c r="I1731" t="s">
        <v>449</v>
      </c>
      <c r="J1731" s="20" t="s">
        <v>2503</v>
      </c>
      <c r="K1731" t="s">
        <v>2503</v>
      </c>
    </row>
    <row r="1732" spans="2:11" x14ac:dyDescent="0.2">
      <c r="B1732" s="21">
        <f t="shared" si="26"/>
        <v>389</v>
      </c>
      <c r="C1732" t="s">
        <v>446</v>
      </c>
      <c r="D1732" t="s">
        <v>13</v>
      </c>
      <c r="E1732" t="s">
        <v>2751</v>
      </c>
      <c r="F1732" t="s">
        <v>4</v>
      </c>
      <c r="G1732" s="21">
        <v>1</v>
      </c>
      <c r="H1732" s="21">
        <v>0</v>
      </c>
      <c r="I1732" t="s">
        <v>450</v>
      </c>
      <c r="J1732" s="20" t="s">
        <v>2503</v>
      </c>
      <c r="K1732" t="s">
        <v>2503</v>
      </c>
    </row>
    <row r="1733" spans="2:11" x14ac:dyDescent="0.2">
      <c r="B1733" s="21">
        <f t="shared" ref="B1733:B1796" si="27">B1732-1</f>
        <v>388</v>
      </c>
      <c r="C1733" t="s">
        <v>365</v>
      </c>
      <c r="D1733" t="s">
        <v>13</v>
      </c>
      <c r="E1733" t="s">
        <v>2751</v>
      </c>
      <c r="F1733" t="s">
        <v>8</v>
      </c>
      <c r="G1733" s="21">
        <v>1</v>
      </c>
      <c r="H1733" s="21">
        <v>0</v>
      </c>
      <c r="I1733" t="s">
        <v>447</v>
      </c>
      <c r="J1733" s="20" t="s">
        <v>2503</v>
      </c>
      <c r="K1733" t="s">
        <v>2503</v>
      </c>
    </row>
    <row r="1734" spans="2:11" x14ac:dyDescent="0.2">
      <c r="B1734" s="21">
        <f t="shared" si="27"/>
        <v>387</v>
      </c>
      <c r="C1734" t="s">
        <v>220</v>
      </c>
      <c r="D1734" t="s">
        <v>13</v>
      </c>
      <c r="E1734" t="s">
        <v>2751</v>
      </c>
      <c r="F1734" t="s">
        <v>34</v>
      </c>
      <c r="G1734" s="21">
        <v>1</v>
      </c>
      <c r="H1734" s="21">
        <v>0</v>
      </c>
      <c r="J1734" s="20" t="s">
        <v>2504</v>
      </c>
      <c r="K1734" t="s">
        <v>2503</v>
      </c>
    </row>
    <row r="1735" spans="2:11" x14ac:dyDescent="0.2">
      <c r="B1735" s="21">
        <f t="shared" si="27"/>
        <v>386</v>
      </c>
      <c r="C1735" t="s">
        <v>429</v>
      </c>
      <c r="D1735" t="s">
        <v>13</v>
      </c>
      <c r="E1735" t="s">
        <v>2751</v>
      </c>
      <c r="F1735" t="s">
        <v>27</v>
      </c>
      <c r="G1735" s="21">
        <v>1</v>
      </c>
      <c r="H1735" s="21">
        <v>0</v>
      </c>
      <c r="J1735" s="20" t="s">
        <v>2504</v>
      </c>
      <c r="K1735" t="s">
        <v>2503</v>
      </c>
    </row>
    <row r="1736" spans="2:11" x14ac:dyDescent="0.2">
      <c r="B1736" s="21">
        <f t="shared" si="27"/>
        <v>385</v>
      </c>
      <c r="C1736" t="s">
        <v>32</v>
      </c>
      <c r="D1736" t="s">
        <v>13</v>
      </c>
      <c r="E1736" t="s">
        <v>2751</v>
      </c>
      <c r="F1736" t="s">
        <v>28</v>
      </c>
      <c r="G1736" s="21">
        <v>1</v>
      </c>
      <c r="H1736" s="21">
        <v>0</v>
      </c>
      <c r="I1736" t="s">
        <v>444</v>
      </c>
      <c r="J1736" s="20" t="s">
        <v>2504</v>
      </c>
      <c r="K1736" t="s">
        <v>2503</v>
      </c>
    </row>
    <row r="1737" spans="2:11" x14ac:dyDescent="0.2">
      <c r="B1737" s="21">
        <f t="shared" si="27"/>
        <v>384</v>
      </c>
      <c r="C1737" t="s">
        <v>151</v>
      </c>
      <c r="D1737" t="s">
        <v>13</v>
      </c>
      <c r="E1737" t="s">
        <v>2751</v>
      </c>
      <c r="F1737" t="s">
        <v>42</v>
      </c>
      <c r="G1737" s="21">
        <v>1</v>
      </c>
      <c r="H1737" s="21">
        <v>0</v>
      </c>
      <c r="I1737" t="s">
        <v>445</v>
      </c>
      <c r="J1737" s="20" t="s">
        <v>2504</v>
      </c>
      <c r="K1737" t="s">
        <v>2503</v>
      </c>
    </row>
    <row r="1738" spans="2:11" x14ac:dyDescent="0.2">
      <c r="B1738" s="21">
        <f t="shared" si="27"/>
        <v>383</v>
      </c>
      <c r="C1738" t="s">
        <v>220</v>
      </c>
      <c r="D1738" t="s">
        <v>13</v>
      </c>
      <c r="E1738" t="s">
        <v>2751</v>
      </c>
      <c r="F1738" t="s">
        <v>34</v>
      </c>
      <c r="G1738" s="21">
        <v>1</v>
      </c>
      <c r="H1738" s="21">
        <v>0</v>
      </c>
      <c r="J1738" s="20" t="s">
        <v>2505</v>
      </c>
      <c r="K1738" t="s">
        <v>2723</v>
      </c>
    </row>
    <row r="1739" spans="2:11" x14ac:dyDescent="0.2">
      <c r="B1739" s="21">
        <f t="shared" si="27"/>
        <v>382</v>
      </c>
      <c r="C1739" t="s">
        <v>220</v>
      </c>
      <c r="D1739" t="s">
        <v>13</v>
      </c>
      <c r="E1739" t="s">
        <v>2751</v>
      </c>
      <c r="F1739" t="s">
        <v>43</v>
      </c>
      <c r="G1739" s="21">
        <v>1</v>
      </c>
      <c r="H1739" s="21">
        <v>0</v>
      </c>
      <c r="I1739" t="s">
        <v>440</v>
      </c>
      <c r="J1739" s="20" t="s">
        <v>2505</v>
      </c>
      <c r="K1739" t="s">
        <v>2505</v>
      </c>
    </row>
    <row r="1740" spans="2:11" x14ac:dyDescent="0.2">
      <c r="B1740" s="21">
        <f t="shared" si="27"/>
        <v>381</v>
      </c>
      <c r="C1740" t="s">
        <v>365</v>
      </c>
      <c r="D1740" t="s">
        <v>13</v>
      </c>
      <c r="E1740" t="s">
        <v>2751</v>
      </c>
      <c r="F1740" t="s">
        <v>8</v>
      </c>
      <c r="G1740" s="21">
        <v>1</v>
      </c>
      <c r="H1740" s="21">
        <v>0</v>
      </c>
      <c r="I1740" t="s">
        <v>442</v>
      </c>
      <c r="J1740" s="20" t="s">
        <v>2505</v>
      </c>
      <c r="K1740" t="s">
        <v>2505</v>
      </c>
    </row>
    <row r="1741" spans="2:11" x14ac:dyDescent="0.2">
      <c r="B1741" s="21">
        <f t="shared" si="27"/>
        <v>380</v>
      </c>
      <c r="C1741" t="s">
        <v>365</v>
      </c>
      <c r="D1741" t="s">
        <v>13</v>
      </c>
      <c r="E1741" t="s">
        <v>2751</v>
      </c>
      <c r="F1741" t="s">
        <v>43</v>
      </c>
      <c r="G1741" s="21">
        <v>1</v>
      </c>
      <c r="H1741" s="21">
        <v>0</v>
      </c>
      <c r="I1741" t="s">
        <v>440</v>
      </c>
      <c r="J1741" s="20" t="s">
        <v>2505</v>
      </c>
      <c r="K1741" t="s">
        <v>2505</v>
      </c>
    </row>
    <row r="1742" spans="2:11" x14ac:dyDescent="0.2">
      <c r="B1742" s="21">
        <f t="shared" si="27"/>
        <v>379</v>
      </c>
      <c r="C1742" t="s">
        <v>429</v>
      </c>
      <c r="D1742" t="s">
        <v>13</v>
      </c>
      <c r="E1742" t="s">
        <v>2751</v>
      </c>
      <c r="F1742" t="s">
        <v>27</v>
      </c>
      <c r="G1742" s="21">
        <v>1</v>
      </c>
      <c r="H1742" s="21">
        <v>0</v>
      </c>
      <c r="I1742" t="s">
        <v>441</v>
      </c>
      <c r="J1742" s="20" t="s">
        <v>2505</v>
      </c>
      <c r="K1742" t="s">
        <v>2723</v>
      </c>
    </row>
    <row r="1743" spans="2:11" x14ac:dyDescent="0.2">
      <c r="B1743" s="21">
        <f t="shared" si="27"/>
        <v>378</v>
      </c>
      <c r="C1743" t="s">
        <v>145</v>
      </c>
      <c r="D1743" t="s">
        <v>13</v>
      </c>
      <c r="E1743" t="s">
        <v>2751</v>
      </c>
      <c r="F1743" t="s">
        <v>27</v>
      </c>
      <c r="G1743" s="21">
        <v>1</v>
      </c>
      <c r="H1743" s="21">
        <v>0</v>
      </c>
      <c r="I1743" t="s">
        <v>443</v>
      </c>
      <c r="J1743" s="20" t="s">
        <v>2505</v>
      </c>
      <c r="K1743" t="s">
        <v>2505</v>
      </c>
    </row>
    <row r="1744" spans="2:11" x14ac:dyDescent="0.2">
      <c r="B1744" s="21">
        <f t="shared" si="27"/>
        <v>377</v>
      </c>
      <c r="C1744" t="s">
        <v>220</v>
      </c>
      <c r="D1744" t="s">
        <v>13</v>
      </c>
      <c r="E1744" t="s">
        <v>2751</v>
      </c>
      <c r="F1744" t="s">
        <v>34</v>
      </c>
      <c r="G1744" s="21">
        <v>1</v>
      </c>
      <c r="H1744" s="21">
        <v>0</v>
      </c>
      <c r="J1744" s="20" t="s">
        <v>2506</v>
      </c>
      <c r="K1744" t="s">
        <v>2505</v>
      </c>
    </row>
    <row r="1745" spans="2:11" x14ac:dyDescent="0.2">
      <c r="B1745" s="21">
        <f t="shared" si="27"/>
        <v>376</v>
      </c>
      <c r="C1745" t="s">
        <v>365</v>
      </c>
      <c r="D1745" t="s">
        <v>13</v>
      </c>
      <c r="E1745" t="s">
        <v>2751</v>
      </c>
      <c r="F1745" t="s">
        <v>8</v>
      </c>
      <c r="G1745" s="21">
        <v>1</v>
      </c>
      <c r="H1745" s="21">
        <v>0</v>
      </c>
      <c r="I1745" t="s">
        <v>437</v>
      </c>
      <c r="J1745" s="20" t="s">
        <v>2506</v>
      </c>
      <c r="K1745" t="s">
        <v>2505</v>
      </c>
    </row>
    <row r="1746" spans="2:11" x14ac:dyDescent="0.2">
      <c r="B1746" s="21">
        <f t="shared" si="27"/>
        <v>375</v>
      </c>
      <c r="C1746" t="s">
        <v>32</v>
      </c>
      <c r="D1746" t="s">
        <v>13</v>
      </c>
      <c r="E1746" t="s">
        <v>2751</v>
      </c>
      <c r="F1746" t="s">
        <v>21</v>
      </c>
      <c r="G1746" s="21">
        <v>1</v>
      </c>
      <c r="H1746" s="21">
        <v>0</v>
      </c>
      <c r="I1746" t="s">
        <v>436</v>
      </c>
      <c r="J1746" s="20" t="s">
        <v>2506</v>
      </c>
      <c r="K1746" t="s">
        <v>2506</v>
      </c>
    </row>
    <row r="1747" spans="2:11" x14ac:dyDescent="0.2">
      <c r="B1747" s="21">
        <f t="shared" si="27"/>
        <v>374</v>
      </c>
      <c r="C1747" t="s">
        <v>429</v>
      </c>
      <c r="D1747" t="s">
        <v>13</v>
      </c>
      <c r="E1747" t="s">
        <v>2751</v>
      </c>
      <c r="F1747" t="s">
        <v>27</v>
      </c>
      <c r="G1747" s="21">
        <v>1</v>
      </c>
      <c r="H1747" s="21">
        <v>0</v>
      </c>
      <c r="I1747" t="s">
        <v>438</v>
      </c>
      <c r="J1747" s="20" t="s">
        <v>2506</v>
      </c>
      <c r="K1747" t="s">
        <v>2505</v>
      </c>
    </row>
    <row r="1748" spans="2:11" x14ac:dyDescent="0.2">
      <c r="B1748" s="21">
        <f t="shared" si="27"/>
        <v>373</v>
      </c>
      <c r="C1748" t="s">
        <v>352</v>
      </c>
      <c r="D1748" t="s">
        <v>13</v>
      </c>
      <c r="E1748" t="s">
        <v>2751</v>
      </c>
      <c r="F1748" t="s">
        <v>27</v>
      </c>
      <c r="G1748" s="21">
        <v>1</v>
      </c>
      <c r="H1748" s="21">
        <v>0</v>
      </c>
      <c r="I1748" t="s">
        <v>439</v>
      </c>
      <c r="J1748" s="20" t="s">
        <v>2506</v>
      </c>
      <c r="K1748" t="s">
        <v>2506</v>
      </c>
    </row>
    <row r="1749" spans="2:11" x14ac:dyDescent="0.2">
      <c r="B1749" s="21">
        <f t="shared" si="27"/>
        <v>372</v>
      </c>
      <c r="C1749" t="s">
        <v>220</v>
      </c>
      <c r="D1749" t="s">
        <v>13</v>
      </c>
      <c r="E1749" t="s">
        <v>2751</v>
      </c>
      <c r="F1749" t="s">
        <v>34</v>
      </c>
      <c r="G1749" s="21">
        <v>1</v>
      </c>
      <c r="H1749" s="21">
        <v>0</v>
      </c>
      <c r="I1749" t="s">
        <v>435</v>
      </c>
      <c r="J1749" s="20" t="s">
        <v>2507</v>
      </c>
      <c r="K1749" t="s">
        <v>2506</v>
      </c>
    </row>
    <row r="1750" spans="2:11" x14ac:dyDescent="0.2">
      <c r="B1750" s="21">
        <f t="shared" si="27"/>
        <v>371</v>
      </c>
      <c r="C1750" t="s">
        <v>365</v>
      </c>
      <c r="D1750" t="s">
        <v>13</v>
      </c>
      <c r="E1750" t="s">
        <v>2751</v>
      </c>
      <c r="F1750" t="s">
        <v>8</v>
      </c>
      <c r="G1750" s="21">
        <v>1</v>
      </c>
      <c r="H1750" s="21">
        <v>0</v>
      </c>
      <c r="I1750" t="s">
        <v>434</v>
      </c>
      <c r="J1750" s="20" t="s">
        <v>2507</v>
      </c>
      <c r="K1750" t="s">
        <v>2507</v>
      </c>
    </row>
    <row r="1751" spans="2:11" x14ac:dyDescent="0.2">
      <c r="B1751" s="21">
        <f t="shared" si="27"/>
        <v>370</v>
      </c>
      <c r="C1751" t="s">
        <v>32</v>
      </c>
      <c r="D1751" t="s">
        <v>13</v>
      </c>
      <c r="E1751" t="s">
        <v>2751</v>
      </c>
      <c r="F1751" t="s">
        <v>28</v>
      </c>
      <c r="G1751" s="21">
        <v>1</v>
      </c>
      <c r="H1751" s="21">
        <v>0</v>
      </c>
      <c r="I1751" t="s">
        <v>433</v>
      </c>
      <c r="J1751" s="20" t="s">
        <v>2507</v>
      </c>
      <c r="K1751" t="s">
        <v>2506</v>
      </c>
    </row>
    <row r="1752" spans="2:11" x14ac:dyDescent="0.2">
      <c r="B1752" s="21">
        <f t="shared" si="27"/>
        <v>369</v>
      </c>
      <c r="C1752" t="s">
        <v>426</v>
      </c>
      <c r="D1752" t="s">
        <v>13</v>
      </c>
      <c r="E1752" t="s">
        <v>2751</v>
      </c>
      <c r="F1752" t="s">
        <v>27</v>
      </c>
      <c r="G1752" s="21">
        <v>1</v>
      </c>
      <c r="H1752" s="21">
        <v>0</v>
      </c>
      <c r="I1752" t="s">
        <v>432</v>
      </c>
      <c r="J1752" s="20" t="s">
        <v>2507</v>
      </c>
      <c r="K1752" t="s">
        <v>2507</v>
      </c>
    </row>
    <row r="1753" spans="2:11" x14ac:dyDescent="0.2">
      <c r="B1753" s="21">
        <f t="shared" si="27"/>
        <v>368</v>
      </c>
      <c r="C1753" t="s">
        <v>429</v>
      </c>
      <c r="D1753" t="s">
        <v>13</v>
      </c>
      <c r="E1753" t="s">
        <v>2751</v>
      </c>
      <c r="F1753" t="s">
        <v>4</v>
      </c>
      <c r="G1753" s="21">
        <v>1</v>
      </c>
      <c r="H1753" s="21">
        <v>0</v>
      </c>
      <c r="I1753" t="s">
        <v>431</v>
      </c>
      <c r="J1753" s="20" t="s">
        <v>2507</v>
      </c>
      <c r="K1753" t="s">
        <v>2507</v>
      </c>
    </row>
    <row r="1754" spans="2:11" x14ac:dyDescent="0.2">
      <c r="B1754" s="21">
        <f t="shared" si="27"/>
        <v>367</v>
      </c>
      <c r="C1754" t="s">
        <v>429</v>
      </c>
      <c r="D1754" t="s">
        <v>13</v>
      </c>
      <c r="E1754" t="s">
        <v>2751</v>
      </c>
      <c r="F1754" t="s">
        <v>8</v>
      </c>
      <c r="G1754" s="21">
        <v>1</v>
      </c>
      <c r="H1754" s="21">
        <v>0</v>
      </c>
      <c r="I1754" t="s">
        <v>430</v>
      </c>
      <c r="J1754" s="20" t="s">
        <v>2507</v>
      </c>
      <c r="K1754" t="s">
        <v>2506</v>
      </c>
    </row>
    <row r="1755" spans="2:11" x14ac:dyDescent="0.2">
      <c r="B1755" s="21">
        <f t="shared" si="27"/>
        <v>366</v>
      </c>
      <c r="C1755" t="s">
        <v>220</v>
      </c>
      <c r="D1755" t="s">
        <v>13</v>
      </c>
      <c r="E1755" t="s">
        <v>2751</v>
      </c>
      <c r="F1755" t="s">
        <v>34</v>
      </c>
      <c r="G1755" s="21">
        <v>1</v>
      </c>
      <c r="H1755" s="21">
        <v>0</v>
      </c>
      <c r="J1755" s="20" t="s">
        <v>2508</v>
      </c>
      <c r="K1755" t="s">
        <v>2507</v>
      </c>
    </row>
    <row r="1756" spans="2:11" x14ac:dyDescent="0.2">
      <c r="B1756" s="21">
        <f t="shared" si="27"/>
        <v>365</v>
      </c>
      <c r="C1756" t="s">
        <v>365</v>
      </c>
      <c r="D1756" t="s">
        <v>13</v>
      </c>
      <c r="E1756" t="s">
        <v>2751</v>
      </c>
      <c r="F1756" t="s">
        <v>27</v>
      </c>
      <c r="G1756" s="21">
        <v>1</v>
      </c>
      <c r="H1756" s="21">
        <v>0</v>
      </c>
      <c r="I1756" t="s">
        <v>427</v>
      </c>
      <c r="J1756" s="20" t="s">
        <v>2508</v>
      </c>
      <c r="K1756" t="s">
        <v>2508</v>
      </c>
    </row>
    <row r="1757" spans="2:11" x14ac:dyDescent="0.2">
      <c r="B1757" s="21">
        <f t="shared" si="27"/>
        <v>364</v>
      </c>
      <c r="C1757" t="s">
        <v>32</v>
      </c>
      <c r="D1757" t="s">
        <v>13</v>
      </c>
      <c r="E1757" t="s">
        <v>2751</v>
      </c>
      <c r="F1757" t="s">
        <v>28</v>
      </c>
      <c r="G1757" s="21">
        <v>1</v>
      </c>
      <c r="H1757" s="21">
        <v>0</v>
      </c>
      <c r="I1757" t="s">
        <v>428</v>
      </c>
      <c r="J1757" s="20" t="s">
        <v>2508</v>
      </c>
      <c r="K1757" t="s">
        <v>2507</v>
      </c>
    </row>
    <row r="1758" spans="2:11" x14ac:dyDescent="0.2">
      <c r="B1758" s="21">
        <f t="shared" si="27"/>
        <v>363</v>
      </c>
      <c r="C1758" t="s">
        <v>426</v>
      </c>
      <c r="D1758" t="s">
        <v>13</v>
      </c>
      <c r="E1758" t="s">
        <v>2751</v>
      </c>
      <c r="F1758" t="s">
        <v>28</v>
      </c>
      <c r="G1758" s="21">
        <v>1</v>
      </c>
      <c r="H1758" s="21">
        <v>0</v>
      </c>
      <c r="J1758" s="20" t="s">
        <v>2508</v>
      </c>
      <c r="K1758" t="s">
        <v>2507</v>
      </c>
    </row>
    <row r="1759" spans="2:11" x14ac:dyDescent="0.2">
      <c r="B1759" s="21">
        <f t="shared" si="27"/>
        <v>362</v>
      </c>
      <c r="C1759" t="s">
        <v>220</v>
      </c>
      <c r="D1759" t="s">
        <v>13</v>
      </c>
      <c r="E1759" t="s">
        <v>2751</v>
      </c>
      <c r="F1759" t="s">
        <v>21</v>
      </c>
      <c r="G1759" s="21">
        <v>1</v>
      </c>
      <c r="H1759" s="21">
        <v>0</v>
      </c>
      <c r="I1759" t="s">
        <v>423</v>
      </c>
      <c r="J1759" s="20" t="s">
        <v>2509</v>
      </c>
      <c r="K1759" t="s">
        <v>2509</v>
      </c>
    </row>
    <row r="1760" spans="2:11" x14ac:dyDescent="0.2">
      <c r="B1760" s="21">
        <f t="shared" si="27"/>
        <v>361</v>
      </c>
      <c r="C1760" t="s">
        <v>220</v>
      </c>
      <c r="D1760" t="s">
        <v>13</v>
      </c>
      <c r="E1760" t="s">
        <v>2751</v>
      </c>
      <c r="F1760" t="s">
        <v>34</v>
      </c>
      <c r="G1760" s="21">
        <v>1</v>
      </c>
      <c r="H1760" s="21">
        <v>0</v>
      </c>
      <c r="J1760" s="20" t="s">
        <v>2509</v>
      </c>
      <c r="K1760" t="s">
        <v>2508</v>
      </c>
    </row>
    <row r="1761" spans="2:11" x14ac:dyDescent="0.2">
      <c r="B1761" s="21">
        <f t="shared" si="27"/>
        <v>360</v>
      </c>
      <c r="C1761" t="s">
        <v>365</v>
      </c>
      <c r="D1761" t="s">
        <v>13</v>
      </c>
      <c r="E1761" t="s">
        <v>2751</v>
      </c>
      <c r="F1761" t="s">
        <v>27</v>
      </c>
      <c r="G1761" s="21">
        <v>1</v>
      </c>
      <c r="H1761" s="21">
        <v>0</v>
      </c>
      <c r="I1761" t="s">
        <v>424</v>
      </c>
      <c r="J1761" s="20" t="s">
        <v>2509</v>
      </c>
      <c r="K1761" t="s">
        <v>2508</v>
      </c>
    </row>
    <row r="1762" spans="2:11" x14ac:dyDescent="0.2">
      <c r="B1762" s="21">
        <f t="shared" si="27"/>
        <v>359</v>
      </c>
      <c r="C1762" t="s">
        <v>32</v>
      </c>
      <c r="D1762" t="s">
        <v>13</v>
      </c>
      <c r="E1762" t="s">
        <v>2751</v>
      </c>
      <c r="F1762" t="s">
        <v>28</v>
      </c>
      <c r="G1762" s="21">
        <v>1</v>
      </c>
      <c r="H1762" s="21">
        <v>0</v>
      </c>
      <c r="J1762" s="20" t="s">
        <v>2509</v>
      </c>
      <c r="K1762" t="s">
        <v>2508</v>
      </c>
    </row>
    <row r="1763" spans="2:11" x14ac:dyDescent="0.2">
      <c r="B1763" s="21">
        <f t="shared" si="27"/>
        <v>358</v>
      </c>
      <c r="C1763" t="s">
        <v>241</v>
      </c>
      <c r="D1763" t="s">
        <v>13</v>
      </c>
      <c r="E1763" t="s">
        <v>2751</v>
      </c>
      <c r="F1763" t="s">
        <v>49</v>
      </c>
      <c r="G1763" s="21">
        <v>1</v>
      </c>
      <c r="H1763" s="21">
        <v>0</v>
      </c>
      <c r="I1763" t="s">
        <v>425</v>
      </c>
      <c r="J1763" s="20" t="s">
        <v>2509</v>
      </c>
      <c r="K1763" t="s">
        <v>2509</v>
      </c>
    </row>
    <row r="1764" spans="2:11" x14ac:dyDescent="0.2">
      <c r="B1764" s="21">
        <f t="shared" si="27"/>
        <v>357</v>
      </c>
      <c r="C1764" t="s">
        <v>220</v>
      </c>
      <c r="D1764" t="s">
        <v>13</v>
      </c>
      <c r="E1764" t="s">
        <v>2751</v>
      </c>
      <c r="F1764" t="s">
        <v>34</v>
      </c>
      <c r="G1764" s="21">
        <v>1</v>
      </c>
      <c r="H1764" s="21">
        <v>0</v>
      </c>
      <c r="I1764" t="s">
        <v>420</v>
      </c>
      <c r="J1764" s="20" t="s">
        <v>2510</v>
      </c>
      <c r="K1764" t="s">
        <v>2724</v>
      </c>
    </row>
    <row r="1765" spans="2:11" x14ac:dyDescent="0.2">
      <c r="B1765" s="21">
        <f t="shared" si="27"/>
        <v>356</v>
      </c>
      <c r="C1765" t="s">
        <v>365</v>
      </c>
      <c r="D1765" t="s">
        <v>13</v>
      </c>
      <c r="E1765" t="s">
        <v>2751</v>
      </c>
      <c r="F1765" t="s">
        <v>27</v>
      </c>
      <c r="G1765" s="21">
        <v>1</v>
      </c>
      <c r="H1765" s="21">
        <v>0</v>
      </c>
      <c r="J1765" s="20" t="s">
        <v>2510</v>
      </c>
      <c r="K1765" t="s">
        <v>2724</v>
      </c>
    </row>
    <row r="1766" spans="2:11" x14ac:dyDescent="0.2">
      <c r="B1766" s="21">
        <f t="shared" si="27"/>
        <v>355</v>
      </c>
      <c r="C1766" t="s">
        <v>32</v>
      </c>
      <c r="D1766" t="s">
        <v>13</v>
      </c>
      <c r="E1766" t="s">
        <v>2751</v>
      </c>
      <c r="F1766" t="s">
        <v>28</v>
      </c>
      <c r="G1766" s="21">
        <v>1</v>
      </c>
      <c r="H1766" s="21">
        <v>0</v>
      </c>
      <c r="I1766" t="s">
        <v>422</v>
      </c>
      <c r="J1766" s="20" t="s">
        <v>2510</v>
      </c>
      <c r="K1766" t="s">
        <v>2724</v>
      </c>
    </row>
    <row r="1767" spans="2:11" x14ac:dyDescent="0.2">
      <c r="B1767" s="21">
        <f t="shared" si="27"/>
        <v>354</v>
      </c>
      <c r="C1767" t="s">
        <v>241</v>
      </c>
      <c r="D1767" t="s">
        <v>13</v>
      </c>
      <c r="E1767" t="s">
        <v>2751</v>
      </c>
      <c r="F1767" t="s">
        <v>49</v>
      </c>
      <c r="G1767" s="21">
        <v>1</v>
      </c>
      <c r="H1767" s="21">
        <v>0</v>
      </c>
      <c r="I1767" t="s">
        <v>421</v>
      </c>
      <c r="J1767" s="20" t="s">
        <v>2510</v>
      </c>
      <c r="K1767" t="s">
        <v>2510</v>
      </c>
    </row>
    <row r="1768" spans="2:11" x14ac:dyDescent="0.2">
      <c r="B1768" s="21">
        <f t="shared" si="27"/>
        <v>353</v>
      </c>
      <c r="C1768" t="s">
        <v>220</v>
      </c>
      <c r="D1768" t="s">
        <v>13</v>
      </c>
      <c r="E1768" t="s">
        <v>2751</v>
      </c>
      <c r="F1768" t="s">
        <v>34</v>
      </c>
      <c r="G1768" s="21">
        <v>1</v>
      </c>
      <c r="H1768" s="21">
        <v>0</v>
      </c>
      <c r="I1768" t="s">
        <v>419</v>
      </c>
      <c r="J1768" s="20" t="s">
        <v>2511</v>
      </c>
      <c r="K1768" t="s">
        <v>2510</v>
      </c>
    </row>
    <row r="1769" spans="2:11" x14ac:dyDescent="0.2">
      <c r="B1769" s="21">
        <f t="shared" si="27"/>
        <v>352</v>
      </c>
      <c r="C1769" t="s">
        <v>365</v>
      </c>
      <c r="D1769" t="s">
        <v>13</v>
      </c>
      <c r="E1769" t="s">
        <v>2751</v>
      </c>
      <c r="F1769" t="s">
        <v>27</v>
      </c>
      <c r="G1769" s="21">
        <v>1</v>
      </c>
      <c r="H1769" s="21">
        <v>0</v>
      </c>
      <c r="I1769" t="s">
        <v>417</v>
      </c>
      <c r="J1769" s="20" t="s">
        <v>2511</v>
      </c>
      <c r="K1769" t="s">
        <v>2510</v>
      </c>
    </row>
    <row r="1770" spans="2:11" x14ac:dyDescent="0.2">
      <c r="B1770" s="21">
        <f t="shared" si="27"/>
        <v>351</v>
      </c>
      <c r="C1770" t="s">
        <v>32</v>
      </c>
      <c r="D1770" t="s">
        <v>13</v>
      </c>
      <c r="E1770" t="s">
        <v>2751</v>
      </c>
      <c r="F1770" t="s">
        <v>28</v>
      </c>
      <c r="G1770" s="21">
        <v>1</v>
      </c>
      <c r="H1770" s="21">
        <v>0</v>
      </c>
      <c r="I1770" t="s">
        <v>418</v>
      </c>
      <c r="J1770" s="20" t="s">
        <v>2511</v>
      </c>
      <c r="K1770" t="s">
        <v>2510</v>
      </c>
    </row>
    <row r="1771" spans="2:11" x14ac:dyDescent="0.2">
      <c r="B1771" s="21">
        <f t="shared" si="27"/>
        <v>350</v>
      </c>
      <c r="C1771" t="s">
        <v>220</v>
      </c>
      <c r="D1771" t="s">
        <v>13</v>
      </c>
      <c r="E1771" t="s">
        <v>2751</v>
      </c>
      <c r="F1771" t="s">
        <v>34</v>
      </c>
      <c r="G1771" s="21">
        <v>1</v>
      </c>
      <c r="H1771" s="21">
        <v>0</v>
      </c>
      <c r="I1771" t="s">
        <v>416</v>
      </c>
      <c r="J1771" s="20" t="s">
        <v>2512</v>
      </c>
      <c r="K1771" t="s">
        <v>2511</v>
      </c>
    </row>
    <row r="1772" spans="2:11" x14ac:dyDescent="0.2">
      <c r="B1772" s="21">
        <f t="shared" si="27"/>
        <v>349</v>
      </c>
      <c r="C1772" t="s">
        <v>365</v>
      </c>
      <c r="D1772" t="s">
        <v>13</v>
      </c>
      <c r="E1772" t="s">
        <v>2751</v>
      </c>
      <c r="F1772" t="s">
        <v>27</v>
      </c>
      <c r="G1772" s="21">
        <v>1</v>
      </c>
      <c r="H1772" s="21">
        <v>0</v>
      </c>
      <c r="J1772" s="20" t="s">
        <v>2512</v>
      </c>
      <c r="K1772" t="s">
        <v>2511</v>
      </c>
    </row>
    <row r="1773" spans="2:11" x14ac:dyDescent="0.2">
      <c r="B1773" s="21">
        <f t="shared" si="27"/>
        <v>348</v>
      </c>
      <c r="C1773" t="s">
        <v>371</v>
      </c>
      <c r="D1773" t="s">
        <v>13</v>
      </c>
      <c r="E1773" t="s">
        <v>2751</v>
      </c>
      <c r="F1773" t="s">
        <v>64</v>
      </c>
      <c r="G1773" s="21">
        <v>1</v>
      </c>
      <c r="H1773" s="21">
        <v>0</v>
      </c>
      <c r="I1773" t="s">
        <v>414</v>
      </c>
      <c r="J1773" s="20" t="s">
        <v>2512</v>
      </c>
      <c r="K1773" t="s">
        <v>2512</v>
      </c>
    </row>
    <row r="1774" spans="2:11" x14ac:dyDescent="0.2">
      <c r="B1774" s="21">
        <f t="shared" si="27"/>
        <v>347</v>
      </c>
      <c r="C1774" t="s">
        <v>32</v>
      </c>
      <c r="D1774" t="s">
        <v>13</v>
      </c>
      <c r="E1774" t="s">
        <v>2751</v>
      </c>
      <c r="F1774" t="s">
        <v>28</v>
      </c>
      <c r="G1774" s="21">
        <v>1</v>
      </c>
      <c r="H1774" s="21">
        <v>0</v>
      </c>
      <c r="I1774" t="s">
        <v>415</v>
      </c>
      <c r="J1774" s="20" t="s">
        <v>2512</v>
      </c>
      <c r="K1774" t="s">
        <v>2511</v>
      </c>
    </row>
    <row r="1775" spans="2:11" x14ac:dyDescent="0.2">
      <c r="B1775" s="21">
        <f t="shared" si="27"/>
        <v>346</v>
      </c>
      <c r="C1775" t="s">
        <v>220</v>
      </c>
      <c r="D1775" t="s">
        <v>13</v>
      </c>
      <c r="E1775" t="s">
        <v>2751</v>
      </c>
      <c r="F1775" t="s">
        <v>34</v>
      </c>
      <c r="G1775" s="21">
        <v>1</v>
      </c>
      <c r="H1775" s="21">
        <v>0</v>
      </c>
      <c r="J1775" s="20" t="s">
        <v>2513</v>
      </c>
      <c r="K1775" t="s">
        <v>2512</v>
      </c>
    </row>
    <row r="1776" spans="2:11" x14ac:dyDescent="0.2">
      <c r="B1776" s="21">
        <f t="shared" si="27"/>
        <v>345</v>
      </c>
      <c r="C1776" t="s">
        <v>74</v>
      </c>
      <c r="D1776" t="s">
        <v>13</v>
      </c>
      <c r="E1776" t="s">
        <v>2751</v>
      </c>
      <c r="F1776" t="s">
        <v>27</v>
      </c>
      <c r="G1776" s="21">
        <v>1</v>
      </c>
      <c r="H1776" s="21">
        <v>0</v>
      </c>
      <c r="I1776" t="s">
        <v>413</v>
      </c>
      <c r="J1776" s="20" t="s">
        <v>2513</v>
      </c>
      <c r="K1776" t="s">
        <v>2513</v>
      </c>
    </row>
    <row r="1777" spans="2:11" x14ac:dyDescent="0.2">
      <c r="B1777" s="21">
        <f t="shared" si="27"/>
        <v>344</v>
      </c>
      <c r="C1777" t="s">
        <v>365</v>
      </c>
      <c r="D1777" t="s">
        <v>13</v>
      </c>
      <c r="E1777" t="s">
        <v>2751</v>
      </c>
      <c r="F1777" t="s">
        <v>27</v>
      </c>
      <c r="G1777" s="21">
        <v>1</v>
      </c>
      <c r="H1777" s="21">
        <v>0</v>
      </c>
      <c r="I1777" t="s">
        <v>412</v>
      </c>
      <c r="J1777" s="20" t="s">
        <v>2513</v>
      </c>
      <c r="K1777" t="s">
        <v>2512</v>
      </c>
    </row>
    <row r="1778" spans="2:11" x14ac:dyDescent="0.2">
      <c r="B1778" s="21">
        <f t="shared" si="27"/>
        <v>343</v>
      </c>
      <c r="C1778" t="s">
        <v>220</v>
      </c>
      <c r="D1778" t="s">
        <v>13</v>
      </c>
      <c r="E1778" t="s">
        <v>2751</v>
      </c>
      <c r="F1778" t="s">
        <v>34</v>
      </c>
      <c r="G1778" s="21">
        <v>1</v>
      </c>
      <c r="H1778" s="21">
        <v>0</v>
      </c>
      <c r="J1778" s="20" t="s">
        <v>2514</v>
      </c>
      <c r="K1778" t="s">
        <v>2513</v>
      </c>
    </row>
    <row r="1779" spans="2:11" x14ac:dyDescent="0.2">
      <c r="B1779" s="21">
        <f t="shared" si="27"/>
        <v>342</v>
      </c>
      <c r="C1779" t="s">
        <v>74</v>
      </c>
      <c r="D1779" t="s">
        <v>13</v>
      </c>
      <c r="E1779" t="s">
        <v>2751</v>
      </c>
      <c r="F1779" t="s">
        <v>4</v>
      </c>
      <c r="G1779" s="21">
        <v>1</v>
      </c>
      <c r="H1779" s="21">
        <v>0</v>
      </c>
      <c r="I1779" t="s">
        <v>409</v>
      </c>
      <c r="J1779" s="20" t="s">
        <v>2514</v>
      </c>
      <c r="K1779" t="s">
        <v>2514</v>
      </c>
    </row>
    <row r="1780" spans="2:11" x14ac:dyDescent="0.2">
      <c r="B1780" s="21">
        <f t="shared" si="27"/>
        <v>341</v>
      </c>
      <c r="C1780" t="s">
        <v>74</v>
      </c>
      <c r="D1780" t="s">
        <v>13</v>
      </c>
      <c r="E1780" t="s">
        <v>2751</v>
      </c>
      <c r="F1780" t="s">
        <v>27</v>
      </c>
      <c r="G1780" s="21">
        <v>1</v>
      </c>
      <c r="H1780" s="21">
        <v>0</v>
      </c>
      <c r="I1780" t="s">
        <v>410</v>
      </c>
      <c r="J1780" s="20" t="s">
        <v>2514</v>
      </c>
      <c r="K1780" t="s">
        <v>2513</v>
      </c>
    </row>
    <row r="1781" spans="2:11" x14ac:dyDescent="0.2">
      <c r="B1781" s="21">
        <f t="shared" si="27"/>
        <v>340</v>
      </c>
      <c r="C1781" t="s">
        <v>365</v>
      </c>
      <c r="D1781" t="s">
        <v>13</v>
      </c>
      <c r="E1781" t="s">
        <v>2751</v>
      </c>
      <c r="F1781" t="s">
        <v>27</v>
      </c>
      <c r="G1781" s="21">
        <v>1</v>
      </c>
      <c r="H1781" s="21">
        <v>0</v>
      </c>
      <c r="I1781" t="s">
        <v>411</v>
      </c>
      <c r="J1781" s="20" t="s">
        <v>2514</v>
      </c>
      <c r="K1781" t="s">
        <v>2513</v>
      </c>
    </row>
    <row r="1782" spans="2:11" x14ac:dyDescent="0.2">
      <c r="B1782" s="21">
        <f t="shared" si="27"/>
        <v>339</v>
      </c>
      <c r="C1782" t="s">
        <v>220</v>
      </c>
      <c r="D1782" t="s">
        <v>13</v>
      </c>
      <c r="E1782" t="s">
        <v>2751</v>
      </c>
      <c r="F1782" t="s">
        <v>34</v>
      </c>
      <c r="G1782" s="21">
        <v>1</v>
      </c>
      <c r="H1782" s="21">
        <v>0</v>
      </c>
      <c r="J1782" s="20" t="s">
        <v>2515</v>
      </c>
      <c r="K1782" t="s">
        <v>2514</v>
      </c>
    </row>
    <row r="1783" spans="2:11" x14ac:dyDescent="0.2">
      <c r="B1783" s="21">
        <f t="shared" si="27"/>
        <v>338</v>
      </c>
      <c r="C1783" t="s">
        <v>74</v>
      </c>
      <c r="D1783" t="s">
        <v>13</v>
      </c>
      <c r="E1783" t="s">
        <v>2751</v>
      </c>
      <c r="F1783" t="s">
        <v>49</v>
      </c>
      <c r="G1783" s="21">
        <v>1</v>
      </c>
      <c r="H1783" s="21">
        <v>0</v>
      </c>
      <c r="I1783" t="s">
        <v>408</v>
      </c>
      <c r="J1783" s="20" t="s">
        <v>2515</v>
      </c>
      <c r="K1783" t="s">
        <v>2515</v>
      </c>
    </row>
    <row r="1784" spans="2:11" x14ac:dyDescent="0.2">
      <c r="B1784" s="21">
        <f t="shared" si="27"/>
        <v>337</v>
      </c>
      <c r="C1784" t="s">
        <v>365</v>
      </c>
      <c r="D1784" t="s">
        <v>13</v>
      </c>
      <c r="E1784" t="s">
        <v>2751</v>
      </c>
      <c r="F1784" t="s">
        <v>8</v>
      </c>
      <c r="G1784" s="21">
        <v>1</v>
      </c>
      <c r="H1784" s="21">
        <v>0</v>
      </c>
      <c r="I1784" t="s">
        <v>405</v>
      </c>
      <c r="J1784" s="20" t="s">
        <v>2516</v>
      </c>
      <c r="K1784" t="s">
        <v>2516</v>
      </c>
    </row>
    <row r="1785" spans="2:11" x14ac:dyDescent="0.2">
      <c r="B1785" s="21">
        <f t="shared" si="27"/>
        <v>336</v>
      </c>
      <c r="C1785" t="s">
        <v>32</v>
      </c>
      <c r="D1785" t="s">
        <v>13</v>
      </c>
      <c r="E1785" t="s">
        <v>2751</v>
      </c>
      <c r="F1785" t="s">
        <v>49</v>
      </c>
      <c r="G1785" s="21">
        <v>1</v>
      </c>
      <c r="H1785" s="21">
        <v>0</v>
      </c>
      <c r="I1785" t="s">
        <v>407</v>
      </c>
      <c r="J1785" s="20" t="s">
        <v>2516</v>
      </c>
      <c r="K1785" t="s">
        <v>2725</v>
      </c>
    </row>
    <row r="1786" spans="2:11" x14ac:dyDescent="0.2">
      <c r="B1786" s="21">
        <f t="shared" si="27"/>
        <v>335</v>
      </c>
      <c r="C1786" t="s">
        <v>220</v>
      </c>
      <c r="D1786" t="s">
        <v>13</v>
      </c>
      <c r="E1786" t="s">
        <v>2751</v>
      </c>
      <c r="F1786" t="s">
        <v>34</v>
      </c>
      <c r="G1786" s="21">
        <v>1</v>
      </c>
      <c r="H1786" s="21">
        <v>0</v>
      </c>
      <c r="J1786" s="20" t="s">
        <v>2516</v>
      </c>
      <c r="K1786" t="s">
        <v>2725</v>
      </c>
    </row>
    <row r="1787" spans="2:11" x14ac:dyDescent="0.2">
      <c r="B1787" s="21">
        <f t="shared" si="27"/>
        <v>334</v>
      </c>
      <c r="C1787" t="s">
        <v>74</v>
      </c>
      <c r="D1787" t="s">
        <v>13</v>
      </c>
      <c r="E1787" t="s">
        <v>2751</v>
      </c>
      <c r="F1787" t="s">
        <v>27</v>
      </c>
      <c r="G1787" s="21">
        <v>1</v>
      </c>
      <c r="H1787" s="21">
        <v>0</v>
      </c>
      <c r="I1787" t="s">
        <v>404</v>
      </c>
      <c r="J1787" s="20" t="s">
        <v>2516</v>
      </c>
      <c r="K1787" t="s">
        <v>2516</v>
      </c>
    </row>
    <row r="1788" spans="2:11" x14ac:dyDescent="0.2">
      <c r="B1788" s="21">
        <f t="shared" si="27"/>
        <v>333</v>
      </c>
      <c r="C1788" t="s">
        <v>365</v>
      </c>
      <c r="D1788" t="s">
        <v>13</v>
      </c>
      <c r="E1788" t="s">
        <v>2751</v>
      </c>
      <c r="F1788" t="s">
        <v>27</v>
      </c>
      <c r="G1788" s="21">
        <v>1</v>
      </c>
      <c r="H1788" s="21">
        <v>0</v>
      </c>
      <c r="I1788" t="s">
        <v>406</v>
      </c>
      <c r="J1788" s="20" t="s">
        <v>2517</v>
      </c>
      <c r="K1788" t="s">
        <v>2517</v>
      </c>
    </row>
    <row r="1789" spans="2:11" x14ac:dyDescent="0.2">
      <c r="B1789" s="21">
        <f t="shared" si="27"/>
        <v>332</v>
      </c>
      <c r="C1789" t="s">
        <v>32</v>
      </c>
      <c r="D1789" t="s">
        <v>13</v>
      </c>
      <c r="E1789" t="s">
        <v>2751</v>
      </c>
      <c r="F1789" t="s">
        <v>49</v>
      </c>
      <c r="G1789" s="21">
        <v>1</v>
      </c>
      <c r="H1789" s="21">
        <v>0</v>
      </c>
      <c r="J1789" s="20" t="s">
        <v>2517</v>
      </c>
      <c r="K1789" t="s">
        <v>2516</v>
      </c>
    </row>
    <row r="1790" spans="2:11" x14ac:dyDescent="0.2">
      <c r="B1790" s="21">
        <f t="shared" si="27"/>
        <v>331</v>
      </c>
      <c r="C1790" t="s">
        <v>241</v>
      </c>
      <c r="D1790" t="s">
        <v>13</v>
      </c>
      <c r="E1790" t="s">
        <v>2751</v>
      </c>
      <c r="F1790" t="s">
        <v>49</v>
      </c>
      <c r="G1790" s="21">
        <v>1</v>
      </c>
      <c r="H1790" s="21">
        <v>0</v>
      </c>
      <c r="I1790" t="s">
        <v>402</v>
      </c>
      <c r="J1790" s="20" t="s">
        <v>2517</v>
      </c>
      <c r="K1790" t="s">
        <v>2516</v>
      </c>
    </row>
    <row r="1791" spans="2:11" x14ac:dyDescent="0.2">
      <c r="B1791" s="21">
        <f t="shared" si="27"/>
        <v>330</v>
      </c>
      <c r="C1791" t="s">
        <v>371</v>
      </c>
      <c r="D1791" t="s">
        <v>13</v>
      </c>
      <c r="E1791" t="s">
        <v>2751</v>
      </c>
      <c r="F1791" t="s">
        <v>49</v>
      </c>
      <c r="G1791" s="21">
        <v>1</v>
      </c>
      <c r="H1791" s="21">
        <v>0</v>
      </c>
      <c r="I1791" t="s">
        <v>403</v>
      </c>
      <c r="J1791" s="20" t="s">
        <v>2517</v>
      </c>
      <c r="K1791" t="s">
        <v>2517</v>
      </c>
    </row>
    <row r="1792" spans="2:11" x14ac:dyDescent="0.2">
      <c r="B1792" s="21">
        <f t="shared" si="27"/>
        <v>329</v>
      </c>
      <c r="C1792" t="s">
        <v>365</v>
      </c>
      <c r="D1792" t="s">
        <v>13</v>
      </c>
      <c r="E1792" t="s">
        <v>2751</v>
      </c>
      <c r="F1792" t="s">
        <v>27</v>
      </c>
      <c r="G1792" s="21">
        <v>1</v>
      </c>
      <c r="H1792" s="21">
        <v>0</v>
      </c>
      <c r="J1792" s="20" t="s">
        <v>2518</v>
      </c>
      <c r="K1792" t="s">
        <v>2517</v>
      </c>
    </row>
    <row r="1793" spans="2:11" x14ac:dyDescent="0.2">
      <c r="B1793" s="21">
        <f t="shared" si="27"/>
        <v>328</v>
      </c>
      <c r="C1793" t="s">
        <v>220</v>
      </c>
      <c r="D1793" t="s">
        <v>13</v>
      </c>
      <c r="E1793" t="s">
        <v>2751</v>
      </c>
      <c r="F1793" t="s">
        <v>34</v>
      </c>
      <c r="G1793" s="21">
        <v>1</v>
      </c>
      <c r="H1793" s="21">
        <v>0</v>
      </c>
      <c r="I1793" t="s">
        <v>401</v>
      </c>
      <c r="J1793" s="20" t="s">
        <v>2518</v>
      </c>
      <c r="K1793" t="s">
        <v>2518</v>
      </c>
    </row>
    <row r="1794" spans="2:11" x14ac:dyDescent="0.2">
      <c r="B1794" s="21">
        <f t="shared" si="27"/>
        <v>327</v>
      </c>
      <c r="C1794" t="s">
        <v>32</v>
      </c>
      <c r="D1794" t="s">
        <v>13</v>
      </c>
      <c r="E1794" t="s">
        <v>2751</v>
      </c>
      <c r="F1794" t="s">
        <v>69</v>
      </c>
      <c r="G1794" s="21">
        <v>1</v>
      </c>
      <c r="H1794" s="21">
        <v>0</v>
      </c>
      <c r="I1794" t="s">
        <v>399</v>
      </c>
      <c r="J1794" s="20" t="s">
        <v>2518</v>
      </c>
      <c r="K1794" t="s">
        <v>2518</v>
      </c>
    </row>
    <row r="1795" spans="2:11" x14ac:dyDescent="0.2">
      <c r="B1795" s="21">
        <f t="shared" si="27"/>
        <v>326</v>
      </c>
      <c r="C1795" t="s">
        <v>32</v>
      </c>
      <c r="D1795" t="s">
        <v>13</v>
      </c>
      <c r="E1795" t="s">
        <v>2751</v>
      </c>
      <c r="F1795" t="s">
        <v>49</v>
      </c>
      <c r="G1795" s="21">
        <v>1</v>
      </c>
      <c r="H1795" s="21">
        <v>0</v>
      </c>
      <c r="I1795" t="s">
        <v>400</v>
      </c>
      <c r="J1795" s="20" t="s">
        <v>2518</v>
      </c>
      <c r="K1795" t="s">
        <v>2517</v>
      </c>
    </row>
    <row r="1796" spans="2:11" x14ac:dyDescent="0.2">
      <c r="B1796" s="21">
        <f t="shared" si="27"/>
        <v>325</v>
      </c>
      <c r="C1796" t="s">
        <v>365</v>
      </c>
      <c r="D1796" t="s">
        <v>13</v>
      </c>
      <c r="E1796" t="s">
        <v>2751</v>
      </c>
      <c r="F1796" t="s">
        <v>27</v>
      </c>
      <c r="G1796" s="21">
        <v>1</v>
      </c>
      <c r="H1796" s="21">
        <v>0</v>
      </c>
      <c r="J1796" s="20" t="s">
        <v>2519</v>
      </c>
      <c r="K1796" t="s">
        <v>2518</v>
      </c>
    </row>
    <row r="1797" spans="2:11" x14ac:dyDescent="0.2">
      <c r="B1797" s="21">
        <f t="shared" ref="B1797:B1860" si="28">B1796-1</f>
        <v>324</v>
      </c>
      <c r="C1797" t="s">
        <v>220</v>
      </c>
      <c r="D1797" t="s">
        <v>13</v>
      </c>
      <c r="E1797" t="s">
        <v>2751</v>
      </c>
      <c r="F1797" t="s">
        <v>34</v>
      </c>
      <c r="G1797" s="21">
        <v>1</v>
      </c>
      <c r="H1797" s="21">
        <v>0</v>
      </c>
      <c r="I1797" t="s">
        <v>394</v>
      </c>
      <c r="J1797" s="20" t="s">
        <v>2519</v>
      </c>
      <c r="K1797" t="s">
        <v>2518</v>
      </c>
    </row>
    <row r="1798" spans="2:11" x14ac:dyDescent="0.2">
      <c r="B1798" s="21">
        <f t="shared" si="28"/>
        <v>323</v>
      </c>
      <c r="C1798" t="s">
        <v>32</v>
      </c>
      <c r="D1798" t="s">
        <v>13</v>
      </c>
      <c r="E1798" t="s">
        <v>2751</v>
      </c>
      <c r="F1798" t="s">
        <v>49</v>
      </c>
      <c r="G1798" s="21">
        <v>1</v>
      </c>
      <c r="H1798" s="21">
        <v>0</v>
      </c>
      <c r="I1798" t="s">
        <v>397</v>
      </c>
      <c r="J1798" s="20" t="s">
        <v>2519</v>
      </c>
      <c r="K1798" t="s">
        <v>2519</v>
      </c>
    </row>
    <row r="1799" spans="2:11" x14ac:dyDescent="0.2">
      <c r="B1799" s="21">
        <f t="shared" si="28"/>
        <v>322</v>
      </c>
      <c r="C1799" t="s">
        <v>241</v>
      </c>
      <c r="D1799" t="s">
        <v>13</v>
      </c>
      <c r="E1799" t="s">
        <v>2751</v>
      </c>
      <c r="F1799" t="s">
        <v>49</v>
      </c>
      <c r="G1799" s="21">
        <v>1</v>
      </c>
      <c r="H1799" s="21">
        <v>0</v>
      </c>
      <c r="I1799" t="s">
        <v>398</v>
      </c>
      <c r="J1799" s="20" t="s">
        <v>2519</v>
      </c>
      <c r="K1799" t="s">
        <v>2518</v>
      </c>
    </row>
    <row r="1800" spans="2:11" x14ac:dyDescent="0.2">
      <c r="B1800" s="21">
        <f t="shared" si="28"/>
        <v>321</v>
      </c>
      <c r="C1800" t="s">
        <v>365</v>
      </c>
      <c r="D1800" t="s">
        <v>13</v>
      </c>
      <c r="E1800" t="s">
        <v>2751</v>
      </c>
      <c r="F1800" t="s">
        <v>27</v>
      </c>
      <c r="G1800" s="21">
        <v>1</v>
      </c>
      <c r="H1800" s="21">
        <v>0</v>
      </c>
      <c r="J1800" s="20" t="s">
        <v>2520</v>
      </c>
      <c r="K1800" t="s">
        <v>2519</v>
      </c>
    </row>
    <row r="1801" spans="2:11" x14ac:dyDescent="0.2">
      <c r="B1801" s="21">
        <f t="shared" si="28"/>
        <v>320</v>
      </c>
      <c r="C1801" t="s">
        <v>381</v>
      </c>
      <c r="D1801" t="s">
        <v>13</v>
      </c>
      <c r="E1801" t="s">
        <v>2751</v>
      </c>
      <c r="F1801" t="s">
        <v>27</v>
      </c>
      <c r="G1801" s="21">
        <v>1</v>
      </c>
      <c r="H1801" s="21">
        <v>0</v>
      </c>
      <c r="I1801" t="s">
        <v>396</v>
      </c>
      <c r="J1801" s="20" t="s">
        <v>2520</v>
      </c>
      <c r="K1801" t="s">
        <v>2520</v>
      </c>
    </row>
    <row r="1802" spans="2:11" x14ac:dyDescent="0.2">
      <c r="B1802" s="21">
        <f t="shared" si="28"/>
        <v>319</v>
      </c>
      <c r="C1802" t="s">
        <v>220</v>
      </c>
      <c r="D1802" t="s">
        <v>13</v>
      </c>
      <c r="E1802" t="s">
        <v>2751</v>
      </c>
      <c r="F1802" t="s">
        <v>34</v>
      </c>
      <c r="G1802" s="21">
        <v>1</v>
      </c>
      <c r="H1802" s="21">
        <v>0</v>
      </c>
      <c r="I1802" t="s">
        <v>394</v>
      </c>
      <c r="J1802" s="20" t="s">
        <v>2520</v>
      </c>
      <c r="K1802" t="s">
        <v>2519</v>
      </c>
    </row>
    <row r="1803" spans="2:11" x14ac:dyDescent="0.2">
      <c r="B1803" s="21">
        <f t="shared" si="28"/>
        <v>318</v>
      </c>
      <c r="C1803" t="s">
        <v>349</v>
      </c>
      <c r="D1803" t="s">
        <v>13</v>
      </c>
      <c r="E1803" t="s">
        <v>2751</v>
      </c>
      <c r="F1803" t="s">
        <v>8</v>
      </c>
      <c r="G1803" s="21">
        <v>1</v>
      </c>
      <c r="H1803" s="21">
        <v>0</v>
      </c>
      <c r="I1803" t="s">
        <v>390</v>
      </c>
      <c r="J1803" s="20" t="s">
        <v>2520</v>
      </c>
      <c r="K1803" t="s">
        <v>2520</v>
      </c>
    </row>
    <row r="1804" spans="2:11" x14ac:dyDescent="0.2">
      <c r="B1804" s="21">
        <f t="shared" si="28"/>
        <v>317</v>
      </c>
      <c r="C1804" t="s">
        <v>365</v>
      </c>
      <c r="D1804" t="s">
        <v>13</v>
      </c>
      <c r="E1804" t="s">
        <v>2751</v>
      </c>
      <c r="F1804" t="s">
        <v>27</v>
      </c>
      <c r="G1804" s="21">
        <v>1</v>
      </c>
      <c r="H1804" s="21">
        <v>0</v>
      </c>
      <c r="I1804" t="s">
        <v>386</v>
      </c>
      <c r="J1804" s="20" t="s">
        <v>2521</v>
      </c>
      <c r="K1804" t="s">
        <v>2520</v>
      </c>
    </row>
    <row r="1805" spans="2:11" x14ac:dyDescent="0.2">
      <c r="B1805" s="21">
        <f t="shared" si="28"/>
        <v>316</v>
      </c>
      <c r="C1805" t="s">
        <v>381</v>
      </c>
      <c r="D1805" t="s">
        <v>13</v>
      </c>
      <c r="E1805" t="s">
        <v>2751</v>
      </c>
      <c r="F1805" t="s">
        <v>27</v>
      </c>
      <c r="G1805" s="21">
        <v>1</v>
      </c>
      <c r="H1805" s="21">
        <v>0</v>
      </c>
      <c r="I1805" t="s">
        <v>393</v>
      </c>
      <c r="J1805" s="20" t="s">
        <v>2521</v>
      </c>
      <c r="K1805" t="s">
        <v>2520</v>
      </c>
    </row>
    <row r="1806" spans="2:11" x14ac:dyDescent="0.2">
      <c r="B1806" s="21">
        <f t="shared" si="28"/>
        <v>315</v>
      </c>
      <c r="C1806" t="s">
        <v>220</v>
      </c>
      <c r="D1806" t="s">
        <v>13</v>
      </c>
      <c r="E1806" t="s">
        <v>2751</v>
      </c>
      <c r="F1806" t="s">
        <v>34</v>
      </c>
      <c r="G1806" s="21">
        <v>1</v>
      </c>
      <c r="H1806" s="21">
        <v>0</v>
      </c>
      <c r="I1806" t="s">
        <v>389</v>
      </c>
      <c r="J1806" s="20" t="s">
        <v>2521</v>
      </c>
      <c r="K1806" t="s">
        <v>2520</v>
      </c>
    </row>
    <row r="1807" spans="2:11" x14ac:dyDescent="0.2">
      <c r="B1807" s="21">
        <f t="shared" si="28"/>
        <v>314</v>
      </c>
      <c r="C1807" t="s">
        <v>349</v>
      </c>
      <c r="D1807" t="s">
        <v>13</v>
      </c>
      <c r="E1807" t="s">
        <v>2751</v>
      </c>
      <c r="F1807" t="s">
        <v>49</v>
      </c>
      <c r="G1807" s="21">
        <v>1</v>
      </c>
      <c r="H1807" s="21">
        <v>0</v>
      </c>
      <c r="I1807" t="s">
        <v>387</v>
      </c>
      <c r="J1807" s="20" t="s">
        <v>2521</v>
      </c>
      <c r="K1807" t="s">
        <v>2521</v>
      </c>
    </row>
    <row r="1808" spans="2:11" x14ac:dyDescent="0.2">
      <c r="B1808" s="21">
        <f t="shared" si="28"/>
        <v>313</v>
      </c>
      <c r="C1808" t="s">
        <v>321</v>
      </c>
      <c r="D1808" t="s">
        <v>14</v>
      </c>
      <c r="E1808" t="s">
        <v>2751</v>
      </c>
      <c r="F1808" t="s">
        <v>8</v>
      </c>
      <c r="G1808" s="21">
        <v>1</v>
      </c>
      <c r="H1808" s="21">
        <v>0</v>
      </c>
      <c r="I1808" t="s">
        <v>388</v>
      </c>
      <c r="J1808" s="20" t="s">
        <v>2521</v>
      </c>
      <c r="K1808" t="s">
        <v>2521</v>
      </c>
    </row>
    <row r="1809" spans="2:11" x14ac:dyDescent="0.2">
      <c r="B1809" s="21">
        <f t="shared" si="28"/>
        <v>312</v>
      </c>
      <c r="C1809" t="s">
        <v>365</v>
      </c>
      <c r="D1809" t="s">
        <v>13</v>
      </c>
      <c r="E1809" t="s">
        <v>2751</v>
      </c>
      <c r="F1809" t="s">
        <v>27</v>
      </c>
      <c r="G1809" s="21">
        <v>1</v>
      </c>
      <c r="H1809" s="21">
        <v>0</v>
      </c>
      <c r="J1809" s="20" t="s">
        <v>2522</v>
      </c>
      <c r="K1809" t="s">
        <v>2726</v>
      </c>
    </row>
    <row r="1810" spans="2:11" x14ac:dyDescent="0.2">
      <c r="B1810" s="21">
        <f t="shared" si="28"/>
        <v>311</v>
      </c>
      <c r="C1810" t="s">
        <v>381</v>
      </c>
      <c r="D1810" t="s">
        <v>13</v>
      </c>
      <c r="E1810" t="s">
        <v>2751</v>
      </c>
      <c r="F1810" t="s">
        <v>4</v>
      </c>
      <c r="G1810" s="21">
        <v>1</v>
      </c>
      <c r="H1810" s="21">
        <v>0</v>
      </c>
      <c r="I1810" t="s">
        <v>385</v>
      </c>
      <c r="J1810" s="20" t="s">
        <v>2522</v>
      </c>
      <c r="K1810" t="s">
        <v>2522</v>
      </c>
    </row>
    <row r="1811" spans="2:11" x14ac:dyDescent="0.2">
      <c r="B1811" s="21">
        <f t="shared" si="28"/>
        <v>310</v>
      </c>
      <c r="C1811" t="s">
        <v>381</v>
      </c>
      <c r="D1811" t="s">
        <v>13</v>
      </c>
      <c r="E1811" t="s">
        <v>2751</v>
      </c>
      <c r="F1811" t="s">
        <v>27</v>
      </c>
      <c r="G1811" s="21">
        <v>1</v>
      </c>
      <c r="H1811" s="21">
        <v>0</v>
      </c>
      <c r="I1811" t="s">
        <v>392</v>
      </c>
      <c r="J1811" s="20" t="s">
        <v>2522</v>
      </c>
      <c r="K1811" t="s">
        <v>2726</v>
      </c>
    </row>
    <row r="1812" spans="2:11" x14ac:dyDescent="0.2">
      <c r="B1812" s="21">
        <f t="shared" si="28"/>
        <v>309</v>
      </c>
      <c r="C1812" t="s">
        <v>277</v>
      </c>
      <c r="D1812" t="s">
        <v>13</v>
      </c>
      <c r="E1812" t="s">
        <v>2751</v>
      </c>
      <c r="F1812" t="s">
        <v>8</v>
      </c>
      <c r="G1812" s="21">
        <v>1</v>
      </c>
      <c r="H1812" s="21">
        <v>0</v>
      </c>
      <c r="I1812" t="s">
        <v>384</v>
      </c>
      <c r="J1812" s="20" t="s">
        <v>2522</v>
      </c>
      <c r="K1812" t="s">
        <v>2522</v>
      </c>
    </row>
    <row r="1813" spans="2:11" x14ac:dyDescent="0.2">
      <c r="B1813" s="21">
        <f t="shared" si="28"/>
        <v>308</v>
      </c>
      <c r="C1813" t="s">
        <v>241</v>
      </c>
      <c r="D1813" t="s">
        <v>13</v>
      </c>
      <c r="E1813" t="s">
        <v>2751</v>
      </c>
      <c r="F1813" t="s">
        <v>27</v>
      </c>
      <c r="G1813" s="21">
        <v>1</v>
      </c>
      <c r="H1813" s="21">
        <v>0</v>
      </c>
      <c r="I1813" t="s">
        <v>391</v>
      </c>
      <c r="J1813" s="20" t="s">
        <v>2522</v>
      </c>
      <c r="K1813" t="s">
        <v>2522</v>
      </c>
    </row>
    <row r="1814" spans="2:11" x14ac:dyDescent="0.2">
      <c r="B1814" s="21">
        <f t="shared" si="28"/>
        <v>307</v>
      </c>
      <c r="C1814" t="s">
        <v>220</v>
      </c>
      <c r="D1814" t="s">
        <v>13</v>
      </c>
      <c r="E1814" t="s">
        <v>2751</v>
      </c>
      <c r="F1814" t="s">
        <v>34</v>
      </c>
      <c r="G1814" s="21">
        <v>1</v>
      </c>
      <c r="H1814" s="21">
        <v>0</v>
      </c>
      <c r="J1814" s="20" t="s">
        <v>2522</v>
      </c>
      <c r="K1814" t="s">
        <v>2726</v>
      </c>
    </row>
    <row r="1815" spans="2:11" x14ac:dyDescent="0.2">
      <c r="B1815" s="21">
        <f t="shared" si="28"/>
        <v>306</v>
      </c>
      <c r="C1815" t="s">
        <v>352</v>
      </c>
      <c r="D1815" t="s">
        <v>13</v>
      </c>
      <c r="E1815" t="s">
        <v>2751</v>
      </c>
      <c r="F1815" t="s">
        <v>27</v>
      </c>
      <c r="G1815" s="21">
        <v>1</v>
      </c>
      <c r="H1815" s="21">
        <v>0</v>
      </c>
      <c r="I1815" t="s">
        <v>379</v>
      </c>
      <c r="J1815" s="20" t="s">
        <v>2523</v>
      </c>
      <c r="K1815" t="s">
        <v>2523</v>
      </c>
    </row>
    <row r="1816" spans="2:11" x14ac:dyDescent="0.2">
      <c r="B1816" s="21">
        <f t="shared" si="28"/>
        <v>305</v>
      </c>
      <c r="C1816" t="s">
        <v>365</v>
      </c>
      <c r="D1816" t="s">
        <v>13</v>
      </c>
      <c r="E1816" t="s">
        <v>2751</v>
      </c>
      <c r="F1816" t="s">
        <v>27</v>
      </c>
      <c r="G1816" s="21">
        <v>1</v>
      </c>
      <c r="H1816" s="21">
        <v>0</v>
      </c>
      <c r="J1816" s="20" t="s">
        <v>2523</v>
      </c>
      <c r="K1816" t="s">
        <v>2522</v>
      </c>
    </row>
    <row r="1817" spans="2:11" x14ac:dyDescent="0.2">
      <c r="B1817" s="21">
        <f t="shared" si="28"/>
        <v>304</v>
      </c>
      <c r="C1817" t="s">
        <v>321</v>
      </c>
      <c r="D1817" t="s">
        <v>14</v>
      </c>
      <c r="E1817" t="s">
        <v>2751</v>
      </c>
      <c r="F1817" t="s">
        <v>27</v>
      </c>
      <c r="G1817" s="21">
        <v>1</v>
      </c>
      <c r="H1817" s="21">
        <v>0</v>
      </c>
      <c r="I1817" t="s">
        <v>383</v>
      </c>
      <c r="J1817" s="20" t="s">
        <v>2523</v>
      </c>
      <c r="K1817" t="s">
        <v>2523</v>
      </c>
    </row>
    <row r="1818" spans="2:11" x14ac:dyDescent="0.2">
      <c r="B1818" s="21">
        <f t="shared" si="28"/>
        <v>303</v>
      </c>
      <c r="C1818" t="s">
        <v>381</v>
      </c>
      <c r="D1818" t="s">
        <v>13</v>
      </c>
      <c r="E1818" t="s">
        <v>2751</v>
      </c>
      <c r="F1818" t="s">
        <v>27</v>
      </c>
      <c r="G1818" s="21">
        <v>1</v>
      </c>
      <c r="H1818" s="21">
        <v>0</v>
      </c>
      <c r="I1818" t="s">
        <v>382</v>
      </c>
      <c r="J1818" s="20" t="s">
        <v>2523</v>
      </c>
      <c r="K1818" t="s">
        <v>2522</v>
      </c>
    </row>
    <row r="1819" spans="2:11" x14ac:dyDescent="0.2">
      <c r="B1819" s="21">
        <f t="shared" si="28"/>
        <v>302</v>
      </c>
      <c r="C1819" t="s">
        <v>352</v>
      </c>
      <c r="D1819" t="s">
        <v>13</v>
      </c>
      <c r="E1819" t="s">
        <v>2751</v>
      </c>
      <c r="F1819" t="s">
        <v>49</v>
      </c>
      <c r="G1819" s="21">
        <v>1</v>
      </c>
      <c r="H1819" s="21">
        <v>0</v>
      </c>
      <c r="I1819" t="s">
        <v>372</v>
      </c>
      <c r="J1819" s="20" t="s">
        <v>2524</v>
      </c>
      <c r="K1819" t="s">
        <v>2523</v>
      </c>
    </row>
    <row r="1820" spans="2:11" x14ac:dyDescent="0.2">
      <c r="B1820" s="21">
        <f t="shared" si="28"/>
        <v>301</v>
      </c>
      <c r="C1820" t="s">
        <v>365</v>
      </c>
      <c r="D1820" t="s">
        <v>13</v>
      </c>
      <c r="E1820" t="s">
        <v>2751</v>
      </c>
      <c r="F1820" t="s">
        <v>27</v>
      </c>
      <c r="G1820" s="21">
        <v>1</v>
      </c>
      <c r="H1820" s="21">
        <v>0</v>
      </c>
      <c r="J1820" s="20" t="s">
        <v>2524</v>
      </c>
      <c r="K1820" t="s">
        <v>2523</v>
      </c>
    </row>
    <row r="1821" spans="2:11" x14ac:dyDescent="0.2">
      <c r="B1821" s="21">
        <f t="shared" si="28"/>
        <v>300</v>
      </c>
      <c r="C1821" t="s">
        <v>277</v>
      </c>
      <c r="D1821" t="s">
        <v>13</v>
      </c>
      <c r="E1821" t="s">
        <v>2751</v>
      </c>
      <c r="F1821" t="s">
        <v>27</v>
      </c>
      <c r="G1821" s="21">
        <v>1</v>
      </c>
      <c r="H1821" s="21">
        <v>0</v>
      </c>
      <c r="I1821" t="s">
        <v>380</v>
      </c>
      <c r="J1821" s="20" t="s">
        <v>2524</v>
      </c>
      <c r="K1821" t="s">
        <v>2524</v>
      </c>
    </row>
    <row r="1822" spans="2:11" x14ac:dyDescent="0.2">
      <c r="B1822" s="21">
        <f t="shared" si="28"/>
        <v>299</v>
      </c>
      <c r="C1822" t="s">
        <v>321</v>
      </c>
      <c r="D1822" t="s">
        <v>14</v>
      </c>
      <c r="E1822" t="s">
        <v>2751</v>
      </c>
      <c r="F1822" t="s">
        <v>21</v>
      </c>
      <c r="G1822" s="21">
        <v>1</v>
      </c>
      <c r="H1822" s="21">
        <v>0</v>
      </c>
      <c r="I1822" t="s">
        <v>378</v>
      </c>
      <c r="J1822" s="20" t="s">
        <v>2524</v>
      </c>
      <c r="K1822" t="s">
        <v>2524</v>
      </c>
    </row>
    <row r="1823" spans="2:11" x14ac:dyDescent="0.2">
      <c r="B1823" s="21">
        <f t="shared" si="28"/>
        <v>298</v>
      </c>
      <c r="C1823" t="s">
        <v>321</v>
      </c>
      <c r="D1823" t="s">
        <v>14</v>
      </c>
      <c r="E1823" t="s">
        <v>2751</v>
      </c>
      <c r="F1823" t="s">
        <v>43</v>
      </c>
      <c r="G1823" s="21">
        <v>1</v>
      </c>
      <c r="H1823" s="21">
        <v>0</v>
      </c>
      <c r="J1823" s="20" t="s">
        <v>2524</v>
      </c>
      <c r="K1823" t="s">
        <v>2523</v>
      </c>
    </row>
    <row r="1824" spans="2:11" x14ac:dyDescent="0.2">
      <c r="B1824" s="21">
        <f t="shared" si="28"/>
        <v>297</v>
      </c>
      <c r="C1824" t="s">
        <v>352</v>
      </c>
      <c r="D1824" t="s">
        <v>13</v>
      </c>
      <c r="E1824" t="s">
        <v>2751</v>
      </c>
      <c r="F1824" t="s">
        <v>27</v>
      </c>
      <c r="G1824" s="21">
        <v>1</v>
      </c>
      <c r="H1824" s="21">
        <v>0</v>
      </c>
      <c r="I1824" t="s">
        <v>372</v>
      </c>
      <c r="J1824" s="20" t="s">
        <v>2525</v>
      </c>
      <c r="K1824" t="s">
        <v>2525</v>
      </c>
    </row>
    <row r="1825" spans="2:11" x14ac:dyDescent="0.2">
      <c r="B1825" s="21">
        <f t="shared" si="28"/>
        <v>296</v>
      </c>
      <c r="C1825" t="s">
        <v>358</v>
      </c>
      <c r="D1825" t="s">
        <v>13</v>
      </c>
      <c r="E1825" t="s">
        <v>2751</v>
      </c>
      <c r="F1825" t="s">
        <v>49</v>
      </c>
      <c r="G1825" s="21">
        <v>1</v>
      </c>
      <c r="H1825" s="21">
        <v>0</v>
      </c>
      <c r="I1825" t="s">
        <v>369</v>
      </c>
      <c r="J1825" s="20" t="s">
        <v>2525</v>
      </c>
      <c r="K1825" t="s">
        <v>2525</v>
      </c>
    </row>
    <row r="1826" spans="2:11" x14ac:dyDescent="0.2">
      <c r="B1826" s="21">
        <f t="shared" si="28"/>
        <v>295</v>
      </c>
      <c r="C1826" t="s">
        <v>365</v>
      </c>
      <c r="D1826" t="s">
        <v>13</v>
      </c>
      <c r="E1826" t="s">
        <v>2751</v>
      </c>
      <c r="F1826" t="s">
        <v>27</v>
      </c>
      <c r="G1826" s="21">
        <v>1</v>
      </c>
      <c r="H1826" s="21">
        <v>0</v>
      </c>
      <c r="I1826" t="s">
        <v>375</v>
      </c>
      <c r="J1826" s="20" t="s">
        <v>2525</v>
      </c>
      <c r="K1826" t="s">
        <v>2524</v>
      </c>
    </row>
    <row r="1827" spans="2:11" x14ac:dyDescent="0.2">
      <c r="B1827" s="21">
        <f t="shared" si="28"/>
        <v>294</v>
      </c>
      <c r="C1827" t="s">
        <v>277</v>
      </c>
      <c r="D1827" t="s">
        <v>13</v>
      </c>
      <c r="E1827" t="s">
        <v>2751</v>
      </c>
      <c r="F1827" t="s">
        <v>8</v>
      </c>
      <c r="G1827" s="21">
        <v>1</v>
      </c>
      <c r="H1827" s="21">
        <v>0</v>
      </c>
      <c r="I1827" t="s">
        <v>376</v>
      </c>
      <c r="J1827" s="20" t="s">
        <v>2525</v>
      </c>
      <c r="K1827" t="s">
        <v>2524</v>
      </c>
    </row>
    <row r="1828" spans="2:11" x14ac:dyDescent="0.2">
      <c r="B1828" s="21">
        <f t="shared" si="28"/>
        <v>293</v>
      </c>
      <c r="C1828" t="s">
        <v>371</v>
      </c>
      <c r="D1828" t="s">
        <v>13</v>
      </c>
      <c r="E1828" t="s">
        <v>2751</v>
      </c>
      <c r="F1828" t="s">
        <v>27</v>
      </c>
      <c r="G1828" s="21">
        <v>1</v>
      </c>
      <c r="H1828" s="21">
        <v>0</v>
      </c>
      <c r="I1828" t="s">
        <v>373</v>
      </c>
      <c r="J1828" s="20" t="s">
        <v>2525</v>
      </c>
      <c r="K1828" t="s">
        <v>2525</v>
      </c>
    </row>
    <row r="1829" spans="2:11" x14ac:dyDescent="0.2">
      <c r="B1829" s="21">
        <f t="shared" si="28"/>
        <v>292</v>
      </c>
      <c r="C1829" t="s">
        <v>151</v>
      </c>
      <c r="D1829" t="s">
        <v>13</v>
      </c>
      <c r="E1829" t="s">
        <v>2751</v>
      </c>
      <c r="F1829" t="s">
        <v>8</v>
      </c>
      <c r="G1829" s="21">
        <v>1</v>
      </c>
      <c r="H1829" s="21">
        <v>0</v>
      </c>
      <c r="I1829" t="s">
        <v>374</v>
      </c>
      <c r="J1829" s="20" t="s">
        <v>2525</v>
      </c>
      <c r="K1829" t="s">
        <v>2525</v>
      </c>
    </row>
    <row r="1830" spans="2:11" x14ac:dyDescent="0.2">
      <c r="B1830" s="21">
        <f t="shared" si="28"/>
        <v>291</v>
      </c>
      <c r="C1830" t="s">
        <v>321</v>
      </c>
      <c r="D1830" t="s">
        <v>14</v>
      </c>
      <c r="E1830" t="s">
        <v>2751</v>
      </c>
      <c r="F1830" t="s">
        <v>43</v>
      </c>
      <c r="G1830" s="21">
        <v>1</v>
      </c>
      <c r="H1830" s="21">
        <v>0</v>
      </c>
      <c r="J1830" s="20" t="s">
        <v>2525</v>
      </c>
      <c r="K1830" t="s">
        <v>2524</v>
      </c>
    </row>
    <row r="1831" spans="2:11" x14ac:dyDescent="0.2">
      <c r="B1831" s="21">
        <f t="shared" si="28"/>
        <v>290</v>
      </c>
      <c r="C1831" t="s">
        <v>63</v>
      </c>
      <c r="D1831" t="s">
        <v>13</v>
      </c>
      <c r="E1831" t="s">
        <v>2751</v>
      </c>
      <c r="F1831" t="s">
        <v>8</v>
      </c>
      <c r="G1831" s="21">
        <v>1</v>
      </c>
      <c r="H1831" s="21">
        <v>0</v>
      </c>
      <c r="I1831" t="s">
        <v>377</v>
      </c>
      <c r="J1831" s="20" t="s">
        <v>2525</v>
      </c>
      <c r="K1831" t="s">
        <v>2525</v>
      </c>
    </row>
    <row r="1832" spans="2:11" x14ac:dyDescent="0.2">
      <c r="B1832" s="21">
        <f t="shared" si="28"/>
        <v>289</v>
      </c>
      <c r="C1832" t="s">
        <v>352</v>
      </c>
      <c r="D1832" t="s">
        <v>13</v>
      </c>
      <c r="E1832" t="s">
        <v>2751</v>
      </c>
      <c r="F1832" t="s">
        <v>27</v>
      </c>
      <c r="G1832" s="21">
        <v>1</v>
      </c>
      <c r="H1832" s="21">
        <v>0</v>
      </c>
      <c r="J1832" s="20" t="s">
        <v>2526</v>
      </c>
      <c r="K1832" t="s">
        <v>2525</v>
      </c>
    </row>
    <row r="1833" spans="2:11" x14ac:dyDescent="0.2">
      <c r="B1833" s="21">
        <f t="shared" si="28"/>
        <v>288</v>
      </c>
      <c r="C1833" t="s">
        <v>358</v>
      </c>
      <c r="D1833" t="s">
        <v>13</v>
      </c>
      <c r="E1833" t="s">
        <v>2751</v>
      </c>
      <c r="F1833" t="s">
        <v>27</v>
      </c>
      <c r="G1833" s="21">
        <v>1</v>
      </c>
      <c r="H1833" s="21">
        <v>0</v>
      </c>
      <c r="J1833" s="20" t="s">
        <v>2526</v>
      </c>
      <c r="K1833" t="s">
        <v>2525</v>
      </c>
    </row>
    <row r="1834" spans="2:11" x14ac:dyDescent="0.2">
      <c r="B1834" s="21">
        <f t="shared" si="28"/>
        <v>287</v>
      </c>
      <c r="C1834" t="s">
        <v>365</v>
      </c>
      <c r="D1834" t="s">
        <v>13</v>
      </c>
      <c r="E1834" t="s">
        <v>2751</v>
      </c>
      <c r="F1834" t="s">
        <v>27</v>
      </c>
      <c r="G1834" s="21">
        <v>1</v>
      </c>
      <c r="H1834" s="21">
        <v>0</v>
      </c>
      <c r="I1834" t="s">
        <v>367</v>
      </c>
      <c r="J1834" s="20" t="s">
        <v>2526</v>
      </c>
      <c r="K1834" t="s">
        <v>2525</v>
      </c>
    </row>
    <row r="1835" spans="2:11" x14ac:dyDescent="0.2">
      <c r="B1835" s="21">
        <f t="shared" si="28"/>
        <v>286</v>
      </c>
      <c r="C1835" t="s">
        <v>277</v>
      </c>
      <c r="D1835" t="s">
        <v>13</v>
      </c>
      <c r="E1835" t="s">
        <v>2751</v>
      </c>
      <c r="F1835" t="s">
        <v>21</v>
      </c>
      <c r="G1835" s="21">
        <v>1</v>
      </c>
      <c r="H1835" s="21">
        <v>0</v>
      </c>
      <c r="I1835" t="s">
        <v>370</v>
      </c>
      <c r="J1835" s="20" t="s">
        <v>2526</v>
      </c>
      <c r="K1835" t="s">
        <v>2526</v>
      </c>
    </row>
    <row r="1836" spans="2:11" x14ac:dyDescent="0.2">
      <c r="B1836" s="21">
        <f t="shared" si="28"/>
        <v>285</v>
      </c>
      <c r="C1836" t="s">
        <v>277</v>
      </c>
      <c r="D1836" t="s">
        <v>13</v>
      </c>
      <c r="E1836" t="s">
        <v>2751</v>
      </c>
      <c r="F1836" t="s">
        <v>8</v>
      </c>
      <c r="G1836" s="21">
        <v>1</v>
      </c>
      <c r="H1836" s="21">
        <v>0</v>
      </c>
      <c r="J1836" s="20" t="s">
        <v>2526</v>
      </c>
      <c r="K1836" t="s">
        <v>2525</v>
      </c>
    </row>
    <row r="1837" spans="2:11" x14ac:dyDescent="0.2">
      <c r="B1837" s="21">
        <f t="shared" si="28"/>
        <v>284</v>
      </c>
      <c r="C1837" t="s">
        <v>241</v>
      </c>
      <c r="D1837" t="s">
        <v>13</v>
      </c>
      <c r="E1837" t="s">
        <v>2751</v>
      </c>
      <c r="F1837" t="s">
        <v>8</v>
      </c>
      <c r="G1837" s="21">
        <v>1</v>
      </c>
      <c r="H1837" s="21">
        <v>0</v>
      </c>
      <c r="I1837" t="s">
        <v>368</v>
      </c>
      <c r="J1837" s="20" t="s">
        <v>2526</v>
      </c>
      <c r="K1837" t="s">
        <v>2526</v>
      </c>
    </row>
    <row r="1838" spans="2:11" x14ac:dyDescent="0.2">
      <c r="B1838" s="21">
        <f t="shared" si="28"/>
        <v>283</v>
      </c>
      <c r="C1838" t="s">
        <v>349</v>
      </c>
      <c r="D1838" t="s">
        <v>13</v>
      </c>
      <c r="E1838" t="s">
        <v>2751</v>
      </c>
      <c r="F1838" t="s">
        <v>27</v>
      </c>
      <c r="G1838" s="21">
        <v>1</v>
      </c>
      <c r="H1838" s="21">
        <v>0</v>
      </c>
      <c r="I1838" t="s">
        <v>364</v>
      </c>
      <c r="J1838" s="20" t="s">
        <v>2527</v>
      </c>
      <c r="K1838" t="s">
        <v>2527</v>
      </c>
    </row>
    <row r="1839" spans="2:11" x14ac:dyDescent="0.2">
      <c r="B1839" s="21">
        <f t="shared" si="28"/>
        <v>282</v>
      </c>
      <c r="C1839" t="s">
        <v>352</v>
      </c>
      <c r="D1839" t="s">
        <v>13</v>
      </c>
      <c r="E1839" t="s">
        <v>2751</v>
      </c>
      <c r="F1839" t="s">
        <v>27</v>
      </c>
      <c r="G1839" s="21">
        <v>1</v>
      </c>
      <c r="H1839" s="21">
        <v>0</v>
      </c>
      <c r="J1839" s="20" t="s">
        <v>2527</v>
      </c>
      <c r="K1839" t="s">
        <v>2727</v>
      </c>
    </row>
    <row r="1840" spans="2:11" x14ac:dyDescent="0.2">
      <c r="B1840" s="21">
        <f t="shared" si="28"/>
        <v>281</v>
      </c>
      <c r="C1840" t="s">
        <v>358</v>
      </c>
      <c r="D1840" t="s">
        <v>13</v>
      </c>
      <c r="E1840" t="s">
        <v>2751</v>
      </c>
      <c r="F1840" t="s">
        <v>27</v>
      </c>
      <c r="G1840" s="21">
        <v>1</v>
      </c>
      <c r="H1840" s="21">
        <v>0</v>
      </c>
      <c r="J1840" s="20" t="s">
        <v>2527</v>
      </c>
      <c r="K1840" t="s">
        <v>2727</v>
      </c>
    </row>
    <row r="1841" spans="2:11" x14ac:dyDescent="0.2">
      <c r="B1841" s="21">
        <f t="shared" si="28"/>
        <v>280</v>
      </c>
      <c r="C1841" t="s">
        <v>365</v>
      </c>
      <c r="D1841" t="s">
        <v>13</v>
      </c>
      <c r="E1841" t="s">
        <v>2751</v>
      </c>
      <c r="F1841" t="s">
        <v>4</v>
      </c>
      <c r="G1841" s="21">
        <v>1</v>
      </c>
      <c r="H1841" s="21">
        <v>0</v>
      </c>
      <c r="I1841" t="s">
        <v>366</v>
      </c>
      <c r="J1841" s="20" t="s">
        <v>2527</v>
      </c>
      <c r="K1841" t="s">
        <v>2527</v>
      </c>
    </row>
    <row r="1842" spans="2:11" x14ac:dyDescent="0.2">
      <c r="B1842" s="21">
        <f t="shared" si="28"/>
        <v>279</v>
      </c>
      <c r="C1842" t="s">
        <v>365</v>
      </c>
      <c r="D1842" t="s">
        <v>13</v>
      </c>
      <c r="E1842" t="s">
        <v>2751</v>
      </c>
      <c r="F1842" t="s">
        <v>27</v>
      </c>
      <c r="G1842" s="21">
        <v>1</v>
      </c>
      <c r="H1842" s="21">
        <v>0</v>
      </c>
      <c r="J1842" s="20" t="s">
        <v>2527</v>
      </c>
      <c r="K1842" t="s">
        <v>2727</v>
      </c>
    </row>
    <row r="1843" spans="2:11" x14ac:dyDescent="0.2">
      <c r="B1843" s="21">
        <f t="shared" si="28"/>
        <v>278</v>
      </c>
      <c r="C1843" t="s">
        <v>349</v>
      </c>
      <c r="D1843" t="s">
        <v>13</v>
      </c>
      <c r="E1843" t="s">
        <v>2751</v>
      </c>
      <c r="F1843" t="s">
        <v>27</v>
      </c>
      <c r="G1843" s="21">
        <v>1</v>
      </c>
      <c r="H1843" s="21">
        <v>0</v>
      </c>
      <c r="J1843" s="20" t="s">
        <v>2528</v>
      </c>
      <c r="K1843" t="s">
        <v>2527</v>
      </c>
    </row>
    <row r="1844" spans="2:11" x14ac:dyDescent="0.2">
      <c r="B1844" s="21">
        <f t="shared" si="28"/>
        <v>277</v>
      </c>
      <c r="C1844" t="s">
        <v>352</v>
      </c>
      <c r="D1844" t="s">
        <v>13</v>
      </c>
      <c r="E1844" t="s">
        <v>2751</v>
      </c>
      <c r="F1844" t="s">
        <v>4</v>
      </c>
      <c r="G1844" s="21">
        <v>1</v>
      </c>
      <c r="H1844" s="21">
        <v>0</v>
      </c>
      <c r="I1844" t="s">
        <v>363</v>
      </c>
      <c r="J1844" s="20" t="s">
        <v>2528</v>
      </c>
      <c r="K1844" t="s">
        <v>2528</v>
      </c>
    </row>
    <row r="1845" spans="2:11" x14ac:dyDescent="0.2">
      <c r="B1845" s="21">
        <f t="shared" si="28"/>
        <v>276</v>
      </c>
      <c r="C1845" t="s">
        <v>352</v>
      </c>
      <c r="D1845" t="s">
        <v>13</v>
      </c>
      <c r="E1845" t="s">
        <v>2751</v>
      </c>
      <c r="F1845" t="s">
        <v>27</v>
      </c>
      <c r="G1845" s="21">
        <v>1</v>
      </c>
      <c r="H1845" s="21">
        <v>0</v>
      </c>
      <c r="J1845" s="20" t="s">
        <v>2528</v>
      </c>
      <c r="K1845" t="s">
        <v>2527</v>
      </c>
    </row>
    <row r="1846" spans="2:11" x14ac:dyDescent="0.2">
      <c r="B1846" s="21">
        <f t="shared" si="28"/>
        <v>275</v>
      </c>
      <c r="C1846" t="s">
        <v>358</v>
      </c>
      <c r="D1846" t="s">
        <v>13</v>
      </c>
      <c r="E1846" t="s">
        <v>2751</v>
      </c>
      <c r="F1846" t="s">
        <v>27</v>
      </c>
      <c r="G1846" s="21">
        <v>1</v>
      </c>
      <c r="H1846" s="21">
        <v>0</v>
      </c>
      <c r="J1846" s="20" t="s">
        <v>2528</v>
      </c>
      <c r="K1846" t="s">
        <v>2527</v>
      </c>
    </row>
    <row r="1847" spans="2:11" x14ac:dyDescent="0.2">
      <c r="B1847" s="21">
        <f t="shared" si="28"/>
        <v>274</v>
      </c>
      <c r="C1847" t="s">
        <v>349</v>
      </c>
      <c r="D1847" t="s">
        <v>13</v>
      </c>
      <c r="E1847" t="s">
        <v>2751</v>
      </c>
      <c r="F1847" t="s">
        <v>27</v>
      </c>
      <c r="G1847" s="21">
        <v>1</v>
      </c>
      <c r="H1847" s="21">
        <v>0</v>
      </c>
      <c r="J1847" s="20" t="s">
        <v>2529</v>
      </c>
      <c r="K1847" t="s">
        <v>2528</v>
      </c>
    </row>
    <row r="1848" spans="2:11" x14ac:dyDescent="0.2">
      <c r="B1848" s="21">
        <f t="shared" si="28"/>
        <v>273</v>
      </c>
      <c r="C1848" t="s">
        <v>352</v>
      </c>
      <c r="D1848" t="s">
        <v>13</v>
      </c>
      <c r="E1848" t="s">
        <v>2751</v>
      </c>
      <c r="F1848" t="s">
        <v>27</v>
      </c>
      <c r="G1848" s="21">
        <v>1</v>
      </c>
      <c r="H1848" s="21">
        <v>0</v>
      </c>
      <c r="I1848" t="s">
        <v>355</v>
      </c>
      <c r="J1848" s="20" t="s">
        <v>2529</v>
      </c>
      <c r="K1848" t="s">
        <v>2528</v>
      </c>
    </row>
    <row r="1849" spans="2:11" x14ac:dyDescent="0.2">
      <c r="B1849" s="21">
        <f t="shared" si="28"/>
        <v>272</v>
      </c>
      <c r="C1849" t="s">
        <v>358</v>
      </c>
      <c r="D1849" t="s">
        <v>13</v>
      </c>
      <c r="E1849" t="s">
        <v>2751</v>
      </c>
      <c r="F1849" t="s">
        <v>21</v>
      </c>
      <c r="G1849" s="21">
        <v>1</v>
      </c>
      <c r="H1849" s="21">
        <v>0</v>
      </c>
      <c r="I1849" t="s">
        <v>360</v>
      </c>
      <c r="J1849" s="20" t="s">
        <v>2529</v>
      </c>
      <c r="K1849" t="s">
        <v>2529</v>
      </c>
    </row>
    <row r="1850" spans="2:11" x14ac:dyDescent="0.2">
      <c r="B1850" s="21">
        <f t="shared" si="28"/>
        <v>271</v>
      </c>
      <c r="C1850" t="s">
        <v>358</v>
      </c>
      <c r="D1850" t="s">
        <v>13</v>
      </c>
      <c r="E1850" t="s">
        <v>2751</v>
      </c>
      <c r="F1850" t="s">
        <v>27</v>
      </c>
      <c r="G1850" s="21">
        <v>1</v>
      </c>
      <c r="H1850" s="21">
        <v>0</v>
      </c>
      <c r="I1850" t="s">
        <v>361</v>
      </c>
      <c r="J1850" s="20" t="s">
        <v>2529</v>
      </c>
      <c r="K1850" t="s">
        <v>2528</v>
      </c>
    </row>
    <row r="1851" spans="2:11" x14ac:dyDescent="0.2">
      <c r="B1851" s="21">
        <f t="shared" si="28"/>
        <v>270</v>
      </c>
      <c r="C1851" t="s">
        <v>151</v>
      </c>
      <c r="D1851" t="s">
        <v>13</v>
      </c>
      <c r="E1851" t="s">
        <v>2751</v>
      </c>
      <c r="F1851" t="s">
        <v>27</v>
      </c>
      <c r="G1851" s="21">
        <v>1</v>
      </c>
      <c r="H1851" s="21">
        <v>0</v>
      </c>
      <c r="I1851" t="s">
        <v>362</v>
      </c>
      <c r="J1851" s="20" t="s">
        <v>2529</v>
      </c>
      <c r="K1851" t="s">
        <v>2529</v>
      </c>
    </row>
    <row r="1852" spans="2:11" x14ac:dyDescent="0.2">
      <c r="B1852" s="21">
        <f t="shared" si="28"/>
        <v>269</v>
      </c>
      <c r="C1852" t="s">
        <v>321</v>
      </c>
      <c r="D1852" t="s">
        <v>14</v>
      </c>
      <c r="E1852" t="s">
        <v>2751</v>
      </c>
      <c r="F1852" t="s">
        <v>27</v>
      </c>
      <c r="G1852" s="21">
        <v>1</v>
      </c>
      <c r="H1852" s="21">
        <v>0</v>
      </c>
      <c r="I1852" t="s">
        <v>359</v>
      </c>
      <c r="J1852" s="20" t="s">
        <v>2530</v>
      </c>
      <c r="K1852" t="s">
        <v>2530</v>
      </c>
    </row>
    <row r="1853" spans="2:11" x14ac:dyDescent="0.2">
      <c r="B1853" s="21">
        <f t="shared" si="28"/>
        <v>268</v>
      </c>
      <c r="C1853" t="s">
        <v>338</v>
      </c>
      <c r="D1853" t="s">
        <v>18</v>
      </c>
      <c r="E1853" t="s">
        <v>2751</v>
      </c>
      <c r="F1853" t="s">
        <v>27</v>
      </c>
      <c r="G1853" s="21">
        <v>1</v>
      </c>
      <c r="H1853" s="21">
        <v>0</v>
      </c>
      <c r="I1853" t="s">
        <v>356</v>
      </c>
      <c r="J1853" s="20" t="s">
        <v>2530</v>
      </c>
      <c r="K1853" t="s">
        <v>2530</v>
      </c>
    </row>
    <row r="1854" spans="2:11" x14ac:dyDescent="0.2">
      <c r="B1854" s="21">
        <f t="shared" si="28"/>
        <v>267</v>
      </c>
      <c r="C1854" t="s">
        <v>349</v>
      </c>
      <c r="D1854" t="s">
        <v>13</v>
      </c>
      <c r="E1854" t="s">
        <v>2751</v>
      </c>
      <c r="F1854" t="s">
        <v>27</v>
      </c>
      <c r="G1854" s="21">
        <v>1</v>
      </c>
      <c r="H1854" s="21">
        <v>0</v>
      </c>
      <c r="J1854" s="20" t="s">
        <v>2530</v>
      </c>
      <c r="K1854" t="s">
        <v>2529</v>
      </c>
    </row>
    <row r="1855" spans="2:11" x14ac:dyDescent="0.2">
      <c r="B1855" s="21">
        <f t="shared" si="28"/>
        <v>266</v>
      </c>
      <c r="C1855" t="s">
        <v>352</v>
      </c>
      <c r="D1855" t="s">
        <v>13</v>
      </c>
      <c r="E1855" t="s">
        <v>2751</v>
      </c>
      <c r="F1855" t="s">
        <v>4</v>
      </c>
      <c r="G1855" s="21">
        <v>1</v>
      </c>
      <c r="H1855" s="21">
        <v>0</v>
      </c>
      <c r="I1855" t="s">
        <v>353</v>
      </c>
      <c r="J1855" s="20" t="s">
        <v>2530</v>
      </c>
      <c r="K1855" t="s">
        <v>2530</v>
      </c>
    </row>
    <row r="1856" spans="2:11" x14ac:dyDescent="0.2">
      <c r="B1856" s="21">
        <f t="shared" si="28"/>
        <v>265</v>
      </c>
      <c r="C1856" t="s">
        <v>352</v>
      </c>
      <c r="D1856" t="s">
        <v>13</v>
      </c>
      <c r="E1856" t="s">
        <v>2751</v>
      </c>
      <c r="F1856" t="s">
        <v>27</v>
      </c>
      <c r="G1856" s="21">
        <v>1</v>
      </c>
      <c r="H1856" s="21">
        <v>0</v>
      </c>
      <c r="I1856" t="s">
        <v>355</v>
      </c>
      <c r="J1856" s="20" t="s">
        <v>2530</v>
      </c>
      <c r="K1856" t="s">
        <v>2529</v>
      </c>
    </row>
    <row r="1857" spans="2:11" x14ac:dyDescent="0.2">
      <c r="B1857" s="21">
        <f t="shared" si="28"/>
        <v>264</v>
      </c>
      <c r="C1857" t="s">
        <v>241</v>
      </c>
      <c r="D1857" t="s">
        <v>13</v>
      </c>
      <c r="E1857" t="s">
        <v>2751</v>
      </c>
      <c r="F1857" t="s">
        <v>27</v>
      </c>
      <c r="G1857" s="21">
        <v>1</v>
      </c>
      <c r="H1857" s="21">
        <v>0</v>
      </c>
      <c r="I1857" t="s">
        <v>357</v>
      </c>
      <c r="J1857" s="20" t="s">
        <v>2530</v>
      </c>
      <c r="K1857" t="s">
        <v>2530</v>
      </c>
    </row>
    <row r="1858" spans="2:11" x14ac:dyDescent="0.2">
      <c r="B1858" s="21">
        <f t="shared" si="28"/>
        <v>263</v>
      </c>
      <c r="C1858" t="s">
        <v>151</v>
      </c>
      <c r="D1858" t="s">
        <v>13</v>
      </c>
      <c r="E1858" t="s">
        <v>2751</v>
      </c>
      <c r="F1858" t="s">
        <v>27</v>
      </c>
      <c r="G1858" s="21">
        <v>1</v>
      </c>
      <c r="H1858" s="21">
        <v>0</v>
      </c>
      <c r="I1858" t="s">
        <v>354</v>
      </c>
      <c r="J1858" s="20" t="s">
        <v>2530</v>
      </c>
      <c r="K1858" t="s">
        <v>2530</v>
      </c>
    </row>
    <row r="1859" spans="2:11" x14ac:dyDescent="0.2">
      <c r="B1859" s="21">
        <f t="shared" si="28"/>
        <v>262</v>
      </c>
      <c r="C1859" t="s">
        <v>321</v>
      </c>
      <c r="D1859" t="s">
        <v>14</v>
      </c>
      <c r="E1859" t="s">
        <v>2751</v>
      </c>
      <c r="F1859" t="s">
        <v>43</v>
      </c>
      <c r="G1859" s="21">
        <v>1</v>
      </c>
      <c r="H1859" s="21">
        <v>0</v>
      </c>
      <c r="J1859" s="20" t="s">
        <v>2531</v>
      </c>
      <c r="K1859" t="s">
        <v>2530</v>
      </c>
    </row>
    <row r="1860" spans="2:11" x14ac:dyDescent="0.2">
      <c r="B1860" s="21">
        <f t="shared" si="28"/>
        <v>261</v>
      </c>
      <c r="C1860" t="s">
        <v>338</v>
      </c>
      <c r="D1860" t="s">
        <v>18</v>
      </c>
      <c r="E1860" t="s">
        <v>2751</v>
      </c>
      <c r="F1860" t="s">
        <v>27</v>
      </c>
      <c r="G1860" s="21">
        <v>1</v>
      </c>
      <c r="H1860" s="21">
        <v>0</v>
      </c>
      <c r="J1860" s="20" t="s">
        <v>2531</v>
      </c>
      <c r="K1860" t="s">
        <v>2530</v>
      </c>
    </row>
    <row r="1861" spans="2:11" x14ac:dyDescent="0.2">
      <c r="B1861" s="21">
        <f t="shared" ref="B1861:B1924" si="29">B1860-1</f>
        <v>260</v>
      </c>
      <c r="C1861" t="s">
        <v>349</v>
      </c>
      <c r="D1861" t="s">
        <v>13</v>
      </c>
      <c r="E1861" t="s">
        <v>2751</v>
      </c>
      <c r="F1861" t="s">
        <v>27</v>
      </c>
      <c r="G1861" s="21">
        <v>1</v>
      </c>
      <c r="H1861" s="21">
        <v>0</v>
      </c>
      <c r="J1861" s="20" t="s">
        <v>2531</v>
      </c>
      <c r="K1861" t="s">
        <v>2530</v>
      </c>
    </row>
    <row r="1862" spans="2:11" x14ac:dyDescent="0.2">
      <c r="B1862" s="21">
        <f t="shared" si="29"/>
        <v>259</v>
      </c>
      <c r="C1862" t="s">
        <v>241</v>
      </c>
      <c r="D1862" t="s">
        <v>13</v>
      </c>
      <c r="E1862" t="s">
        <v>2751</v>
      </c>
      <c r="F1862" t="s">
        <v>27</v>
      </c>
      <c r="G1862" s="21">
        <v>1</v>
      </c>
      <c r="H1862" s="21">
        <v>0</v>
      </c>
      <c r="I1862" t="s">
        <v>350</v>
      </c>
      <c r="J1862" s="20" t="s">
        <v>2531</v>
      </c>
      <c r="K1862" t="s">
        <v>2531</v>
      </c>
    </row>
    <row r="1863" spans="2:11" x14ac:dyDescent="0.2">
      <c r="B1863" s="21">
        <f t="shared" si="29"/>
        <v>258</v>
      </c>
      <c r="C1863" t="s">
        <v>321</v>
      </c>
      <c r="D1863" t="s">
        <v>14</v>
      </c>
      <c r="E1863" t="s">
        <v>2751</v>
      </c>
      <c r="F1863" t="s">
        <v>43</v>
      </c>
      <c r="G1863" s="21">
        <v>1</v>
      </c>
      <c r="H1863" s="21">
        <v>0</v>
      </c>
      <c r="J1863" s="20" t="s">
        <v>2532</v>
      </c>
      <c r="K1863" t="s">
        <v>2531</v>
      </c>
    </row>
    <row r="1864" spans="2:11" x14ac:dyDescent="0.2">
      <c r="B1864" s="21">
        <f t="shared" si="29"/>
        <v>257</v>
      </c>
      <c r="C1864" t="s">
        <v>338</v>
      </c>
      <c r="D1864" t="s">
        <v>18</v>
      </c>
      <c r="E1864" t="s">
        <v>2751</v>
      </c>
      <c r="F1864" t="s">
        <v>27</v>
      </c>
      <c r="G1864" s="21">
        <v>1</v>
      </c>
      <c r="H1864" s="21">
        <v>0</v>
      </c>
      <c r="J1864" s="20" t="s">
        <v>2532</v>
      </c>
      <c r="K1864" t="s">
        <v>2531</v>
      </c>
    </row>
    <row r="1865" spans="2:11" x14ac:dyDescent="0.2">
      <c r="B1865" s="21">
        <f t="shared" si="29"/>
        <v>256</v>
      </c>
      <c r="C1865" t="s">
        <v>345</v>
      </c>
      <c r="D1865" t="s">
        <v>13</v>
      </c>
      <c r="E1865" t="s">
        <v>2751</v>
      </c>
      <c r="F1865" t="s">
        <v>27</v>
      </c>
      <c r="G1865" s="21">
        <v>1</v>
      </c>
      <c r="H1865" s="21">
        <v>0</v>
      </c>
      <c r="I1865" t="s">
        <v>351</v>
      </c>
      <c r="J1865" s="20" t="s">
        <v>2532</v>
      </c>
      <c r="K1865" t="s">
        <v>2532</v>
      </c>
    </row>
    <row r="1866" spans="2:11" x14ac:dyDescent="0.2">
      <c r="B1866" s="21">
        <f t="shared" si="29"/>
        <v>255</v>
      </c>
      <c r="C1866" t="s">
        <v>349</v>
      </c>
      <c r="D1866" t="s">
        <v>13</v>
      </c>
      <c r="E1866" t="s">
        <v>2751</v>
      </c>
      <c r="F1866" t="s">
        <v>27</v>
      </c>
      <c r="G1866" s="21">
        <v>1</v>
      </c>
      <c r="H1866" s="21">
        <v>0</v>
      </c>
      <c r="J1866" s="20" t="s">
        <v>2532</v>
      </c>
      <c r="K1866" t="s">
        <v>2531</v>
      </c>
    </row>
    <row r="1867" spans="2:11" x14ac:dyDescent="0.2">
      <c r="B1867" s="21">
        <f t="shared" si="29"/>
        <v>254</v>
      </c>
      <c r="C1867" t="s">
        <v>321</v>
      </c>
      <c r="D1867" t="s">
        <v>14</v>
      </c>
      <c r="E1867" t="s">
        <v>2751</v>
      </c>
      <c r="F1867" t="s">
        <v>43</v>
      </c>
      <c r="G1867" s="21">
        <v>1</v>
      </c>
      <c r="H1867" s="21">
        <v>0</v>
      </c>
      <c r="J1867" s="20" t="s">
        <v>2533</v>
      </c>
      <c r="K1867" t="s">
        <v>2728</v>
      </c>
    </row>
    <row r="1868" spans="2:11" x14ac:dyDescent="0.2">
      <c r="B1868" s="21">
        <f t="shared" si="29"/>
        <v>253</v>
      </c>
      <c r="C1868" t="s">
        <v>338</v>
      </c>
      <c r="D1868" t="s">
        <v>18</v>
      </c>
      <c r="E1868" t="s">
        <v>2751</v>
      </c>
      <c r="F1868" t="s">
        <v>27</v>
      </c>
      <c r="G1868" s="21">
        <v>1</v>
      </c>
      <c r="H1868" s="21">
        <v>0</v>
      </c>
      <c r="J1868" s="20" t="s">
        <v>2533</v>
      </c>
      <c r="K1868" t="s">
        <v>2728</v>
      </c>
    </row>
    <row r="1869" spans="2:11" x14ac:dyDescent="0.2">
      <c r="B1869" s="21">
        <f t="shared" si="29"/>
        <v>252</v>
      </c>
      <c r="C1869" t="s">
        <v>151</v>
      </c>
      <c r="D1869" t="s">
        <v>13</v>
      </c>
      <c r="E1869" t="s">
        <v>2751</v>
      </c>
      <c r="F1869" t="s">
        <v>27</v>
      </c>
      <c r="G1869" s="21">
        <v>1</v>
      </c>
      <c r="H1869" s="21">
        <v>0</v>
      </c>
      <c r="I1869" t="s">
        <v>348</v>
      </c>
      <c r="J1869" s="20" t="s">
        <v>2533</v>
      </c>
      <c r="K1869" t="s">
        <v>2533</v>
      </c>
    </row>
    <row r="1870" spans="2:11" x14ac:dyDescent="0.2">
      <c r="B1870" s="21">
        <f t="shared" si="29"/>
        <v>251</v>
      </c>
      <c r="C1870" t="s">
        <v>345</v>
      </c>
      <c r="D1870" t="s">
        <v>13</v>
      </c>
      <c r="E1870" t="s">
        <v>2751</v>
      </c>
      <c r="F1870" t="s">
        <v>4</v>
      </c>
      <c r="G1870" s="21">
        <v>1</v>
      </c>
      <c r="H1870" s="21">
        <v>0</v>
      </c>
      <c r="I1870" t="s">
        <v>346</v>
      </c>
      <c r="J1870" s="20" t="s">
        <v>2533</v>
      </c>
      <c r="K1870" t="s">
        <v>2533</v>
      </c>
    </row>
    <row r="1871" spans="2:11" x14ac:dyDescent="0.2">
      <c r="B1871" s="21">
        <f t="shared" si="29"/>
        <v>250</v>
      </c>
      <c r="C1871" t="s">
        <v>345</v>
      </c>
      <c r="D1871" t="s">
        <v>13</v>
      </c>
      <c r="E1871" t="s">
        <v>2751</v>
      </c>
      <c r="F1871" t="s">
        <v>27</v>
      </c>
      <c r="G1871" s="21">
        <v>1</v>
      </c>
      <c r="H1871" s="21">
        <v>0</v>
      </c>
      <c r="I1871" t="s">
        <v>347</v>
      </c>
      <c r="J1871" s="20" t="s">
        <v>2533</v>
      </c>
      <c r="K1871" t="s">
        <v>2728</v>
      </c>
    </row>
    <row r="1872" spans="2:11" x14ac:dyDescent="0.2">
      <c r="B1872" s="21">
        <f t="shared" si="29"/>
        <v>249</v>
      </c>
      <c r="C1872" t="s">
        <v>321</v>
      </c>
      <c r="D1872" t="s">
        <v>14</v>
      </c>
      <c r="E1872" t="s">
        <v>2751</v>
      </c>
      <c r="F1872" t="s">
        <v>43</v>
      </c>
      <c r="G1872" s="21">
        <v>1</v>
      </c>
      <c r="H1872" s="21">
        <v>0</v>
      </c>
      <c r="I1872" t="s">
        <v>343</v>
      </c>
      <c r="J1872" s="20" t="s">
        <v>2534</v>
      </c>
      <c r="K1872" t="s">
        <v>2533</v>
      </c>
    </row>
    <row r="1873" spans="2:11" x14ac:dyDescent="0.2">
      <c r="B1873" s="21">
        <f t="shared" si="29"/>
        <v>248</v>
      </c>
      <c r="C1873" t="s">
        <v>262</v>
      </c>
      <c r="D1873" t="s">
        <v>18</v>
      </c>
      <c r="E1873" t="s">
        <v>2751</v>
      </c>
      <c r="F1873" t="s">
        <v>43</v>
      </c>
      <c r="G1873" s="21">
        <v>1</v>
      </c>
      <c r="H1873" s="21">
        <v>0</v>
      </c>
      <c r="J1873" s="20" t="s">
        <v>2534</v>
      </c>
      <c r="K1873" t="s">
        <v>2533</v>
      </c>
    </row>
    <row r="1874" spans="2:11" x14ac:dyDescent="0.2">
      <c r="B1874" s="21">
        <f t="shared" si="29"/>
        <v>247</v>
      </c>
      <c r="C1874" t="s">
        <v>338</v>
      </c>
      <c r="D1874" t="s">
        <v>18</v>
      </c>
      <c r="E1874" t="s">
        <v>2751</v>
      </c>
      <c r="F1874" t="s">
        <v>27</v>
      </c>
      <c r="G1874" s="21">
        <v>1</v>
      </c>
      <c r="H1874" s="21">
        <v>0</v>
      </c>
      <c r="I1874" t="s">
        <v>344</v>
      </c>
      <c r="J1874" s="20" t="s">
        <v>2534</v>
      </c>
      <c r="K1874" t="s">
        <v>2534</v>
      </c>
    </row>
    <row r="1875" spans="2:11" x14ac:dyDescent="0.2">
      <c r="B1875" s="21">
        <f t="shared" si="29"/>
        <v>246</v>
      </c>
      <c r="C1875" t="s">
        <v>321</v>
      </c>
      <c r="D1875" t="s">
        <v>14</v>
      </c>
      <c r="E1875" t="s">
        <v>2751</v>
      </c>
      <c r="F1875" t="s">
        <v>43</v>
      </c>
      <c r="G1875" s="21">
        <v>1</v>
      </c>
      <c r="H1875" s="21">
        <v>0</v>
      </c>
      <c r="I1875" t="s">
        <v>339</v>
      </c>
      <c r="J1875" s="20" t="s">
        <v>2535</v>
      </c>
      <c r="K1875" t="s">
        <v>2534</v>
      </c>
    </row>
    <row r="1876" spans="2:11" x14ac:dyDescent="0.2">
      <c r="B1876" s="21">
        <f t="shared" si="29"/>
        <v>245</v>
      </c>
      <c r="C1876" t="s">
        <v>262</v>
      </c>
      <c r="D1876" t="s">
        <v>18</v>
      </c>
      <c r="E1876" t="s">
        <v>2751</v>
      </c>
      <c r="F1876" t="s">
        <v>43</v>
      </c>
      <c r="G1876" s="21">
        <v>1</v>
      </c>
      <c r="H1876" s="21">
        <v>0</v>
      </c>
      <c r="I1876" t="s">
        <v>334</v>
      </c>
      <c r="J1876" s="20" t="s">
        <v>2535</v>
      </c>
      <c r="K1876" t="s">
        <v>2534</v>
      </c>
    </row>
    <row r="1877" spans="2:11" x14ac:dyDescent="0.2">
      <c r="B1877" s="21">
        <f t="shared" si="29"/>
        <v>244</v>
      </c>
      <c r="C1877" t="s">
        <v>338</v>
      </c>
      <c r="D1877" t="s">
        <v>18</v>
      </c>
      <c r="E1877" t="s">
        <v>2751</v>
      </c>
      <c r="F1877" t="s">
        <v>43</v>
      </c>
      <c r="G1877" s="21">
        <v>1</v>
      </c>
      <c r="H1877" s="21">
        <v>0</v>
      </c>
      <c r="I1877" t="s">
        <v>340</v>
      </c>
      <c r="J1877" s="20" t="s">
        <v>2535</v>
      </c>
      <c r="K1877" t="s">
        <v>2534</v>
      </c>
    </row>
    <row r="1878" spans="2:11" x14ac:dyDescent="0.2">
      <c r="B1878" s="21">
        <f t="shared" si="29"/>
        <v>243</v>
      </c>
      <c r="C1878" t="s">
        <v>123</v>
      </c>
      <c r="D1878" t="s">
        <v>13</v>
      </c>
      <c r="E1878" t="s">
        <v>2751</v>
      </c>
      <c r="F1878" t="s">
        <v>27</v>
      </c>
      <c r="G1878" s="21">
        <v>1</v>
      </c>
      <c r="H1878" s="21">
        <v>0</v>
      </c>
      <c r="I1878" t="s">
        <v>341</v>
      </c>
      <c r="J1878" s="20" t="s">
        <v>2535</v>
      </c>
      <c r="K1878" t="s">
        <v>2535</v>
      </c>
    </row>
    <row r="1879" spans="2:11" x14ac:dyDescent="0.2">
      <c r="B1879" s="21">
        <f t="shared" si="29"/>
        <v>242</v>
      </c>
      <c r="C1879" t="s">
        <v>297</v>
      </c>
      <c r="D1879" t="s">
        <v>13</v>
      </c>
      <c r="E1879" t="s">
        <v>2751</v>
      </c>
      <c r="F1879" t="s">
        <v>27</v>
      </c>
      <c r="G1879" s="21">
        <v>1</v>
      </c>
      <c r="H1879" s="21">
        <v>0</v>
      </c>
      <c r="I1879" t="s">
        <v>342</v>
      </c>
      <c r="J1879" s="20" t="s">
        <v>2535</v>
      </c>
      <c r="K1879" t="s">
        <v>2535</v>
      </c>
    </row>
    <row r="1880" spans="2:11" x14ac:dyDescent="0.2">
      <c r="B1880" s="21">
        <f t="shared" si="29"/>
        <v>241</v>
      </c>
      <c r="C1880" t="s">
        <v>63</v>
      </c>
      <c r="D1880" t="s">
        <v>13</v>
      </c>
      <c r="E1880" t="s">
        <v>2751</v>
      </c>
      <c r="F1880" t="s">
        <v>49</v>
      </c>
      <c r="G1880" s="21">
        <v>1</v>
      </c>
      <c r="H1880" s="21">
        <v>0</v>
      </c>
      <c r="I1880" t="s">
        <v>336</v>
      </c>
      <c r="J1880" s="20" t="s">
        <v>2536</v>
      </c>
      <c r="K1880" t="s">
        <v>2536</v>
      </c>
    </row>
    <row r="1881" spans="2:11" x14ac:dyDescent="0.2">
      <c r="B1881" s="21">
        <f t="shared" si="29"/>
        <v>240</v>
      </c>
      <c r="C1881" t="s">
        <v>321</v>
      </c>
      <c r="D1881" t="s">
        <v>14</v>
      </c>
      <c r="E1881" t="s">
        <v>2751</v>
      </c>
      <c r="F1881" t="s">
        <v>43</v>
      </c>
      <c r="G1881" s="21">
        <v>1</v>
      </c>
      <c r="H1881" s="21">
        <v>0</v>
      </c>
      <c r="I1881" t="s">
        <v>337</v>
      </c>
      <c r="J1881" s="20" t="s">
        <v>2536</v>
      </c>
      <c r="K1881" t="s">
        <v>2535</v>
      </c>
    </row>
    <row r="1882" spans="2:11" x14ac:dyDescent="0.2">
      <c r="B1882" s="21">
        <f t="shared" si="29"/>
        <v>239</v>
      </c>
      <c r="C1882" t="s">
        <v>297</v>
      </c>
      <c r="D1882" t="s">
        <v>13</v>
      </c>
      <c r="E1882" t="s">
        <v>2751</v>
      </c>
      <c r="F1882" t="s">
        <v>27</v>
      </c>
      <c r="G1882" s="21">
        <v>1</v>
      </c>
      <c r="H1882" s="21">
        <v>0</v>
      </c>
      <c r="I1882" t="s">
        <v>335</v>
      </c>
      <c r="J1882" s="20" t="s">
        <v>2536</v>
      </c>
      <c r="K1882" t="s">
        <v>2536</v>
      </c>
    </row>
    <row r="1883" spans="2:11" x14ac:dyDescent="0.2">
      <c r="B1883" s="21">
        <f t="shared" si="29"/>
        <v>238</v>
      </c>
      <c r="C1883" t="s">
        <v>262</v>
      </c>
      <c r="D1883" t="s">
        <v>18</v>
      </c>
      <c r="E1883" t="s">
        <v>2751</v>
      </c>
      <c r="F1883" t="s">
        <v>43</v>
      </c>
      <c r="G1883" s="21">
        <v>1</v>
      </c>
      <c r="H1883" s="21">
        <v>0</v>
      </c>
      <c r="I1883" t="s">
        <v>334</v>
      </c>
      <c r="J1883" s="20" t="s">
        <v>2536</v>
      </c>
      <c r="K1883" t="s">
        <v>2535</v>
      </c>
    </row>
    <row r="1884" spans="2:11" x14ac:dyDescent="0.2">
      <c r="B1884" s="21">
        <f t="shared" si="29"/>
        <v>237</v>
      </c>
      <c r="C1884" t="s">
        <v>277</v>
      </c>
      <c r="D1884" t="s">
        <v>13</v>
      </c>
      <c r="E1884" t="s">
        <v>2751</v>
      </c>
      <c r="F1884" t="s">
        <v>52</v>
      </c>
      <c r="G1884" s="21">
        <v>1</v>
      </c>
      <c r="H1884" s="21">
        <v>0</v>
      </c>
      <c r="I1884" t="s">
        <v>333</v>
      </c>
      <c r="J1884" s="20" t="s">
        <v>2537</v>
      </c>
      <c r="K1884" t="s">
        <v>2537</v>
      </c>
    </row>
    <row r="1885" spans="2:11" x14ac:dyDescent="0.2">
      <c r="B1885" s="21">
        <f t="shared" si="29"/>
        <v>236</v>
      </c>
      <c r="C1885" t="s">
        <v>63</v>
      </c>
      <c r="D1885" t="s">
        <v>13</v>
      </c>
      <c r="E1885" t="s">
        <v>2751</v>
      </c>
      <c r="F1885" t="s">
        <v>49</v>
      </c>
      <c r="G1885" s="21">
        <v>1</v>
      </c>
      <c r="H1885" s="21">
        <v>0</v>
      </c>
      <c r="J1885" s="20" t="s">
        <v>2537</v>
      </c>
      <c r="K1885" t="s">
        <v>2536</v>
      </c>
    </row>
    <row r="1886" spans="2:11" x14ac:dyDescent="0.2">
      <c r="B1886" s="21">
        <f t="shared" si="29"/>
        <v>235</v>
      </c>
      <c r="C1886" t="s">
        <v>321</v>
      </c>
      <c r="D1886" t="s">
        <v>14</v>
      </c>
      <c r="E1886" t="s">
        <v>2751</v>
      </c>
      <c r="F1886" t="s">
        <v>43</v>
      </c>
      <c r="G1886" s="21">
        <v>1</v>
      </c>
      <c r="H1886" s="21">
        <v>0</v>
      </c>
      <c r="J1886" s="20" t="s">
        <v>2537</v>
      </c>
      <c r="K1886" t="s">
        <v>2536</v>
      </c>
    </row>
    <row r="1887" spans="2:11" x14ac:dyDescent="0.2">
      <c r="B1887" s="21">
        <f t="shared" si="29"/>
        <v>234</v>
      </c>
      <c r="C1887" t="s">
        <v>277</v>
      </c>
      <c r="D1887" t="s">
        <v>13</v>
      </c>
      <c r="E1887" t="s">
        <v>2751</v>
      </c>
      <c r="F1887" t="s">
        <v>52</v>
      </c>
      <c r="G1887" s="21">
        <v>1</v>
      </c>
      <c r="H1887" s="21">
        <v>0</v>
      </c>
      <c r="I1887" t="s">
        <v>332</v>
      </c>
      <c r="J1887" s="20" t="s">
        <v>2538</v>
      </c>
      <c r="K1887" t="s">
        <v>2537</v>
      </c>
    </row>
    <row r="1888" spans="2:11" x14ac:dyDescent="0.2">
      <c r="B1888" s="21">
        <f t="shared" si="29"/>
        <v>233</v>
      </c>
      <c r="C1888" t="s">
        <v>63</v>
      </c>
      <c r="D1888" t="s">
        <v>13</v>
      </c>
      <c r="E1888" t="s">
        <v>2751</v>
      </c>
      <c r="F1888" t="s">
        <v>49</v>
      </c>
      <c r="G1888" s="21">
        <v>1</v>
      </c>
      <c r="H1888" s="21">
        <v>0</v>
      </c>
      <c r="I1888" t="s">
        <v>331</v>
      </c>
      <c r="J1888" s="20" t="s">
        <v>2538</v>
      </c>
      <c r="K1888" t="s">
        <v>2537</v>
      </c>
    </row>
    <row r="1889" spans="2:11" x14ac:dyDescent="0.2">
      <c r="B1889" s="21">
        <f t="shared" si="29"/>
        <v>232</v>
      </c>
      <c r="C1889" t="s">
        <v>277</v>
      </c>
      <c r="D1889" t="s">
        <v>13</v>
      </c>
      <c r="E1889" t="s">
        <v>2751</v>
      </c>
      <c r="F1889" t="s">
        <v>52</v>
      </c>
      <c r="G1889" s="21">
        <v>1</v>
      </c>
      <c r="H1889" s="21">
        <v>0</v>
      </c>
      <c r="I1889" t="s">
        <v>330</v>
      </c>
      <c r="J1889" s="20" t="s">
        <v>2539</v>
      </c>
      <c r="K1889" t="s">
        <v>2729</v>
      </c>
    </row>
    <row r="1890" spans="2:11" x14ac:dyDescent="0.2">
      <c r="B1890" s="21">
        <f t="shared" si="29"/>
        <v>231</v>
      </c>
      <c r="C1890" t="s">
        <v>220</v>
      </c>
      <c r="D1890" t="s">
        <v>13</v>
      </c>
      <c r="E1890" t="s">
        <v>2751</v>
      </c>
      <c r="F1890" t="s">
        <v>28</v>
      </c>
      <c r="G1890" s="21">
        <v>1</v>
      </c>
      <c r="H1890" s="21">
        <v>0</v>
      </c>
      <c r="I1890" t="s">
        <v>395</v>
      </c>
      <c r="J1890" s="20" t="s">
        <v>2539</v>
      </c>
      <c r="K1890" t="s">
        <v>2539</v>
      </c>
    </row>
    <row r="1891" spans="2:11" x14ac:dyDescent="0.2">
      <c r="B1891" s="21">
        <f t="shared" si="29"/>
        <v>230</v>
      </c>
      <c r="C1891" t="s">
        <v>321</v>
      </c>
      <c r="D1891" t="s">
        <v>13</v>
      </c>
      <c r="E1891" t="s">
        <v>2751</v>
      </c>
      <c r="F1891" t="s">
        <v>43</v>
      </c>
      <c r="G1891" s="21">
        <v>1</v>
      </c>
      <c r="H1891" s="21">
        <v>0</v>
      </c>
      <c r="J1891" s="20" t="s">
        <v>2540</v>
      </c>
      <c r="K1891" t="s">
        <v>2539</v>
      </c>
    </row>
    <row r="1892" spans="2:11" x14ac:dyDescent="0.2">
      <c r="B1892" s="21">
        <f t="shared" si="29"/>
        <v>229</v>
      </c>
      <c r="C1892" t="s">
        <v>277</v>
      </c>
      <c r="D1892" t="s">
        <v>13</v>
      </c>
      <c r="E1892" t="s">
        <v>2751</v>
      </c>
      <c r="F1892" t="s">
        <v>52</v>
      </c>
      <c r="G1892" s="21">
        <v>1</v>
      </c>
      <c r="H1892" s="21">
        <v>0</v>
      </c>
      <c r="I1892" t="s">
        <v>329</v>
      </c>
      <c r="J1892" s="20" t="s">
        <v>2540</v>
      </c>
      <c r="K1892" t="s">
        <v>2539</v>
      </c>
    </row>
    <row r="1893" spans="2:11" x14ac:dyDescent="0.2">
      <c r="B1893" s="21">
        <f t="shared" si="29"/>
        <v>228</v>
      </c>
      <c r="C1893" t="s">
        <v>220</v>
      </c>
      <c r="D1893" t="s">
        <v>13</v>
      </c>
      <c r="E1893" t="s">
        <v>2751</v>
      </c>
      <c r="F1893" t="s">
        <v>28</v>
      </c>
      <c r="G1893" s="21">
        <v>1</v>
      </c>
      <c r="H1893" s="21">
        <v>0</v>
      </c>
      <c r="I1893" t="s">
        <v>328</v>
      </c>
      <c r="J1893" s="20" t="s">
        <v>2540</v>
      </c>
      <c r="K1893" t="s">
        <v>2539</v>
      </c>
    </row>
    <row r="1894" spans="2:11" x14ac:dyDescent="0.2">
      <c r="B1894" s="21">
        <f t="shared" si="29"/>
        <v>227</v>
      </c>
      <c r="C1894" t="s">
        <v>321</v>
      </c>
      <c r="D1894" t="s">
        <v>13</v>
      </c>
      <c r="E1894" t="s">
        <v>2751</v>
      </c>
      <c r="F1894" t="s">
        <v>43</v>
      </c>
      <c r="G1894" s="21">
        <v>1</v>
      </c>
      <c r="H1894" s="21">
        <v>0</v>
      </c>
      <c r="J1894" s="20" t="s">
        <v>2541</v>
      </c>
      <c r="K1894" t="s">
        <v>2540</v>
      </c>
    </row>
    <row r="1895" spans="2:11" x14ac:dyDescent="0.2">
      <c r="B1895" s="21">
        <f t="shared" si="29"/>
        <v>226</v>
      </c>
      <c r="C1895" t="s">
        <v>277</v>
      </c>
      <c r="D1895" t="s">
        <v>13</v>
      </c>
      <c r="E1895" t="s">
        <v>2751</v>
      </c>
      <c r="F1895" t="s">
        <v>52</v>
      </c>
      <c r="G1895" s="21">
        <v>1</v>
      </c>
      <c r="H1895" s="21">
        <v>0</v>
      </c>
      <c r="J1895" s="20" t="s">
        <v>2541</v>
      </c>
      <c r="K1895" t="s">
        <v>2540</v>
      </c>
    </row>
    <row r="1896" spans="2:11" x14ac:dyDescent="0.2">
      <c r="B1896" s="21">
        <f t="shared" si="29"/>
        <v>225</v>
      </c>
      <c r="C1896" t="s">
        <v>123</v>
      </c>
      <c r="D1896" t="s">
        <v>13</v>
      </c>
      <c r="E1896" t="s">
        <v>2751</v>
      </c>
      <c r="F1896" t="s">
        <v>27</v>
      </c>
      <c r="G1896" s="21">
        <v>1</v>
      </c>
      <c r="H1896" s="21">
        <v>0</v>
      </c>
      <c r="I1896" t="s">
        <v>326</v>
      </c>
      <c r="J1896" s="20" t="s">
        <v>2541</v>
      </c>
      <c r="K1896" t="s">
        <v>2541</v>
      </c>
    </row>
    <row r="1897" spans="2:11" x14ac:dyDescent="0.2">
      <c r="B1897" s="21">
        <f t="shared" si="29"/>
        <v>224</v>
      </c>
      <c r="C1897" t="s">
        <v>297</v>
      </c>
      <c r="D1897" t="s">
        <v>13</v>
      </c>
      <c r="E1897" t="s">
        <v>2751</v>
      </c>
      <c r="F1897" t="s">
        <v>49</v>
      </c>
      <c r="G1897" s="21">
        <v>1</v>
      </c>
      <c r="H1897" s="21">
        <v>0</v>
      </c>
      <c r="I1897" t="s">
        <v>327</v>
      </c>
      <c r="J1897" s="20" t="s">
        <v>2541</v>
      </c>
      <c r="K1897" t="s">
        <v>2541</v>
      </c>
    </row>
    <row r="1898" spans="2:11" x14ac:dyDescent="0.2">
      <c r="B1898" s="21">
        <f t="shared" si="29"/>
        <v>223</v>
      </c>
      <c r="C1898" t="s">
        <v>220</v>
      </c>
      <c r="D1898" t="s">
        <v>13</v>
      </c>
      <c r="E1898" t="s">
        <v>2751</v>
      </c>
      <c r="F1898" t="s">
        <v>28</v>
      </c>
      <c r="G1898" s="21">
        <v>1</v>
      </c>
      <c r="H1898" s="21">
        <v>0</v>
      </c>
      <c r="I1898" t="s">
        <v>328</v>
      </c>
      <c r="J1898" s="20" t="s">
        <v>2541</v>
      </c>
      <c r="K1898" t="s">
        <v>2540</v>
      </c>
    </row>
    <row r="1899" spans="2:11" x14ac:dyDescent="0.2">
      <c r="B1899" s="21">
        <f t="shared" si="29"/>
        <v>222</v>
      </c>
      <c r="C1899" t="s">
        <v>320</v>
      </c>
      <c r="D1899" t="s">
        <v>13</v>
      </c>
      <c r="E1899" t="s">
        <v>2751</v>
      </c>
      <c r="F1899" t="s">
        <v>43</v>
      </c>
      <c r="G1899" s="21">
        <v>1</v>
      </c>
      <c r="H1899" s="21">
        <v>0</v>
      </c>
      <c r="I1899" t="s">
        <v>323</v>
      </c>
      <c r="J1899" s="20" t="s">
        <v>2542</v>
      </c>
      <c r="K1899" t="s">
        <v>2542</v>
      </c>
    </row>
    <row r="1900" spans="2:11" x14ac:dyDescent="0.2">
      <c r="B1900" s="21">
        <f t="shared" si="29"/>
        <v>221</v>
      </c>
      <c r="C1900" t="s">
        <v>321</v>
      </c>
      <c r="D1900" t="s">
        <v>13</v>
      </c>
      <c r="E1900" t="s">
        <v>2751</v>
      </c>
      <c r="F1900" t="s">
        <v>43</v>
      </c>
      <c r="G1900" s="21">
        <v>1</v>
      </c>
      <c r="H1900" s="21">
        <v>0</v>
      </c>
      <c r="I1900" t="s">
        <v>323</v>
      </c>
      <c r="J1900" s="20" t="s">
        <v>2542</v>
      </c>
      <c r="K1900" t="s">
        <v>2541</v>
      </c>
    </row>
    <row r="1901" spans="2:11" x14ac:dyDescent="0.2">
      <c r="B1901" s="21">
        <f t="shared" si="29"/>
        <v>220</v>
      </c>
      <c r="C1901" t="s">
        <v>322</v>
      </c>
      <c r="D1901" t="s">
        <v>13</v>
      </c>
      <c r="E1901" t="s">
        <v>2751</v>
      </c>
      <c r="F1901" t="s">
        <v>8</v>
      </c>
      <c r="G1901" s="21">
        <v>1</v>
      </c>
      <c r="H1901" s="21">
        <v>0</v>
      </c>
      <c r="I1901" t="s">
        <v>325</v>
      </c>
      <c r="J1901" s="20" t="s">
        <v>2542</v>
      </c>
      <c r="K1901" t="s">
        <v>2541</v>
      </c>
    </row>
    <row r="1902" spans="2:11" x14ac:dyDescent="0.2">
      <c r="B1902" s="21">
        <f t="shared" si="29"/>
        <v>219</v>
      </c>
      <c r="C1902" t="s">
        <v>123</v>
      </c>
      <c r="D1902" t="s">
        <v>13</v>
      </c>
      <c r="E1902" t="s">
        <v>2751</v>
      </c>
      <c r="F1902" t="s">
        <v>27</v>
      </c>
      <c r="G1902" s="21">
        <v>1</v>
      </c>
      <c r="H1902" s="21">
        <v>0</v>
      </c>
      <c r="I1902" t="s">
        <v>324</v>
      </c>
      <c r="J1902" s="20" t="s">
        <v>2542</v>
      </c>
      <c r="K1902" t="s">
        <v>2542</v>
      </c>
    </row>
    <row r="1903" spans="2:11" x14ac:dyDescent="0.2">
      <c r="B1903" s="21">
        <f t="shared" si="29"/>
        <v>218</v>
      </c>
      <c r="C1903" t="s">
        <v>277</v>
      </c>
      <c r="D1903" t="s">
        <v>13</v>
      </c>
      <c r="E1903" t="s">
        <v>2751</v>
      </c>
      <c r="F1903" t="s">
        <v>52</v>
      </c>
      <c r="G1903" s="21">
        <v>1</v>
      </c>
      <c r="H1903" s="21">
        <v>0</v>
      </c>
      <c r="J1903" s="20" t="s">
        <v>2542</v>
      </c>
      <c r="K1903" t="s">
        <v>2541</v>
      </c>
    </row>
    <row r="1904" spans="2:11" x14ac:dyDescent="0.2">
      <c r="B1904" s="21">
        <f t="shared" si="29"/>
        <v>217</v>
      </c>
      <c r="C1904" t="s">
        <v>235</v>
      </c>
      <c r="D1904" t="s">
        <v>13</v>
      </c>
      <c r="E1904" t="s">
        <v>2751</v>
      </c>
      <c r="F1904" t="s">
        <v>21</v>
      </c>
      <c r="G1904" s="21">
        <v>1</v>
      </c>
      <c r="H1904" s="21">
        <v>0</v>
      </c>
      <c r="I1904" t="s">
        <v>318</v>
      </c>
      <c r="J1904" s="20" t="s">
        <v>2543</v>
      </c>
      <c r="K1904" t="s">
        <v>2730</v>
      </c>
    </row>
    <row r="1905" spans="2:11" x14ac:dyDescent="0.2">
      <c r="B1905" s="21">
        <f t="shared" si="29"/>
        <v>216</v>
      </c>
      <c r="C1905" t="s">
        <v>316</v>
      </c>
      <c r="D1905" t="s">
        <v>13</v>
      </c>
      <c r="E1905" t="s">
        <v>2751</v>
      </c>
      <c r="F1905" t="s">
        <v>27</v>
      </c>
      <c r="G1905" s="21">
        <v>1</v>
      </c>
      <c r="H1905" s="21">
        <v>0</v>
      </c>
      <c r="I1905" t="s">
        <v>319</v>
      </c>
      <c r="J1905" s="20" t="s">
        <v>2543</v>
      </c>
      <c r="K1905" t="s">
        <v>2543</v>
      </c>
    </row>
    <row r="1906" spans="2:11" x14ac:dyDescent="0.2">
      <c r="B1906" s="21">
        <f t="shared" si="29"/>
        <v>215</v>
      </c>
      <c r="C1906" t="s">
        <v>235</v>
      </c>
      <c r="D1906" t="s">
        <v>13</v>
      </c>
      <c r="E1906" t="s">
        <v>2751</v>
      </c>
      <c r="F1906" t="s">
        <v>27</v>
      </c>
      <c r="G1906" s="21">
        <v>1</v>
      </c>
      <c r="H1906" s="21">
        <v>0</v>
      </c>
      <c r="J1906" s="20" t="s">
        <v>2543</v>
      </c>
      <c r="K1906" t="s">
        <v>2730</v>
      </c>
    </row>
    <row r="1907" spans="2:11" x14ac:dyDescent="0.2">
      <c r="B1907" s="21">
        <f t="shared" si="29"/>
        <v>214</v>
      </c>
      <c r="C1907" t="s">
        <v>235</v>
      </c>
      <c r="D1907" t="s">
        <v>13</v>
      </c>
      <c r="E1907" t="s">
        <v>2751</v>
      </c>
      <c r="F1907" t="s">
        <v>49</v>
      </c>
      <c r="G1907" s="21">
        <v>1</v>
      </c>
      <c r="H1907" s="21">
        <v>0</v>
      </c>
      <c r="I1907" t="s">
        <v>317</v>
      </c>
      <c r="J1907" s="20" t="s">
        <v>2544</v>
      </c>
      <c r="K1907" t="s">
        <v>2544</v>
      </c>
    </row>
    <row r="1908" spans="2:11" x14ac:dyDescent="0.2">
      <c r="B1908" s="21">
        <f t="shared" si="29"/>
        <v>213</v>
      </c>
      <c r="C1908" t="s">
        <v>316</v>
      </c>
      <c r="D1908" t="s">
        <v>13</v>
      </c>
      <c r="E1908" t="s">
        <v>2751</v>
      </c>
      <c r="F1908" t="s">
        <v>43</v>
      </c>
      <c r="G1908" s="21">
        <v>1</v>
      </c>
      <c r="H1908" s="21">
        <v>0</v>
      </c>
      <c r="J1908" s="20" t="s">
        <v>2544</v>
      </c>
      <c r="K1908" t="s">
        <v>2543</v>
      </c>
    </row>
    <row r="1909" spans="2:11" x14ac:dyDescent="0.2">
      <c r="B1909" s="21">
        <f t="shared" si="29"/>
        <v>212</v>
      </c>
      <c r="C1909" t="s">
        <v>316</v>
      </c>
      <c r="D1909" t="s">
        <v>13</v>
      </c>
      <c r="E1909" t="s">
        <v>2751</v>
      </c>
      <c r="F1909" t="s">
        <v>27</v>
      </c>
      <c r="G1909" s="21">
        <v>1</v>
      </c>
      <c r="H1909" s="21">
        <v>0</v>
      </c>
      <c r="J1909" s="20" t="s">
        <v>2544</v>
      </c>
      <c r="K1909" t="s">
        <v>2543</v>
      </c>
    </row>
    <row r="1910" spans="2:11" x14ac:dyDescent="0.2">
      <c r="B1910" s="21">
        <f t="shared" si="29"/>
        <v>211</v>
      </c>
      <c r="C1910" t="s">
        <v>65</v>
      </c>
      <c r="D1910" t="s">
        <v>14</v>
      </c>
      <c r="E1910" t="s">
        <v>2751</v>
      </c>
      <c r="F1910" t="s">
        <v>115</v>
      </c>
      <c r="G1910" s="21">
        <v>1</v>
      </c>
      <c r="H1910" s="21">
        <v>0</v>
      </c>
      <c r="I1910" t="s">
        <v>315</v>
      </c>
      <c r="J1910" s="20" t="s">
        <v>2545</v>
      </c>
      <c r="K1910" t="s">
        <v>2731</v>
      </c>
    </row>
    <row r="1911" spans="2:11" x14ac:dyDescent="0.2">
      <c r="B1911" s="21">
        <f t="shared" si="29"/>
        <v>210</v>
      </c>
      <c r="C1911" t="s">
        <v>65</v>
      </c>
      <c r="D1911" t="s">
        <v>14</v>
      </c>
      <c r="E1911" t="s">
        <v>2751</v>
      </c>
      <c r="F1911" t="s">
        <v>115</v>
      </c>
      <c r="G1911" s="21">
        <v>1</v>
      </c>
      <c r="H1911" s="21">
        <v>0</v>
      </c>
      <c r="I1911" t="s">
        <v>279</v>
      </c>
      <c r="J1911" s="20" t="s">
        <v>2546</v>
      </c>
      <c r="K1911" t="s">
        <v>2732</v>
      </c>
    </row>
    <row r="1912" spans="2:11" x14ac:dyDescent="0.2">
      <c r="B1912" s="21">
        <f t="shared" si="29"/>
        <v>209</v>
      </c>
      <c r="C1912" t="s">
        <v>302</v>
      </c>
      <c r="D1912" t="s">
        <v>13</v>
      </c>
      <c r="E1912" t="s">
        <v>2751</v>
      </c>
      <c r="F1912" t="s">
        <v>27</v>
      </c>
      <c r="G1912" s="21">
        <v>1</v>
      </c>
      <c r="H1912" s="21">
        <v>0</v>
      </c>
      <c r="I1912" t="s">
        <v>314</v>
      </c>
      <c r="J1912" s="20" t="s">
        <v>2547</v>
      </c>
      <c r="K1912" t="s">
        <v>2547</v>
      </c>
    </row>
    <row r="1913" spans="2:11" x14ac:dyDescent="0.2">
      <c r="B1913" s="21">
        <f t="shared" si="29"/>
        <v>208</v>
      </c>
      <c r="C1913" t="s">
        <v>302</v>
      </c>
      <c r="D1913" t="s">
        <v>13</v>
      </c>
      <c r="E1913" t="s">
        <v>2751</v>
      </c>
      <c r="F1913" t="s">
        <v>27</v>
      </c>
      <c r="G1913" s="21">
        <v>1</v>
      </c>
      <c r="H1913" s="21">
        <v>0</v>
      </c>
      <c r="I1913" t="s">
        <v>313</v>
      </c>
      <c r="J1913" s="20" t="s">
        <v>2548</v>
      </c>
      <c r="K1913" t="s">
        <v>2547</v>
      </c>
    </row>
    <row r="1914" spans="2:11" x14ac:dyDescent="0.2">
      <c r="B1914" s="21">
        <f t="shared" si="29"/>
        <v>207</v>
      </c>
      <c r="C1914" t="s">
        <v>148</v>
      </c>
      <c r="D1914" t="s">
        <v>13</v>
      </c>
      <c r="E1914" t="s">
        <v>2751</v>
      </c>
      <c r="F1914" t="s">
        <v>27</v>
      </c>
      <c r="G1914" s="21">
        <v>1</v>
      </c>
      <c r="H1914" s="21">
        <v>0</v>
      </c>
      <c r="I1914" t="s">
        <v>311</v>
      </c>
      <c r="J1914" s="20" t="s">
        <v>2549</v>
      </c>
      <c r="K1914" t="s">
        <v>2549</v>
      </c>
    </row>
    <row r="1915" spans="2:11" x14ac:dyDescent="0.2">
      <c r="B1915" s="21">
        <f t="shared" si="29"/>
        <v>206</v>
      </c>
      <c r="C1915" t="s">
        <v>235</v>
      </c>
      <c r="D1915" t="s">
        <v>13</v>
      </c>
      <c r="E1915" t="s">
        <v>2751</v>
      </c>
      <c r="F1915" t="s">
        <v>27</v>
      </c>
      <c r="G1915" s="21">
        <v>1</v>
      </c>
      <c r="H1915" s="21">
        <v>0</v>
      </c>
      <c r="I1915" t="s">
        <v>312</v>
      </c>
      <c r="J1915" s="20" t="s">
        <v>2550</v>
      </c>
      <c r="K1915" t="s">
        <v>2550</v>
      </c>
    </row>
    <row r="1916" spans="2:11" x14ac:dyDescent="0.2">
      <c r="B1916" s="21">
        <f t="shared" si="29"/>
        <v>205</v>
      </c>
      <c r="C1916" t="s">
        <v>309</v>
      </c>
      <c r="D1916" t="s">
        <v>13</v>
      </c>
      <c r="E1916" t="s">
        <v>2751</v>
      </c>
      <c r="F1916" t="s">
        <v>27</v>
      </c>
      <c r="G1916" s="21">
        <v>1</v>
      </c>
      <c r="H1916" s="21">
        <v>0</v>
      </c>
      <c r="I1916" t="s">
        <v>310</v>
      </c>
      <c r="J1916" s="20" t="s">
        <v>2551</v>
      </c>
      <c r="K1916" t="s">
        <v>2551</v>
      </c>
    </row>
    <row r="1917" spans="2:11" x14ac:dyDescent="0.2">
      <c r="B1917" s="21">
        <f t="shared" si="29"/>
        <v>204</v>
      </c>
      <c r="C1917" t="s">
        <v>297</v>
      </c>
      <c r="D1917" t="s">
        <v>13</v>
      </c>
      <c r="E1917" t="s">
        <v>2751</v>
      </c>
      <c r="F1917" t="s">
        <v>27</v>
      </c>
      <c r="G1917" s="21">
        <v>1</v>
      </c>
      <c r="H1917" s="21">
        <v>0</v>
      </c>
      <c r="I1917" t="s">
        <v>308</v>
      </c>
      <c r="J1917" s="20" t="s">
        <v>2552</v>
      </c>
      <c r="K1917" t="s">
        <v>2552</v>
      </c>
    </row>
    <row r="1918" spans="2:11" x14ac:dyDescent="0.2">
      <c r="B1918" s="21">
        <f t="shared" si="29"/>
        <v>203</v>
      </c>
      <c r="C1918" t="s">
        <v>149</v>
      </c>
      <c r="D1918" t="s">
        <v>13</v>
      </c>
      <c r="E1918" t="s">
        <v>2751</v>
      </c>
      <c r="F1918" t="s">
        <v>27</v>
      </c>
      <c r="G1918" s="21">
        <v>1</v>
      </c>
      <c r="H1918" s="21">
        <v>0</v>
      </c>
      <c r="I1918" t="s">
        <v>307</v>
      </c>
      <c r="J1918" s="20" t="s">
        <v>2552</v>
      </c>
      <c r="K1918" t="s">
        <v>2552</v>
      </c>
    </row>
    <row r="1919" spans="2:11" x14ac:dyDescent="0.2">
      <c r="B1919" s="21">
        <f t="shared" si="29"/>
        <v>202</v>
      </c>
      <c r="C1919" t="s">
        <v>287</v>
      </c>
      <c r="D1919" t="s">
        <v>13</v>
      </c>
      <c r="E1919" t="s">
        <v>2751</v>
      </c>
      <c r="F1919" t="s">
        <v>27</v>
      </c>
      <c r="G1919" s="21">
        <v>1</v>
      </c>
      <c r="H1919" s="21">
        <v>0</v>
      </c>
      <c r="I1919" t="s">
        <v>298</v>
      </c>
      <c r="J1919" s="20" t="s">
        <v>2553</v>
      </c>
      <c r="K1919" t="s">
        <v>2553</v>
      </c>
    </row>
    <row r="1920" spans="2:11" x14ac:dyDescent="0.2">
      <c r="B1920" s="21">
        <f t="shared" si="29"/>
        <v>201</v>
      </c>
      <c r="C1920" t="s">
        <v>297</v>
      </c>
      <c r="D1920" t="s">
        <v>13</v>
      </c>
      <c r="E1920" t="s">
        <v>2751</v>
      </c>
      <c r="F1920" t="s">
        <v>27</v>
      </c>
      <c r="G1920" s="21">
        <v>1</v>
      </c>
      <c r="H1920" s="21">
        <v>0</v>
      </c>
      <c r="I1920" t="s">
        <v>299</v>
      </c>
      <c r="J1920" s="20" t="s">
        <v>2553</v>
      </c>
      <c r="K1920" t="s">
        <v>2552</v>
      </c>
    </row>
    <row r="1921" spans="2:11" x14ac:dyDescent="0.2">
      <c r="B1921" s="21">
        <f t="shared" si="29"/>
        <v>200</v>
      </c>
      <c r="C1921" t="s">
        <v>277</v>
      </c>
      <c r="D1921" t="s">
        <v>13</v>
      </c>
      <c r="E1921" t="s">
        <v>2751</v>
      </c>
      <c r="F1921" t="s">
        <v>27</v>
      </c>
      <c r="G1921" s="21">
        <v>1</v>
      </c>
      <c r="H1921" s="21">
        <v>0</v>
      </c>
      <c r="I1921" t="s">
        <v>300</v>
      </c>
      <c r="J1921" s="20" t="s">
        <v>2553</v>
      </c>
      <c r="K1921" t="s">
        <v>2553</v>
      </c>
    </row>
    <row r="1922" spans="2:11" x14ac:dyDescent="0.2">
      <c r="B1922" s="21">
        <f t="shared" si="29"/>
        <v>199</v>
      </c>
      <c r="C1922" t="s">
        <v>63</v>
      </c>
      <c r="D1922" t="s">
        <v>13</v>
      </c>
      <c r="E1922" t="s">
        <v>2751</v>
      </c>
      <c r="F1922" t="s">
        <v>8</v>
      </c>
      <c r="G1922" s="21">
        <v>1</v>
      </c>
      <c r="H1922" s="21">
        <v>0</v>
      </c>
      <c r="I1922" t="s">
        <v>301</v>
      </c>
      <c r="J1922" s="20" t="s">
        <v>2553</v>
      </c>
      <c r="K1922" t="s">
        <v>2553</v>
      </c>
    </row>
    <row r="1923" spans="2:11" x14ac:dyDescent="0.2">
      <c r="B1923" s="21">
        <f t="shared" si="29"/>
        <v>198</v>
      </c>
      <c r="C1923" t="s">
        <v>287</v>
      </c>
      <c r="D1923" t="s">
        <v>13</v>
      </c>
      <c r="E1923" t="s">
        <v>2751</v>
      </c>
      <c r="F1923" t="s">
        <v>27</v>
      </c>
      <c r="G1923" s="21">
        <v>1</v>
      </c>
      <c r="H1923" s="21">
        <v>0</v>
      </c>
      <c r="I1923" t="s">
        <v>306</v>
      </c>
      <c r="J1923" s="20" t="s">
        <v>2554</v>
      </c>
      <c r="K1923" t="s">
        <v>2733</v>
      </c>
    </row>
    <row r="1924" spans="2:11" x14ac:dyDescent="0.2">
      <c r="B1924" s="21">
        <f t="shared" si="29"/>
        <v>197</v>
      </c>
      <c r="C1924" t="s">
        <v>297</v>
      </c>
      <c r="D1924" t="s">
        <v>13</v>
      </c>
      <c r="E1924" t="s">
        <v>2751</v>
      </c>
      <c r="F1924" t="s">
        <v>4</v>
      </c>
      <c r="G1924" s="21">
        <v>1</v>
      </c>
      <c r="H1924" s="21">
        <v>0</v>
      </c>
      <c r="I1924" t="s">
        <v>305</v>
      </c>
      <c r="J1924" s="20" t="s">
        <v>2554</v>
      </c>
      <c r="K1924" t="s">
        <v>2554</v>
      </c>
    </row>
    <row r="1925" spans="2:11" x14ac:dyDescent="0.2">
      <c r="B1925" s="21">
        <f t="shared" ref="B1925:B1988" si="30">B1924-1</f>
        <v>196</v>
      </c>
      <c r="C1925" t="s">
        <v>277</v>
      </c>
      <c r="D1925" t="s">
        <v>13</v>
      </c>
      <c r="E1925" t="s">
        <v>2751</v>
      </c>
      <c r="F1925" t="s">
        <v>4</v>
      </c>
      <c r="G1925" s="21">
        <v>1</v>
      </c>
      <c r="H1925" s="21">
        <v>0</v>
      </c>
      <c r="I1925" t="s">
        <v>304</v>
      </c>
      <c r="J1925" s="20" t="s">
        <v>2554</v>
      </c>
      <c r="K1925" t="s">
        <v>2554</v>
      </c>
    </row>
    <row r="1926" spans="2:11" x14ac:dyDescent="0.2">
      <c r="B1926" s="21">
        <f t="shared" si="30"/>
        <v>195</v>
      </c>
      <c r="C1926" t="s">
        <v>277</v>
      </c>
      <c r="D1926" t="s">
        <v>13</v>
      </c>
      <c r="E1926" t="s">
        <v>2751</v>
      </c>
      <c r="F1926" t="s">
        <v>27</v>
      </c>
      <c r="G1926" s="21">
        <v>1</v>
      </c>
      <c r="H1926" s="21">
        <v>0</v>
      </c>
      <c r="J1926" s="20" t="s">
        <v>2554</v>
      </c>
      <c r="K1926" t="s">
        <v>2733</v>
      </c>
    </row>
    <row r="1927" spans="2:11" x14ac:dyDescent="0.2">
      <c r="B1927" s="21">
        <f t="shared" si="30"/>
        <v>194</v>
      </c>
      <c r="C1927" t="s">
        <v>302</v>
      </c>
      <c r="D1927" t="s">
        <v>13</v>
      </c>
      <c r="E1927" t="s">
        <v>2751</v>
      </c>
      <c r="F1927" t="s">
        <v>27</v>
      </c>
      <c r="G1927" s="21">
        <v>1</v>
      </c>
      <c r="H1927" s="21">
        <v>0</v>
      </c>
      <c r="I1927" t="s">
        <v>303</v>
      </c>
      <c r="J1927" s="20" t="s">
        <v>2554</v>
      </c>
      <c r="K1927" t="s">
        <v>2733</v>
      </c>
    </row>
    <row r="1928" spans="2:11" x14ac:dyDescent="0.2">
      <c r="B1928" s="21">
        <f t="shared" si="30"/>
        <v>193</v>
      </c>
      <c r="C1928" t="s">
        <v>287</v>
      </c>
      <c r="D1928" t="s">
        <v>13</v>
      </c>
      <c r="E1928" t="s">
        <v>2751</v>
      </c>
      <c r="F1928" t="s">
        <v>27</v>
      </c>
      <c r="G1928" s="21">
        <v>1</v>
      </c>
      <c r="H1928" s="21">
        <v>0</v>
      </c>
      <c r="I1928" t="s">
        <v>296</v>
      </c>
      <c r="J1928" s="20" t="s">
        <v>2555</v>
      </c>
      <c r="K1928" t="s">
        <v>2555</v>
      </c>
    </row>
    <row r="1929" spans="2:11" x14ac:dyDescent="0.2">
      <c r="B1929" s="21">
        <f t="shared" si="30"/>
        <v>192</v>
      </c>
      <c r="C1929" t="s">
        <v>123</v>
      </c>
      <c r="D1929" t="s">
        <v>13</v>
      </c>
      <c r="E1929" t="s">
        <v>2751</v>
      </c>
      <c r="F1929" t="s">
        <v>21</v>
      </c>
      <c r="G1929" s="21">
        <v>1</v>
      </c>
      <c r="H1929" s="21">
        <v>0</v>
      </c>
      <c r="I1929" t="s">
        <v>295</v>
      </c>
      <c r="J1929" s="20" t="s">
        <v>2555</v>
      </c>
      <c r="K1929" t="s">
        <v>2555</v>
      </c>
    </row>
    <row r="1930" spans="2:11" x14ac:dyDescent="0.2">
      <c r="B1930" s="21">
        <f t="shared" si="30"/>
        <v>191</v>
      </c>
      <c r="C1930" t="s">
        <v>287</v>
      </c>
      <c r="D1930" t="s">
        <v>13</v>
      </c>
      <c r="E1930" t="s">
        <v>2751</v>
      </c>
      <c r="F1930" t="s">
        <v>27</v>
      </c>
      <c r="G1930" s="21">
        <v>1</v>
      </c>
      <c r="H1930" s="21">
        <v>0</v>
      </c>
      <c r="I1930" t="s">
        <v>292</v>
      </c>
      <c r="J1930" s="20" t="s">
        <v>2556</v>
      </c>
      <c r="K1930" t="s">
        <v>2555</v>
      </c>
    </row>
    <row r="1931" spans="2:11" x14ac:dyDescent="0.2">
      <c r="B1931" s="21">
        <f t="shared" si="30"/>
        <v>190</v>
      </c>
      <c r="C1931" t="s">
        <v>149</v>
      </c>
      <c r="D1931" t="s">
        <v>13</v>
      </c>
      <c r="E1931" t="s">
        <v>2751</v>
      </c>
      <c r="F1931" t="s">
        <v>27</v>
      </c>
      <c r="G1931" s="21">
        <v>1</v>
      </c>
      <c r="H1931" s="21">
        <v>0</v>
      </c>
      <c r="I1931" t="s">
        <v>294</v>
      </c>
      <c r="J1931" s="20" t="s">
        <v>2556</v>
      </c>
      <c r="K1931" t="s">
        <v>2555</v>
      </c>
    </row>
    <row r="1932" spans="2:11" x14ac:dyDescent="0.2">
      <c r="B1932" s="21">
        <f t="shared" si="30"/>
        <v>189</v>
      </c>
      <c r="C1932" t="s">
        <v>163</v>
      </c>
      <c r="D1932" t="s">
        <v>13</v>
      </c>
      <c r="E1932" t="s">
        <v>2751</v>
      </c>
      <c r="F1932" t="s">
        <v>21</v>
      </c>
      <c r="G1932" s="21">
        <v>1</v>
      </c>
      <c r="H1932" s="21">
        <v>0</v>
      </c>
      <c r="I1932" t="s">
        <v>293</v>
      </c>
      <c r="J1932" s="20" t="s">
        <v>2557</v>
      </c>
      <c r="K1932" t="s">
        <v>2557</v>
      </c>
    </row>
    <row r="1933" spans="2:11" x14ac:dyDescent="0.2">
      <c r="B1933" s="21">
        <f t="shared" si="30"/>
        <v>188</v>
      </c>
      <c r="C1933" t="s">
        <v>287</v>
      </c>
      <c r="D1933" t="s">
        <v>13</v>
      </c>
      <c r="E1933" t="s">
        <v>2751</v>
      </c>
      <c r="F1933" t="s">
        <v>27</v>
      </c>
      <c r="G1933" s="21">
        <v>1</v>
      </c>
      <c r="H1933" s="21">
        <v>0</v>
      </c>
      <c r="I1933" t="s">
        <v>292</v>
      </c>
      <c r="J1933" s="20" t="s">
        <v>2557</v>
      </c>
      <c r="K1933" t="s">
        <v>2734</v>
      </c>
    </row>
    <row r="1934" spans="2:11" x14ac:dyDescent="0.2">
      <c r="B1934" s="21">
        <f t="shared" si="30"/>
        <v>187</v>
      </c>
      <c r="C1934" t="s">
        <v>287</v>
      </c>
      <c r="D1934" t="s">
        <v>13</v>
      </c>
      <c r="E1934" t="s">
        <v>2751</v>
      </c>
      <c r="F1934" t="s">
        <v>27</v>
      </c>
      <c r="G1934" s="21">
        <v>1</v>
      </c>
      <c r="H1934" s="21">
        <v>0</v>
      </c>
      <c r="I1934" t="s">
        <v>289</v>
      </c>
      <c r="J1934" s="20" t="s">
        <v>2558</v>
      </c>
      <c r="K1934" t="s">
        <v>2557</v>
      </c>
    </row>
    <row r="1935" spans="2:11" x14ac:dyDescent="0.2">
      <c r="B1935" s="21">
        <f t="shared" si="30"/>
        <v>186</v>
      </c>
      <c r="C1935" t="s">
        <v>277</v>
      </c>
      <c r="D1935" t="s">
        <v>13</v>
      </c>
      <c r="E1935" t="s">
        <v>2751</v>
      </c>
      <c r="F1935" t="s">
        <v>27</v>
      </c>
      <c r="G1935" s="21">
        <v>1</v>
      </c>
      <c r="H1935" s="21">
        <v>0</v>
      </c>
      <c r="I1935" t="s">
        <v>291</v>
      </c>
      <c r="J1935" s="20" t="s">
        <v>2559</v>
      </c>
      <c r="K1935" t="s">
        <v>2559</v>
      </c>
    </row>
    <row r="1936" spans="2:11" x14ac:dyDescent="0.2">
      <c r="B1936" s="21">
        <f t="shared" si="30"/>
        <v>185</v>
      </c>
      <c r="C1936" t="s">
        <v>287</v>
      </c>
      <c r="D1936" t="s">
        <v>13</v>
      </c>
      <c r="E1936" t="s">
        <v>2751</v>
      </c>
      <c r="F1936" t="s">
        <v>27</v>
      </c>
      <c r="G1936" s="21">
        <v>1</v>
      </c>
      <c r="H1936" s="21">
        <v>0</v>
      </c>
      <c r="I1936" t="s">
        <v>289</v>
      </c>
      <c r="J1936" s="20" t="s">
        <v>2559</v>
      </c>
      <c r="K1936" t="s">
        <v>2735</v>
      </c>
    </row>
    <row r="1937" spans="2:11" x14ac:dyDescent="0.2">
      <c r="B1937" s="21">
        <f t="shared" si="30"/>
        <v>184</v>
      </c>
      <c r="C1937" t="s">
        <v>277</v>
      </c>
      <c r="D1937" t="s">
        <v>13</v>
      </c>
      <c r="E1937" t="s">
        <v>2751</v>
      </c>
      <c r="F1937" t="s">
        <v>27</v>
      </c>
      <c r="G1937" s="21">
        <v>1</v>
      </c>
      <c r="H1937" s="21">
        <v>0</v>
      </c>
      <c r="I1937" t="s">
        <v>290</v>
      </c>
      <c r="J1937" s="20" t="s">
        <v>2560</v>
      </c>
      <c r="K1937" t="s">
        <v>2560</v>
      </c>
    </row>
    <row r="1938" spans="2:11" x14ac:dyDescent="0.2">
      <c r="B1938" s="21">
        <f t="shared" si="30"/>
        <v>183</v>
      </c>
      <c r="C1938" t="s">
        <v>287</v>
      </c>
      <c r="D1938" t="s">
        <v>13</v>
      </c>
      <c r="E1938" t="s">
        <v>2751</v>
      </c>
      <c r="F1938" t="s">
        <v>4</v>
      </c>
      <c r="G1938" s="21">
        <v>1</v>
      </c>
      <c r="H1938" s="21">
        <v>0</v>
      </c>
      <c r="I1938" t="s">
        <v>288</v>
      </c>
      <c r="J1938" s="20" t="s">
        <v>2560</v>
      </c>
      <c r="K1938" t="s">
        <v>2560</v>
      </c>
    </row>
    <row r="1939" spans="2:11" x14ac:dyDescent="0.2">
      <c r="B1939" s="21">
        <f t="shared" si="30"/>
        <v>182</v>
      </c>
      <c r="C1939" t="s">
        <v>287</v>
      </c>
      <c r="D1939" t="s">
        <v>13</v>
      </c>
      <c r="E1939" t="s">
        <v>2751</v>
      </c>
      <c r="F1939" t="s">
        <v>27</v>
      </c>
      <c r="G1939" s="21">
        <v>1</v>
      </c>
      <c r="H1939" s="21">
        <v>0</v>
      </c>
      <c r="I1939" t="s">
        <v>289</v>
      </c>
      <c r="J1939" s="20" t="s">
        <v>2560</v>
      </c>
      <c r="K1939" t="s">
        <v>2559</v>
      </c>
    </row>
    <row r="1940" spans="2:11" x14ac:dyDescent="0.2">
      <c r="B1940" s="21">
        <f t="shared" si="30"/>
        <v>181</v>
      </c>
      <c r="C1940" t="s">
        <v>65</v>
      </c>
      <c r="D1940" t="s">
        <v>14</v>
      </c>
      <c r="E1940" t="s">
        <v>2751</v>
      </c>
      <c r="F1940" t="s">
        <v>115</v>
      </c>
      <c r="G1940" s="21">
        <v>1</v>
      </c>
      <c r="H1940" s="21">
        <v>0</v>
      </c>
      <c r="I1940" t="s">
        <v>279</v>
      </c>
      <c r="J1940" s="20" t="s">
        <v>2561</v>
      </c>
      <c r="K1940" t="s">
        <v>2736</v>
      </c>
    </row>
    <row r="1941" spans="2:11" x14ac:dyDescent="0.2">
      <c r="B1941" s="21">
        <f t="shared" si="30"/>
        <v>180</v>
      </c>
      <c r="C1941" t="s">
        <v>263</v>
      </c>
      <c r="D1941" t="s">
        <v>14</v>
      </c>
      <c r="E1941" t="s">
        <v>2751</v>
      </c>
      <c r="F1941" t="s">
        <v>34</v>
      </c>
      <c r="G1941" s="21">
        <v>1</v>
      </c>
      <c r="H1941" s="21">
        <v>0</v>
      </c>
      <c r="I1941" t="s">
        <v>286</v>
      </c>
      <c r="J1941" s="20" t="s">
        <v>2561</v>
      </c>
      <c r="K1941" t="s">
        <v>2736</v>
      </c>
    </row>
    <row r="1942" spans="2:11" x14ac:dyDescent="0.2">
      <c r="B1942" s="21">
        <f t="shared" si="30"/>
        <v>179</v>
      </c>
      <c r="C1942" t="s">
        <v>65</v>
      </c>
      <c r="D1942" t="s">
        <v>14</v>
      </c>
      <c r="E1942" t="s">
        <v>2751</v>
      </c>
      <c r="F1942" t="s">
        <v>115</v>
      </c>
      <c r="G1942" s="21">
        <v>1</v>
      </c>
      <c r="H1942" s="21">
        <v>0</v>
      </c>
      <c r="I1942" t="s">
        <v>279</v>
      </c>
      <c r="J1942" s="20" t="s">
        <v>2562</v>
      </c>
      <c r="K1942" t="s">
        <v>2561</v>
      </c>
    </row>
    <row r="1943" spans="2:11" x14ac:dyDescent="0.2">
      <c r="B1943" s="21">
        <f t="shared" si="30"/>
        <v>178</v>
      </c>
      <c r="C1943" t="s">
        <v>263</v>
      </c>
      <c r="D1943" t="s">
        <v>14</v>
      </c>
      <c r="E1943" t="s">
        <v>2751</v>
      </c>
      <c r="F1943" t="s">
        <v>34</v>
      </c>
      <c r="G1943" s="21">
        <v>1</v>
      </c>
      <c r="H1943" s="21">
        <v>0</v>
      </c>
      <c r="I1943" t="s">
        <v>286</v>
      </c>
      <c r="J1943" s="20" t="s">
        <v>2562</v>
      </c>
      <c r="K1943" t="s">
        <v>2561</v>
      </c>
    </row>
    <row r="1944" spans="2:11" x14ac:dyDescent="0.2">
      <c r="B1944" s="21">
        <f t="shared" si="30"/>
        <v>177</v>
      </c>
      <c r="C1944" t="s">
        <v>277</v>
      </c>
      <c r="D1944" t="s">
        <v>13</v>
      </c>
      <c r="E1944" t="s">
        <v>2751</v>
      </c>
      <c r="F1944" t="s">
        <v>27</v>
      </c>
      <c r="G1944" s="21">
        <v>1</v>
      </c>
      <c r="H1944" s="21">
        <v>0</v>
      </c>
      <c r="I1944" t="s">
        <v>284</v>
      </c>
      <c r="J1944" s="20" t="s">
        <v>2563</v>
      </c>
      <c r="K1944" t="s">
        <v>2563</v>
      </c>
    </row>
    <row r="1945" spans="2:11" x14ac:dyDescent="0.2">
      <c r="B1945" s="21">
        <f t="shared" si="30"/>
        <v>176</v>
      </c>
      <c r="C1945" t="s">
        <v>148</v>
      </c>
      <c r="D1945" t="s">
        <v>13</v>
      </c>
      <c r="E1945" t="s">
        <v>2751</v>
      </c>
      <c r="F1945" t="s">
        <v>27</v>
      </c>
      <c r="G1945" s="21">
        <v>1</v>
      </c>
      <c r="H1945" s="21">
        <v>0</v>
      </c>
      <c r="I1945" t="s">
        <v>285</v>
      </c>
      <c r="J1945" s="20" t="s">
        <v>2563</v>
      </c>
      <c r="K1945" t="s">
        <v>2563</v>
      </c>
    </row>
    <row r="1946" spans="2:11" x14ac:dyDescent="0.2">
      <c r="B1946" s="21">
        <f t="shared" si="30"/>
        <v>175</v>
      </c>
      <c r="C1946" t="s">
        <v>65</v>
      </c>
      <c r="D1946" t="s">
        <v>14</v>
      </c>
      <c r="E1946" t="s">
        <v>2751</v>
      </c>
      <c r="F1946" t="s">
        <v>115</v>
      </c>
      <c r="G1946" s="21">
        <v>1</v>
      </c>
      <c r="H1946" s="21">
        <v>0</v>
      </c>
      <c r="I1946" t="s">
        <v>279</v>
      </c>
      <c r="J1946" s="20" t="s">
        <v>2563</v>
      </c>
      <c r="K1946" t="s">
        <v>2562</v>
      </c>
    </row>
    <row r="1947" spans="2:11" x14ac:dyDescent="0.2">
      <c r="B1947" s="21">
        <f t="shared" si="30"/>
        <v>174</v>
      </c>
      <c r="C1947" t="s">
        <v>277</v>
      </c>
      <c r="D1947" t="s">
        <v>13</v>
      </c>
      <c r="E1947" t="s">
        <v>2751</v>
      </c>
      <c r="F1947" t="s">
        <v>4</v>
      </c>
      <c r="G1947" s="21">
        <v>1</v>
      </c>
      <c r="H1947" s="21">
        <v>0</v>
      </c>
      <c r="I1947" t="s">
        <v>137</v>
      </c>
      <c r="J1947" s="20" t="s">
        <v>2564</v>
      </c>
      <c r="K1947" t="s">
        <v>2564</v>
      </c>
    </row>
    <row r="1948" spans="2:11" x14ac:dyDescent="0.2">
      <c r="B1948" s="21">
        <f t="shared" si="30"/>
        <v>173</v>
      </c>
      <c r="C1948" t="s">
        <v>277</v>
      </c>
      <c r="D1948" t="s">
        <v>13</v>
      </c>
      <c r="E1948" t="s">
        <v>2751</v>
      </c>
      <c r="F1948" t="s">
        <v>43</v>
      </c>
      <c r="G1948" s="21">
        <v>1</v>
      </c>
      <c r="H1948" s="21">
        <v>0</v>
      </c>
      <c r="I1948" t="s">
        <v>280</v>
      </c>
      <c r="J1948" s="20" t="s">
        <v>2564</v>
      </c>
      <c r="K1948" t="s">
        <v>2737</v>
      </c>
    </row>
    <row r="1949" spans="2:11" x14ac:dyDescent="0.2">
      <c r="B1949" s="21">
        <f t="shared" si="30"/>
        <v>172</v>
      </c>
      <c r="C1949" t="s">
        <v>65</v>
      </c>
      <c r="D1949" t="s">
        <v>14</v>
      </c>
      <c r="E1949" t="s">
        <v>2751</v>
      </c>
      <c r="F1949" t="s">
        <v>115</v>
      </c>
      <c r="G1949" s="21">
        <v>1</v>
      </c>
      <c r="H1949" s="21">
        <v>0</v>
      </c>
      <c r="I1949" t="s">
        <v>279</v>
      </c>
      <c r="J1949" s="20" t="s">
        <v>2564</v>
      </c>
      <c r="K1949" t="s">
        <v>2737</v>
      </c>
    </row>
    <row r="1950" spans="2:11" x14ac:dyDescent="0.2">
      <c r="B1950" s="21">
        <f t="shared" si="30"/>
        <v>171</v>
      </c>
      <c r="C1950" t="s">
        <v>277</v>
      </c>
      <c r="D1950" t="s">
        <v>13</v>
      </c>
      <c r="E1950" t="s">
        <v>2751</v>
      </c>
      <c r="F1950" t="s">
        <v>43</v>
      </c>
      <c r="G1950" s="21">
        <v>1</v>
      </c>
      <c r="H1950" s="21">
        <v>0</v>
      </c>
      <c r="I1950" t="s">
        <v>281</v>
      </c>
      <c r="J1950" s="20" t="s">
        <v>2565</v>
      </c>
      <c r="K1950" t="s">
        <v>2564</v>
      </c>
    </row>
    <row r="1951" spans="2:11" x14ac:dyDescent="0.2">
      <c r="B1951" s="21">
        <f t="shared" si="30"/>
        <v>170</v>
      </c>
      <c r="C1951" t="s">
        <v>65</v>
      </c>
      <c r="D1951" t="s">
        <v>14</v>
      </c>
      <c r="E1951" t="s">
        <v>2751</v>
      </c>
      <c r="F1951" t="s">
        <v>115</v>
      </c>
      <c r="G1951" s="21">
        <v>1</v>
      </c>
      <c r="H1951" s="21">
        <v>0</v>
      </c>
      <c r="I1951" t="s">
        <v>279</v>
      </c>
      <c r="J1951" s="20" t="s">
        <v>2565</v>
      </c>
      <c r="K1951" t="s">
        <v>2564</v>
      </c>
    </row>
    <row r="1952" spans="2:11" x14ac:dyDescent="0.2">
      <c r="B1952" s="21">
        <f t="shared" si="30"/>
        <v>169</v>
      </c>
      <c r="C1952" t="s">
        <v>38</v>
      </c>
      <c r="D1952" t="s">
        <v>13</v>
      </c>
      <c r="E1952" t="s">
        <v>2751</v>
      </c>
      <c r="F1952" t="s">
        <v>4</v>
      </c>
      <c r="G1952" s="21">
        <v>1</v>
      </c>
      <c r="H1952" s="21">
        <v>0</v>
      </c>
      <c r="I1952" t="s">
        <v>282</v>
      </c>
      <c r="J1952" s="20" t="s">
        <v>2565</v>
      </c>
      <c r="K1952" t="s">
        <v>2565</v>
      </c>
    </row>
    <row r="1953" spans="2:11" x14ac:dyDescent="0.2">
      <c r="B1953" s="21">
        <f t="shared" si="30"/>
        <v>168</v>
      </c>
      <c r="C1953" t="s">
        <v>65</v>
      </c>
      <c r="D1953" t="s">
        <v>14</v>
      </c>
      <c r="E1953" t="s">
        <v>2751</v>
      </c>
      <c r="F1953" t="s">
        <v>115</v>
      </c>
      <c r="G1953" s="21">
        <v>1</v>
      </c>
      <c r="H1953" s="21">
        <v>0</v>
      </c>
      <c r="I1953" t="s">
        <v>283</v>
      </c>
      <c r="J1953" s="20" t="s">
        <v>2565</v>
      </c>
      <c r="K1953" t="s">
        <v>2565</v>
      </c>
    </row>
    <row r="1954" spans="2:11" x14ac:dyDescent="0.2">
      <c r="B1954" s="21">
        <f t="shared" si="30"/>
        <v>167</v>
      </c>
      <c r="C1954" t="s">
        <v>277</v>
      </c>
      <c r="D1954" t="s">
        <v>13</v>
      </c>
      <c r="E1954" t="s">
        <v>2751</v>
      </c>
      <c r="F1954" t="s">
        <v>4</v>
      </c>
      <c r="G1954" s="21">
        <v>1</v>
      </c>
      <c r="H1954" s="21">
        <v>0</v>
      </c>
      <c r="I1954" t="s">
        <v>278</v>
      </c>
      <c r="J1954" s="20" t="s">
        <v>2566</v>
      </c>
      <c r="K1954" t="s">
        <v>2566</v>
      </c>
    </row>
    <row r="1955" spans="2:11" x14ac:dyDescent="0.2">
      <c r="B1955" s="21">
        <f t="shared" si="30"/>
        <v>166</v>
      </c>
      <c r="C1955" t="s">
        <v>65</v>
      </c>
      <c r="D1955" t="s">
        <v>14</v>
      </c>
      <c r="E1955" t="s">
        <v>2751</v>
      </c>
      <c r="F1955" t="s">
        <v>115</v>
      </c>
      <c r="G1955" s="21">
        <v>1</v>
      </c>
      <c r="H1955" s="21">
        <v>0</v>
      </c>
      <c r="I1955" t="s">
        <v>279</v>
      </c>
      <c r="J1955" s="20" t="s">
        <v>2566</v>
      </c>
      <c r="K1955" t="s">
        <v>2738</v>
      </c>
    </row>
    <row r="1956" spans="2:11" x14ac:dyDescent="0.2">
      <c r="B1956" s="21">
        <f t="shared" si="30"/>
        <v>165</v>
      </c>
      <c r="C1956" t="s">
        <v>271</v>
      </c>
      <c r="D1956" t="s">
        <v>13</v>
      </c>
      <c r="E1956" t="s">
        <v>2751</v>
      </c>
      <c r="F1956" t="s">
        <v>43</v>
      </c>
      <c r="G1956" s="21">
        <v>1</v>
      </c>
      <c r="H1956" s="21">
        <v>0</v>
      </c>
      <c r="I1956" t="s">
        <v>273</v>
      </c>
      <c r="J1956" s="20" t="s">
        <v>2567</v>
      </c>
      <c r="K1956" t="s">
        <v>2739</v>
      </c>
    </row>
    <row r="1957" spans="2:11" x14ac:dyDescent="0.2">
      <c r="B1957" s="21">
        <f t="shared" si="30"/>
        <v>164</v>
      </c>
      <c r="C1957" t="s">
        <v>38</v>
      </c>
      <c r="D1957" t="s">
        <v>13</v>
      </c>
      <c r="E1957" t="s">
        <v>2751</v>
      </c>
      <c r="F1957" t="s">
        <v>64</v>
      </c>
      <c r="G1957" s="21">
        <v>1</v>
      </c>
      <c r="H1957" s="21">
        <v>0</v>
      </c>
      <c r="I1957" t="s">
        <v>274</v>
      </c>
      <c r="J1957" s="20" t="s">
        <v>2567</v>
      </c>
      <c r="K1957" t="s">
        <v>2739</v>
      </c>
    </row>
    <row r="1958" spans="2:11" x14ac:dyDescent="0.2">
      <c r="B1958" s="21">
        <f t="shared" si="30"/>
        <v>163</v>
      </c>
      <c r="C1958" t="s">
        <v>270</v>
      </c>
      <c r="D1958" t="s">
        <v>13</v>
      </c>
      <c r="E1958" t="s">
        <v>2751</v>
      </c>
      <c r="F1958" t="s">
        <v>27</v>
      </c>
      <c r="G1958" s="21">
        <v>1</v>
      </c>
      <c r="H1958" s="21">
        <v>0</v>
      </c>
      <c r="I1958" t="s">
        <v>272</v>
      </c>
      <c r="J1958" s="20" t="s">
        <v>2568</v>
      </c>
      <c r="K1958" t="s">
        <v>2568</v>
      </c>
    </row>
    <row r="1959" spans="2:11" x14ac:dyDescent="0.2">
      <c r="B1959" s="21">
        <f t="shared" si="30"/>
        <v>162</v>
      </c>
      <c r="C1959" t="s">
        <v>271</v>
      </c>
      <c r="D1959" t="s">
        <v>13</v>
      </c>
      <c r="E1959" t="s">
        <v>2751</v>
      </c>
      <c r="F1959" t="s">
        <v>43</v>
      </c>
      <c r="G1959" s="21">
        <v>1</v>
      </c>
      <c r="H1959" s="21">
        <v>0</v>
      </c>
      <c r="I1959" t="s">
        <v>273</v>
      </c>
      <c r="J1959" s="20" t="s">
        <v>2568</v>
      </c>
      <c r="K1959" t="s">
        <v>2567</v>
      </c>
    </row>
    <row r="1960" spans="2:11" x14ac:dyDescent="0.2">
      <c r="B1960" s="21">
        <f t="shared" si="30"/>
        <v>161</v>
      </c>
      <c r="C1960" t="s">
        <v>38</v>
      </c>
      <c r="D1960" t="s">
        <v>13</v>
      </c>
      <c r="E1960" t="s">
        <v>2751</v>
      </c>
      <c r="F1960" t="s">
        <v>64</v>
      </c>
      <c r="G1960" s="21">
        <v>1</v>
      </c>
      <c r="H1960" s="21">
        <v>0</v>
      </c>
      <c r="I1960" t="s">
        <v>274</v>
      </c>
      <c r="J1960" s="20" t="s">
        <v>2568</v>
      </c>
      <c r="K1960" t="s">
        <v>2567</v>
      </c>
    </row>
    <row r="1961" spans="2:11" x14ac:dyDescent="0.2">
      <c r="B1961" s="21">
        <f t="shared" si="30"/>
        <v>160</v>
      </c>
      <c r="C1961" t="s">
        <v>270</v>
      </c>
      <c r="D1961" t="s">
        <v>13</v>
      </c>
      <c r="E1961" t="s">
        <v>2751</v>
      </c>
      <c r="F1961" t="s">
        <v>27</v>
      </c>
      <c r="G1961" s="21">
        <v>1</v>
      </c>
      <c r="H1961" s="21">
        <v>0</v>
      </c>
      <c r="I1961" t="s">
        <v>275</v>
      </c>
      <c r="J1961" s="20" t="s">
        <v>2569</v>
      </c>
      <c r="K1961" t="s">
        <v>2568</v>
      </c>
    </row>
    <row r="1962" spans="2:11" x14ac:dyDescent="0.2">
      <c r="B1962" s="21">
        <f t="shared" si="30"/>
        <v>159</v>
      </c>
      <c r="C1962" t="s">
        <v>271</v>
      </c>
      <c r="D1962" t="s">
        <v>13</v>
      </c>
      <c r="E1962" t="s">
        <v>2751</v>
      </c>
      <c r="F1962" t="s">
        <v>43</v>
      </c>
      <c r="G1962" s="21">
        <v>1</v>
      </c>
      <c r="H1962" s="21">
        <v>0</v>
      </c>
      <c r="I1962" t="s">
        <v>276</v>
      </c>
      <c r="J1962" s="20" t="s">
        <v>2569</v>
      </c>
      <c r="K1962" t="s">
        <v>2568</v>
      </c>
    </row>
    <row r="1963" spans="2:11" x14ac:dyDescent="0.2">
      <c r="B1963" s="21">
        <f t="shared" si="30"/>
        <v>158</v>
      </c>
      <c r="C1963" t="s">
        <v>38</v>
      </c>
      <c r="D1963" t="s">
        <v>13</v>
      </c>
      <c r="E1963" t="s">
        <v>2751</v>
      </c>
      <c r="F1963" t="s">
        <v>64</v>
      </c>
      <c r="G1963" s="21">
        <v>1</v>
      </c>
      <c r="H1963" s="21">
        <v>0</v>
      </c>
      <c r="I1963" t="s">
        <v>274</v>
      </c>
      <c r="J1963" s="20" t="s">
        <v>2569</v>
      </c>
      <c r="K1963" t="s">
        <v>2568</v>
      </c>
    </row>
    <row r="1964" spans="2:11" x14ac:dyDescent="0.2">
      <c r="B1964" s="21">
        <f t="shared" si="30"/>
        <v>157</v>
      </c>
      <c r="C1964" t="s">
        <v>123</v>
      </c>
      <c r="D1964" t="s">
        <v>13</v>
      </c>
      <c r="E1964" t="s">
        <v>2751</v>
      </c>
      <c r="F1964" t="s">
        <v>21</v>
      </c>
      <c r="G1964" s="21">
        <v>1</v>
      </c>
      <c r="H1964" s="21">
        <v>0</v>
      </c>
      <c r="I1964" t="s">
        <v>268</v>
      </c>
      <c r="J1964" s="20" t="s">
        <v>2570</v>
      </c>
      <c r="K1964" t="s">
        <v>2570</v>
      </c>
    </row>
    <row r="1965" spans="2:11" x14ac:dyDescent="0.2">
      <c r="B1965" s="21">
        <f t="shared" si="30"/>
        <v>156</v>
      </c>
      <c r="C1965" t="s">
        <v>151</v>
      </c>
      <c r="D1965" t="s">
        <v>13</v>
      </c>
      <c r="E1965" t="s">
        <v>2751</v>
      </c>
      <c r="F1965" t="s">
        <v>27</v>
      </c>
      <c r="G1965" s="21">
        <v>1</v>
      </c>
      <c r="H1965" s="21">
        <v>0</v>
      </c>
      <c r="I1965" t="s">
        <v>267</v>
      </c>
      <c r="J1965" s="20" t="s">
        <v>2570</v>
      </c>
      <c r="K1965" t="s">
        <v>2570</v>
      </c>
    </row>
    <row r="1966" spans="2:11" x14ac:dyDescent="0.2">
      <c r="B1966" s="21">
        <f t="shared" si="30"/>
        <v>155</v>
      </c>
      <c r="C1966" t="s">
        <v>123</v>
      </c>
      <c r="D1966" t="s">
        <v>13</v>
      </c>
      <c r="E1966" t="s">
        <v>2751</v>
      </c>
      <c r="F1966" t="s">
        <v>27</v>
      </c>
      <c r="G1966" s="21">
        <v>1</v>
      </c>
      <c r="H1966" s="21">
        <v>0</v>
      </c>
      <c r="I1966" t="s">
        <v>269</v>
      </c>
      <c r="J1966" s="20" t="s">
        <v>2570</v>
      </c>
      <c r="K1966" t="s">
        <v>2570</v>
      </c>
    </row>
    <row r="1967" spans="2:11" x14ac:dyDescent="0.2">
      <c r="B1967" s="21">
        <f t="shared" si="30"/>
        <v>154</v>
      </c>
      <c r="C1967" t="s">
        <v>263</v>
      </c>
      <c r="D1967" t="s">
        <v>14</v>
      </c>
      <c r="E1967" t="s">
        <v>2751</v>
      </c>
      <c r="F1967" t="s">
        <v>27</v>
      </c>
      <c r="G1967" s="21">
        <v>1</v>
      </c>
      <c r="H1967" s="21">
        <v>0</v>
      </c>
      <c r="I1967" t="s">
        <v>264</v>
      </c>
      <c r="J1967" s="20" t="s">
        <v>2571</v>
      </c>
      <c r="K1967" t="s">
        <v>2571</v>
      </c>
    </row>
    <row r="1968" spans="2:11" x14ac:dyDescent="0.2">
      <c r="B1968" s="21">
        <f t="shared" si="30"/>
        <v>153</v>
      </c>
      <c r="C1968" t="s">
        <v>123</v>
      </c>
      <c r="D1968" t="s">
        <v>13</v>
      </c>
      <c r="E1968" t="s">
        <v>2751</v>
      </c>
      <c r="F1968" t="s">
        <v>49</v>
      </c>
      <c r="G1968" s="21">
        <v>1</v>
      </c>
      <c r="H1968" s="21">
        <v>0</v>
      </c>
      <c r="I1968" t="s">
        <v>265</v>
      </c>
      <c r="J1968" s="20" t="s">
        <v>2571</v>
      </c>
      <c r="K1968" t="s">
        <v>2571</v>
      </c>
    </row>
    <row r="1969" spans="2:11" x14ac:dyDescent="0.2">
      <c r="B1969" s="21">
        <f t="shared" si="30"/>
        <v>152</v>
      </c>
      <c r="C1969" t="s">
        <v>151</v>
      </c>
      <c r="D1969" t="s">
        <v>13</v>
      </c>
      <c r="E1969" t="s">
        <v>2751</v>
      </c>
      <c r="F1969" t="s">
        <v>4</v>
      </c>
      <c r="G1969" s="21">
        <v>1</v>
      </c>
      <c r="H1969" s="21">
        <v>0</v>
      </c>
      <c r="I1969" t="s">
        <v>266</v>
      </c>
      <c r="J1969" s="20" t="s">
        <v>2571</v>
      </c>
      <c r="K1969" t="s">
        <v>2571</v>
      </c>
    </row>
    <row r="1970" spans="2:11" x14ac:dyDescent="0.2">
      <c r="B1970" s="21">
        <f t="shared" si="30"/>
        <v>151</v>
      </c>
      <c r="C1970" t="s">
        <v>262</v>
      </c>
      <c r="D1970" t="s">
        <v>18</v>
      </c>
      <c r="E1970" t="s">
        <v>2751</v>
      </c>
      <c r="F1970" t="s">
        <v>43</v>
      </c>
      <c r="G1970" s="21">
        <v>1</v>
      </c>
      <c r="H1970" s="21">
        <v>0</v>
      </c>
      <c r="J1970" s="20" t="s">
        <v>2572</v>
      </c>
      <c r="K1970" t="s">
        <v>2740</v>
      </c>
    </row>
    <row r="1971" spans="2:11" x14ac:dyDescent="0.2">
      <c r="B1971" s="21">
        <f t="shared" si="30"/>
        <v>150</v>
      </c>
      <c r="C1971" t="s">
        <v>63</v>
      </c>
      <c r="D1971" t="s">
        <v>13</v>
      </c>
      <c r="E1971" t="s">
        <v>2751</v>
      </c>
      <c r="F1971" t="s">
        <v>8</v>
      </c>
      <c r="G1971" s="21">
        <v>1</v>
      </c>
      <c r="H1971" s="21">
        <v>0</v>
      </c>
      <c r="I1971" t="s">
        <v>257</v>
      </c>
      <c r="J1971" s="20" t="s">
        <v>2573</v>
      </c>
      <c r="K1971" t="s">
        <v>2573</v>
      </c>
    </row>
    <row r="1972" spans="2:11" x14ac:dyDescent="0.2">
      <c r="B1972" s="21">
        <f t="shared" si="30"/>
        <v>149</v>
      </c>
      <c r="C1972" t="s">
        <v>63</v>
      </c>
      <c r="D1972" t="s">
        <v>13</v>
      </c>
      <c r="E1972" t="s">
        <v>2751</v>
      </c>
      <c r="F1972" t="s">
        <v>8</v>
      </c>
      <c r="G1972" s="21">
        <v>1</v>
      </c>
      <c r="H1972" s="21">
        <v>0</v>
      </c>
      <c r="I1972" t="s">
        <v>257</v>
      </c>
      <c r="J1972" s="20" t="s">
        <v>2574</v>
      </c>
      <c r="K1972" t="s">
        <v>2574</v>
      </c>
    </row>
    <row r="1973" spans="2:11" x14ac:dyDescent="0.2">
      <c r="B1973" s="21">
        <f t="shared" si="30"/>
        <v>148</v>
      </c>
      <c r="C1973" t="s">
        <v>220</v>
      </c>
      <c r="D1973" t="s">
        <v>13</v>
      </c>
      <c r="E1973" t="s">
        <v>2751</v>
      </c>
      <c r="F1973" t="s">
        <v>34</v>
      </c>
      <c r="G1973" s="21">
        <v>1</v>
      </c>
      <c r="H1973" s="21">
        <v>0</v>
      </c>
      <c r="J1973" s="20" t="s">
        <v>2575</v>
      </c>
      <c r="K1973" t="s">
        <v>2741</v>
      </c>
    </row>
    <row r="1974" spans="2:11" x14ac:dyDescent="0.2">
      <c r="B1974" s="21">
        <f t="shared" si="30"/>
        <v>147</v>
      </c>
      <c r="C1974" t="s">
        <v>220</v>
      </c>
      <c r="D1974" t="s">
        <v>13</v>
      </c>
      <c r="E1974" t="s">
        <v>2751</v>
      </c>
      <c r="F1974" t="s">
        <v>34</v>
      </c>
      <c r="G1974" s="21">
        <v>1</v>
      </c>
      <c r="H1974" s="21">
        <v>0</v>
      </c>
      <c r="J1974" s="20" t="s">
        <v>2576</v>
      </c>
      <c r="K1974" t="s">
        <v>2575</v>
      </c>
    </row>
    <row r="1975" spans="2:11" x14ac:dyDescent="0.2">
      <c r="B1975" s="21">
        <f t="shared" si="30"/>
        <v>146</v>
      </c>
      <c r="C1975" t="s">
        <v>220</v>
      </c>
      <c r="D1975" t="s">
        <v>13</v>
      </c>
      <c r="E1975" t="s">
        <v>2751</v>
      </c>
      <c r="F1975" t="s">
        <v>34</v>
      </c>
      <c r="G1975" s="21">
        <v>1</v>
      </c>
      <c r="H1975" s="21">
        <v>0</v>
      </c>
      <c r="J1975" s="20" t="s">
        <v>2577</v>
      </c>
      <c r="K1975" t="s">
        <v>2576</v>
      </c>
    </row>
    <row r="1976" spans="2:11" x14ac:dyDescent="0.2">
      <c r="B1976" s="21">
        <f t="shared" si="30"/>
        <v>145</v>
      </c>
      <c r="C1976" t="s">
        <v>32</v>
      </c>
      <c r="D1976" t="s">
        <v>13</v>
      </c>
      <c r="E1976" t="s">
        <v>2751</v>
      </c>
      <c r="F1976" t="s">
        <v>21</v>
      </c>
      <c r="G1976" s="21">
        <v>1</v>
      </c>
      <c r="H1976" s="21">
        <v>0</v>
      </c>
      <c r="I1976" t="s">
        <v>259</v>
      </c>
      <c r="J1976" s="20" t="s">
        <v>2578</v>
      </c>
      <c r="K1976" t="s">
        <v>2578</v>
      </c>
    </row>
    <row r="1977" spans="2:11" x14ac:dyDescent="0.2">
      <c r="B1977" s="21">
        <f t="shared" si="30"/>
        <v>144</v>
      </c>
      <c r="C1977" t="s">
        <v>220</v>
      </c>
      <c r="D1977" t="s">
        <v>13</v>
      </c>
      <c r="E1977" t="s">
        <v>2751</v>
      </c>
      <c r="F1977" t="s">
        <v>34</v>
      </c>
      <c r="G1977" s="21">
        <v>1</v>
      </c>
      <c r="H1977" s="21">
        <v>0</v>
      </c>
      <c r="J1977" s="20" t="s">
        <v>2578</v>
      </c>
      <c r="K1977" t="s">
        <v>2577</v>
      </c>
    </row>
    <row r="1978" spans="2:11" x14ac:dyDescent="0.2">
      <c r="B1978" s="21">
        <f t="shared" si="30"/>
        <v>143</v>
      </c>
      <c r="C1978" t="s">
        <v>65</v>
      </c>
      <c r="D1978" t="s">
        <v>14</v>
      </c>
      <c r="E1978" t="s">
        <v>2751</v>
      </c>
      <c r="F1978" t="s">
        <v>115</v>
      </c>
      <c r="G1978" s="21">
        <v>1</v>
      </c>
      <c r="H1978" s="21">
        <v>0</v>
      </c>
      <c r="I1978" t="s">
        <v>260</v>
      </c>
      <c r="J1978" s="20" t="s">
        <v>2578</v>
      </c>
      <c r="K1978" t="s">
        <v>2578</v>
      </c>
    </row>
    <row r="1979" spans="2:11" x14ac:dyDescent="0.2">
      <c r="B1979" s="21">
        <f t="shared" si="30"/>
        <v>142</v>
      </c>
      <c r="C1979" t="s">
        <v>65</v>
      </c>
      <c r="D1979" t="s">
        <v>14</v>
      </c>
      <c r="E1979" t="s">
        <v>2751</v>
      </c>
      <c r="F1979" t="s">
        <v>8</v>
      </c>
      <c r="G1979" s="21">
        <v>1</v>
      </c>
      <c r="H1979" s="21">
        <v>0</v>
      </c>
      <c r="I1979" t="s">
        <v>261</v>
      </c>
      <c r="J1979" s="20" t="s">
        <v>2578</v>
      </c>
      <c r="K1979" t="s">
        <v>2578</v>
      </c>
    </row>
    <row r="1980" spans="2:11" x14ac:dyDescent="0.2">
      <c r="B1980" s="21">
        <f t="shared" si="30"/>
        <v>141</v>
      </c>
      <c r="C1980" t="s">
        <v>63</v>
      </c>
      <c r="D1980" t="s">
        <v>13</v>
      </c>
      <c r="E1980" t="s">
        <v>2751</v>
      </c>
      <c r="F1980" t="s">
        <v>8</v>
      </c>
      <c r="G1980" s="21">
        <v>1</v>
      </c>
      <c r="H1980" s="21">
        <v>0</v>
      </c>
      <c r="I1980" t="s">
        <v>257</v>
      </c>
      <c r="J1980" s="20" t="s">
        <v>2579</v>
      </c>
      <c r="K1980" t="s">
        <v>2579</v>
      </c>
    </row>
    <row r="1981" spans="2:11" x14ac:dyDescent="0.2">
      <c r="B1981" s="21">
        <f t="shared" si="30"/>
        <v>140</v>
      </c>
      <c r="C1981" t="s">
        <v>220</v>
      </c>
      <c r="D1981" t="s">
        <v>13</v>
      </c>
      <c r="E1981" t="s">
        <v>2751</v>
      </c>
      <c r="F1981" t="s">
        <v>34</v>
      </c>
      <c r="G1981" s="21">
        <v>1</v>
      </c>
      <c r="H1981" s="21">
        <v>0</v>
      </c>
      <c r="J1981" s="20" t="s">
        <v>2579</v>
      </c>
      <c r="K1981" t="s">
        <v>2578</v>
      </c>
    </row>
    <row r="1982" spans="2:11" x14ac:dyDescent="0.2">
      <c r="B1982" s="21">
        <f t="shared" si="30"/>
        <v>139</v>
      </c>
      <c r="C1982" t="s">
        <v>128</v>
      </c>
      <c r="D1982" t="s">
        <v>15</v>
      </c>
      <c r="E1982" t="s">
        <v>2751</v>
      </c>
      <c r="F1982" t="s">
        <v>8</v>
      </c>
      <c r="G1982" s="21">
        <v>1</v>
      </c>
      <c r="H1982" s="21">
        <v>0</v>
      </c>
      <c r="I1982" t="s">
        <v>258</v>
      </c>
      <c r="J1982" s="20" t="s">
        <v>2579</v>
      </c>
      <c r="K1982" t="s">
        <v>2579</v>
      </c>
    </row>
    <row r="1983" spans="2:11" x14ac:dyDescent="0.2">
      <c r="B1983" s="21">
        <f t="shared" si="30"/>
        <v>138</v>
      </c>
      <c r="C1983" t="s">
        <v>65</v>
      </c>
      <c r="D1983" t="s">
        <v>14</v>
      </c>
      <c r="E1983" t="s">
        <v>2751</v>
      </c>
      <c r="F1983" t="s">
        <v>115</v>
      </c>
      <c r="G1983" s="21">
        <v>1</v>
      </c>
      <c r="H1983" s="21">
        <v>0</v>
      </c>
      <c r="J1983" s="20" t="s">
        <v>2579</v>
      </c>
      <c r="K1983" t="s">
        <v>2578</v>
      </c>
    </row>
    <row r="1984" spans="2:11" x14ac:dyDescent="0.2">
      <c r="B1984" s="21">
        <f t="shared" si="30"/>
        <v>137</v>
      </c>
      <c r="C1984" t="s">
        <v>65</v>
      </c>
      <c r="D1984" t="s">
        <v>14</v>
      </c>
      <c r="E1984" t="s">
        <v>2751</v>
      </c>
      <c r="F1984" t="s">
        <v>8</v>
      </c>
      <c r="G1984" s="21">
        <v>1</v>
      </c>
      <c r="H1984" s="21">
        <v>0</v>
      </c>
      <c r="J1984" s="20" t="s">
        <v>2579</v>
      </c>
      <c r="K1984" t="s">
        <v>2578</v>
      </c>
    </row>
    <row r="1985" spans="2:11" x14ac:dyDescent="0.2">
      <c r="B1985" s="21">
        <f t="shared" si="30"/>
        <v>136</v>
      </c>
      <c r="C1985" t="s">
        <v>65</v>
      </c>
      <c r="D1985" t="s">
        <v>14</v>
      </c>
      <c r="E1985" t="s">
        <v>2751</v>
      </c>
      <c r="F1985" t="s">
        <v>115</v>
      </c>
      <c r="G1985" s="21">
        <v>1</v>
      </c>
      <c r="H1985" s="21">
        <v>0</v>
      </c>
      <c r="J1985" s="20" t="s">
        <v>2580</v>
      </c>
      <c r="K1985" t="s">
        <v>2742</v>
      </c>
    </row>
    <row r="1986" spans="2:11" x14ac:dyDescent="0.2">
      <c r="B1986" s="21">
        <f t="shared" si="30"/>
        <v>135</v>
      </c>
      <c r="C1986" t="s">
        <v>63</v>
      </c>
      <c r="D1986" t="s">
        <v>13</v>
      </c>
      <c r="E1986" t="s">
        <v>2751</v>
      </c>
      <c r="F1986" t="s">
        <v>8</v>
      </c>
      <c r="G1986" s="21">
        <v>1</v>
      </c>
      <c r="H1986" s="21">
        <v>0</v>
      </c>
      <c r="I1986" t="s">
        <v>255</v>
      </c>
      <c r="J1986" s="20" t="s">
        <v>2581</v>
      </c>
      <c r="K1986" t="s">
        <v>2581</v>
      </c>
    </row>
    <row r="1987" spans="2:11" x14ac:dyDescent="0.2">
      <c r="B1987" s="21">
        <f t="shared" si="30"/>
        <v>134</v>
      </c>
      <c r="C1987" t="s">
        <v>32</v>
      </c>
      <c r="D1987" t="s">
        <v>13</v>
      </c>
      <c r="E1987" t="s">
        <v>2751</v>
      </c>
      <c r="F1987" t="s">
        <v>8</v>
      </c>
      <c r="G1987" s="21">
        <v>1</v>
      </c>
      <c r="H1987" s="21">
        <v>0</v>
      </c>
      <c r="I1987" t="s">
        <v>256</v>
      </c>
      <c r="J1987" s="20" t="s">
        <v>2581</v>
      </c>
      <c r="K1987" t="s">
        <v>2581</v>
      </c>
    </row>
    <row r="1988" spans="2:11" x14ac:dyDescent="0.2">
      <c r="B1988" s="21">
        <f t="shared" si="30"/>
        <v>133</v>
      </c>
      <c r="C1988" t="s">
        <v>63</v>
      </c>
      <c r="D1988" t="s">
        <v>13</v>
      </c>
      <c r="E1988" t="s">
        <v>2751</v>
      </c>
      <c r="F1988" t="s">
        <v>27</v>
      </c>
      <c r="G1988" s="21">
        <v>1</v>
      </c>
      <c r="H1988" s="21">
        <v>0</v>
      </c>
      <c r="I1988" t="s">
        <v>252</v>
      </c>
      <c r="J1988" s="20" t="s">
        <v>2582</v>
      </c>
      <c r="K1988" t="s">
        <v>2582</v>
      </c>
    </row>
    <row r="1989" spans="2:11" x14ac:dyDescent="0.2">
      <c r="B1989" s="21">
        <f t="shared" ref="B1989:B2052" si="31">B1988-1</f>
        <v>132</v>
      </c>
      <c r="C1989" t="s">
        <v>253</v>
      </c>
      <c r="D1989" t="s">
        <v>13</v>
      </c>
      <c r="E1989" t="s">
        <v>2751</v>
      </c>
      <c r="F1989" t="s">
        <v>27</v>
      </c>
      <c r="G1989" s="21">
        <v>1</v>
      </c>
      <c r="H1989" s="21">
        <v>0</v>
      </c>
      <c r="I1989" t="s">
        <v>254</v>
      </c>
      <c r="J1989" t="s">
        <v>2582</v>
      </c>
      <c r="K1989" t="s">
        <v>2582</v>
      </c>
    </row>
    <row r="1990" spans="2:11" x14ac:dyDescent="0.2">
      <c r="B1990" s="21">
        <f t="shared" si="31"/>
        <v>131</v>
      </c>
      <c r="C1990" t="s">
        <v>241</v>
      </c>
      <c r="D1990" t="s">
        <v>13</v>
      </c>
      <c r="E1990" t="s">
        <v>2751</v>
      </c>
      <c r="F1990" t="s">
        <v>27</v>
      </c>
      <c r="G1990" s="21">
        <v>1</v>
      </c>
      <c r="H1990" s="21">
        <v>0</v>
      </c>
      <c r="I1990" t="s">
        <v>251</v>
      </c>
      <c r="J1990" t="s">
        <v>2583</v>
      </c>
      <c r="K1990" t="s">
        <v>2583</v>
      </c>
    </row>
    <row r="1991" spans="2:11" x14ac:dyDescent="0.2">
      <c r="B1991" s="21">
        <f t="shared" si="31"/>
        <v>130</v>
      </c>
      <c r="C1991" t="s">
        <v>241</v>
      </c>
      <c r="D1991" t="s">
        <v>13</v>
      </c>
      <c r="E1991" t="s">
        <v>2751</v>
      </c>
      <c r="F1991" t="s">
        <v>27</v>
      </c>
      <c r="G1991" s="21">
        <v>1</v>
      </c>
      <c r="H1991" s="21">
        <v>0</v>
      </c>
      <c r="J1991" t="s">
        <v>2584</v>
      </c>
      <c r="K1991" t="s">
        <v>2583</v>
      </c>
    </row>
    <row r="1992" spans="2:11" x14ac:dyDescent="0.2">
      <c r="B1992" s="21">
        <f t="shared" si="31"/>
        <v>129</v>
      </c>
      <c r="C1992" t="s">
        <v>220</v>
      </c>
      <c r="D1992" t="s">
        <v>13</v>
      </c>
      <c r="E1992" t="s">
        <v>2751</v>
      </c>
      <c r="F1992" t="s">
        <v>8</v>
      </c>
      <c r="G1992" s="21">
        <v>1</v>
      </c>
      <c r="H1992" s="21">
        <v>0</v>
      </c>
      <c r="I1992" t="s">
        <v>250</v>
      </c>
      <c r="J1992" t="s">
        <v>2584</v>
      </c>
      <c r="K1992" t="s">
        <v>2584</v>
      </c>
    </row>
    <row r="1993" spans="2:11" x14ac:dyDescent="0.2">
      <c r="B1993" s="21">
        <f t="shared" si="31"/>
        <v>128</v>
      </c>
      <c r="C1993" t="s">
        <v>241</v>
      </c>
      <c r="D1993" t="s">
        <v>13</v>
      </c>
      <c r="E1993" t="s">
        <v>2751</v>
      </c>
      <c r="F1993" t="s">
        <v>27</v>
      </c>
      <c r="G1993" s="21">
        <v>1</v>
      </c>
      <c r="H1993" s="21">
        <v>0</v>
      </c>
      <c r="J1993" t="s">
        <v>2585</v>
      </c>
      <c r="K1993" t="s">
        <v>2584</v>
      </c>
    </row>
    <row r="1994" spans="2:11" x14ac:dyDescent="0.2">
      <c r="B1994" s="21">
        <f t="shared" si="31"/>
        <v>127</v>
      </c>
      <c r="C1994" t="s">
        <v>241</v>
      </c>
      <c r="D1994" t="s">
        <v>13</v>
      </c>
      <c r="E1994" t="s">
        <v>2751</v>
      </c>
      <c r="F1994" t="s">
        <v>28</v>
      </c>
      <c r="G1994" s="21">
        <v>1</v>
      </c>
      <c r="H1994" s="21">
        <v>0</v>
      </c>
      <c r="I1994" t="s">
        <v>249</v>
      </c>
      <c r="J1994" t="s">
        <v>2585</v>
      </c>
      <c r="K1994" t="s">
        <v>2584</v>
      </c>
    </row>
    <row r="1995" spans="2:11" x14ac:dyDescent="0.2">
      <c r="B1995" s="21">
        <f t="shared" si="31"/>
        <v>126</v>
      </c>
      <c r="C1995" t="s">
        <v>235</v>
      </c>
      <c r="D1995" t="s">
        <v>13</v>
      </c>
      <c r="E1995" t="s">
        <v>2751</v>
      </c>
      <c r="F1995" t="s">
        <v>27</v>
      </c>
      <c r="G1995" s="21">
        <v>1</v>
      </c>
      <c r="H1995" s="21">
        <v>0</v>
      </c>
      <c r="I1995" t="s">
        <v>247</v>
      </c>
      <c r="J1995" t="s">
        <v>2586</v>
      </c>
      <c r="K1995" t="s">
        <v>2586</v>
      </c>
    </row>
    <row r="1996" spans="2:11" x14ac:dyDescent="0.2">
      <c r="B1996" s="21">
        <f t="shared" si="31"/>
        <v>125</v>
      </c>
      <c r="C1996" t="s">
        <v>241</v>
      </c>
      <c r="D1996" t="s">
        <v>13</v>
      </c>
      <c r="E1996" t="s">
        <v>2751</v>
      </c>
      <c r="F1996" t="s">
        <v>27</v>
      </c>
      <c r="G1996" s="21">
        <v>1</v>
      </c>
      <c r="H1996" s="21">
        <v>0</v>
      </c>
      <c r="I1996" t="s">
        <v>248</v>
      </c>
      <c r="J1996" t="s">
        <v>2586</v>
      </c>
      <c r="K1996" t="s">
        <v>2743</v>
      </c>
    </row>
    <row r="1997" spans="2:11" x14ac:dyDescent="0.2">
      <c r="B1997" s="21">
        <f t="shared" si="31"/>
        <v>124</v>
      </c>
      <c r="C1997" t="s">
        <v>235</v>
      </c>
      <c r="D1997" t="s">
        <v>13</v>
      </c>
      <c r="E1997" t="s">
        <v>2751</v>
      </c>
      <c r="F1997" t="s">
        <v>43</v>
      </c>
      <c r="G1997" s="21">
        <v>1</v>
      </c>
      <c r="H1997" s="21">
        <v>0</v>
      </c>
      <c r="J1997" t="s">
        <v>2587</v>
      </c>
      <c r="K1997" t="s">
        <v>2586</v>
      </c>
    </row>
    <row r="1998" spans="2:11" x14ac:dyDescent="0.2">
      <c r="B1998" s="21">
        <f t="shared" si="31"/>
        <v>123</v>
      </c>
      <c r="C1998" t="s">
        <v>241</v>
      </c>
      <c r="D1998" t="s">
        <v>13</v>
      </c>
      <c r="E1998" t="s">
        <v>2751</v>
      </c>
      <c r="F1998" t="s">
        <v>27</v>
      </c>
      <c r="G1998" s="21">
        <v>1</v>
      </c>
      <c r="H1998" s="21">
        <v>0</v>
      </c>
      <c r="I1998" t="s">
        <v>242</v>
      </c>
      <c r="J1998" t="s">
        <v>2587</v>
      </c>
      <c r="K1998" t="s">
        <v>2586</v>
      </c>
    </row>
    <row r="1999" spans="2:11" x14ac:dyDescent="0.2">
      <c r="B1999" s="21">
        <f t="shared" si="31"/>
        <v>122</v>
      </c>
      <c r="C1999" t="s">
        <v>235</v>
      </c>
      <c r="D1999" t="s">
        <v>13</v>
      </c>
      <c r="E1999" t="s">
        <v>2751</v>
      </c>
      <c r="F1999" t="s">
        <v>43</v>
      </c>
      <c r="G1999" s="21">
        <v>1</v>
      </c>
      <c r="H1999" s="21">
        <v>0</v>
      </c>
      <c r="I1999" t="s">
        <v>246</v>
      </c>
      <c r="J1999" t="s">
        <v>2588</v>
      </c>
      <c r="K1999" t="s">
        <v>2587</v>
      </c>
    </row>
    <row r="2000" spans="2:11" x14ac:dyDescent="0.2">
      <c r="B2000" s="21">
        <f t="shared" si="31"/>
        <v>121</v>
      </c>
      <c r="C2000" t="s">
        <v>128</v>
      </c>
      <c r="D2000" t="s">
        <v>15</v>
      </c>
      <c r="E2000" t="s">
        <v>2751</v>
      </c>
      <c r="F2000" t="s">
        <v>8</v>
      </c>
      <c r="G2000" s="21">
        <v>1</v>
      </c>
      <c r="H2000" s="21">
        <v>0</v>
      </c>
      <c r="I2000" t="s">
        <v>243</v>
      </c>
      <c r="J2000" t="s">
        <v>2588</v>
      </c>
      <c r="K2000" t="s">
        <v>2588</v>
      </c>
    </row>
    <row r="2001" spans="2:11" x14ac:dyDescent="0.2">
      <c r="B2001" s="21">
        <f t="shared" si="31"/>
        <v>120</v>
      </c>
      <c r="C2001" t="s">
        <v>235</v>
      </c>
      <c r="D2001" t="s">
        <v>13</v>
      </c>
      <c r="E2001" t="s">
        <v>2751</v>
      </c>
      <c r="F2001" t="s">
        <v>43</v>
      </c>
      <c r="G2001" s="21">
        <v>1</v>
      </c>
      <c r="H2001" s="21">
        <v>0</v>
      </c>
      <c r="J2001" t="s">
        <v>2589</v>
      </c>
      <c r="K2001" t="s">
        <v>2588</v>
      </c>
    </row>
    <row r="2002" spans="2:11" x14ac:dyDescent="0.2">
      <c r="B2002" s="21">
        <f t="shared" si="31"/>
        <v>119</v>
      </c>
      <c r="C2002" t="s">
        <v>65</v>
      </c>
      <c r="D2002" t="s">
        <v>14</v>
      </c>
      <c r="E2002" t="s">
        <v>2751</v>
      </c>
      <c r="F2002" t="s">
        <v>27</v>
      </c>
      <c r="G2002" s="21">
        <v>1</v>
      </c>
      <c r="H2002" s="21">
        <v>0</v>
      </c>
      <c r="I2002" t="s">
        <v>245</v>
      </c>
      <c r="J2002" t="s">
        <v>2589</v>
      </c>
      <c r="K2002" t="s">
        <v>2589</v>
      </c>
    </row>
    <row r="2003" spans="2:11" x14ac:dyDescent="0.2">
      <c r="B2003" s="21">
        <f t="shared" si="31"/>
        <v>118</v>
      </c>
      <c r="C2003" t="s">
        <v>32</v>
      </c>
      <c r="D2003" t="s">
        <v>13</v>
      </c>
      <c r="E2003" t="s">
        <v>2751</v>
      </c>
      <c r="F2003" t="s">
        <v>42</v>
      </c>
      <c r="G2003" s="21">
        <v>1</v>
      </c>
      <c r="H2003" s="21">
        <v>0</v>
      </c>
      <c r="J2003" t="s">
        <v>2589</v>
      </c>
      <c r="K2003" t="s">
        <v>2588</v>
      </c>
    </row>
    <row r="2004" spans="2:11" x14ac:dyDescent="0.2">
      <c r="B2004" s="21">
        <f t="shared" si="31"/>
        <v>117</v>
      </c>
      <c r="C2004" t="s">
        <v>209</v>
      </c>
      <c r="D2004" t="s">
        <v>14</v>
      </c>
      <c r="E2004" t="s">
        <v>2751</v>
      </c>
      <c r="F2004" t="s">
        <v>27</v>
      </c>
      <c r="G2004" s="21">
        <v>1</v>
      </c>
      <c r="H2004" s="21">
        <v>0</v>
      </c>
      <c r="I2004" t="s">
        <v>244</v>
      </c>
      <c r="J2004" t="s">
        <v>2589</v>
      </c>
      <c r="K2004" t="s">
        <v>2589</v>
      </c>
    </row>
    <row r="2005" spans="2:11" x14ac:dyDescent="0.2">
      <c r="B2005" s="21">
        <f t="shared" si="31"/>
        <v>116</v>
      </c>
      <c r="C2005" t="s">
        <v>235</v>
      </c>
      <c r="D2005" t="s">
        <v>13</v>
      </c>
      <c r="E2005" t="s">
        <v>2751</v>
      </c>
      <c r="F2005" t="s">
        <v>43</v>
      </c>
      <c r="G2005" s="21">
        <v>1</v>
      </c>
      <c r="H2005" s="21">
        <v>0</v>
      </c>
      <c r="I2005" t="s">
        <v>240</v>
      </c>
      <c r="J2005" t="s">
        <v>2590</v>
      </c>
      <c r="K2005" t="s">
        <v>2589</v>
      </c>
    </row>
    <row r="2006" spans="2:11" x14ac:dyDescent="0.2">
      <c r="B2006" s="21">
        <f t="shared" si="31"/>
        <v>115</v>
      </c>
      <c r="C2006" t="s">
        <v>65</v>
      </c>
      <c r="D2006" t="s">
        <v>14</v>
      </c>
      <c r="E2006" t="s">
        <v>2751</v>
      </c>
      <c r="F2006" t="s">
        <v>27</v>
      </c>
      <c r="G2006" s="21">
        <v>1</v>
      </c>
      <c r="H2006" s="21">
        <v>0</v>
      </c>
      <c r="J2006" t="s">
        <v>2590</v>
      </c>
      <c r="K2006" t="s">
        <v>2589</v>
      </c>
    </row>
    <row r="2007" spans="2:11" x14ac:dyDescent="0.2">
      <c r="B2007" s="21">
        <f t="shared" si="31"/>
        <v>114</v>
      </c>
      <c r="C2007" t="s">
        <v>32</v>
      </c>
      <c r="D2007" t="s">
        <v>13</v>
      </c>
      <c r="E2007" t="s">
        <v>2751</v>
      </c>
      <c r="F2007" t="s">
        <v>42</v>
      </c>
      <c r="G2007" s="21">
        <v>1</v>
      </c>
      <c r="H2007" s="21">
        <v>0</v>
      </c>
      <c r="J2007" t="s">
        <v>2590</v>
      </c>
      <c r="K2007" t="s">
        <v>2589</v>
      </c>
    </row>
    <row r="2008" spans="2:11" x14ac:dyDescent="0.2">
      <c r="B2008" s="21">
        <f t="shared" si="31"/>
        <v>113</v>
      </c>
      <c r="C2008" t="s">
        <v>241</v>
      </c>
      <c r="D2008" t="s">
        <v>13</v>
      </c>
      <c r="E2008" t="s">
        <v>2751</v>
      </c>
      <c r="F2008" t="s">
        <v>27</v>
      </c>
      <c r="G2008" s="21">
        <v>1</v>
      </c>
      <c r="H2008" s="21">
        <v>0</v>
      </c>
      <c r="I2008" t="s">
        <v>242</v>
      </c>
      <c r="J2008" t="s">
        <v>2590</v>
      </c>
      <c r="K2008" t="s">
        <v>2589</v>
      </c>
    </row>
    <row r="2009" spans="2:11" x14ac:dyDescent="0.2">
      <c r="B2009" s="21">
        <f t="shared" si="31"/>
        <v>112</v>
      </c>
      <c r="C2009" t="s">
        <v>235</v>
      </c>
      <c r="D2009" t="s">
        <v>13</v>
      </c>
      <c r="E2009" t="s">
        <v>2751</v>
      </c>
      <c r="F2009" t="s">
        <v>43</v>
      </c>
      <c r="G2009" s="21">
        <v>1</v>
      </c>
      <c r="H2009" s="21">
        <v>0</v>
      </c>
      <c r="J2009" t="s">
        <v>2591</v>
      </c>
      <c r="K2009" t="s">
        <v>2590</v>
      </c>
    </row>
    <row r="2010" spans="2:11" x14ac:dyDescent="0.2">
      <c r="B2010" s="21">
        <f t="shared" si="31"/>
        <v>111</v>
      </c>
      <c r="C2010" t="s">
        <v>65</v>
      </c>
      <c r="D2010" t="s">
        <v>14</v>
      </c>
      <c r="E2010" t="s">
        <v>2751</v>
      </c>
      <c r="F2010" t="s">
        <v>27</v>
      </c>
      <c r="G2010" s="21">
        <v>1</v>
      </c>
      <c r="H2010" s="21">
        <v>0</v>
      </c>
      <c r="J2010" t="s">
        <v>2591</v>
      </c>
      <c r="K2010" t="s">
        <v>2590</v>
      </c>
    </row>
    <row r="2011" spans="2:11" x14ac:dyDescent="0.2">
      <c r="B2011" s="21">
        <f t="shared" si="31"/>
        <v>110</v>
      </c>
      <c r="C2011" t="s">
        <v>32</v>
      </c>
      <c r="D2011" t="s">
        <v>13</v>
      </c>
      <c r="E2011" t="s">
        <v>2751</v>
      </c>
      <c r="F2011" t="s">
        <v>42</v>
      </c>
      <c r="G2011" s="21">
        <v>1</v>
      </c>
      <c r="H2011" s="21">
        <v>0</v>
      </c>
      <c r="J2011" t="s">
        <v>2591</v>
      </c>
      <c r="K2011" t="s">
        <v>2590</v>
      </c>
    </row>
    <row r="2012" spans="2:11" x14ac:dyDescent="0.2">
      <c r="B2012" s="21">
        <f t="shared" si="31"/>
        <v>109</v>
      </c>
      <c r="C2012" t="s">
        <v>235</v>
      </c>
      <c r="D2012" t="s">
        <v>13</v>
      </c>
      <c r="E2012" t="s">
        <v>2751</v>
      </c>
      <c r="F2012" t="s">
        <v>43</v>
      </c>
      <c r="G2012" s="21">
        <v>1</v>
      </c>
      <c r="H2012" s="21">
        <v>0</v>
      </c>
      <c r="J2012" t="s">
        <v>2592</v>
      </c>
      <c r="K2012" t="s">
        <v>2744</v>
      </c>
    </row>
    <row r="2013" spans="2:11" x14ac:dyDescent="0.2">
      <c r="B2013" s="21">
        <f t="shared" si="31"/>
        <v>108</v>
      </c>
      <c r="C2013" t="s">
        <v>235</v>
      </c>
      <c r="D2013" t="s">
        <v>13</v>
      </c>
      <c r="E2013" t="s">
        <v>2751</v>
      </c>
      <c r="F2013" t="s">
        <v>43</v>
      </c>
      <c r="G2013" s="21">
        <v>1</v>
      </c>
      <c r="H2013" s="21">
        <v>0</v>
      </c>
      <c r="I2013" t="s">
        <v>236</v>
      </c>
      <c r="J2013" t="s">
        <v>2593</v>
      </c>
      <c r="K2013" t="s">
        <v>2592</v>
      </c>
    </row>
    <row r="2014" spans="2:11" x14ac:dyDescent="0.2">
      <c r="B2014" s="21">
        <f t="shared" si="31"/>
        <v>107</v>
      </c>
      <c r="C2014" t="s">
        <v>235</v>
      </c>
      <c r="D2014" t="s">
        <v>13</v>
      </c>
      <c r="E2014" t="s">
        <v>2751</v>
      </c>
      <c r="F2014" t="s">
        <v>43</v>
      </c>
      <c r="G2014" s="21">
        <v>1</v>
      </c>
      <c r="H2014" s="21">
        <v>0</v>
      </c>
      <c r="I2014" t="s">
        <v>238</v>
      </c>
      <c r="J2014" t="s">
        <v>2594</v>
      </c>
      <c r="K2014" t="s">
        <v>2594</v>
      </c>
    </row>
    <row r="2015" spans="2:11" x14ac:dyDescent="0.2">
      <c r="B2015" s="21">
        <f t="shared" si="31"/>
        <v>106</v>
      </c>
      <c r="C2015" t="s">
        <v>235</v>
      </c>
      <c r="D2015" t="s">
        <v>13</v>
      </c>
      <c r="E2015" t="s">
        <v>2751</v>
      </c>
      <c r="F2015" t="s">
        <v>27</v>
      </c>
      <c r="G2015" s="21">
        <v>1</v>
      </c>
      <c r="H2015" s="21">
        <v>0</v>
      </c>
      <c r="I2015" t="s">
        <v>239</v>
      </c>
      <c r="J2015" t="s">
        <v>2594</v>
      </c>
      <c r="K2015" t="s">
        <v>2594</v>
      </c>
    </row>
    <row r="2016" spans="2:11" x14ac:dyDescent="0.2">
      <c r="B2016" s="21">
        <f t="shared" si="31"/>
        <v>105</v>
      </c>
      <c r="C2016" t="s">
        <v>235</v>
      </c>
      <c r="D2016" t="s">
        <v>13</v>
      </c>
      <c r="E2016" t="s">
        <v>2751</v>
      </c>
      <c r="F2016" t="s">
        <v>43</v>
      </c>
      <c r="G2016" s="21">
        <v>1</v>
      </c>
      <c r="H2016" s="21">
        <v>0</v>
      </c>
      <c r="I2016" t="s">
        <v>237</v>
      </c>
      <c r="J2016" t="s">
        <v>2595</v>
      </c>
      <c r="K2016" t="s">
        <v>2594</v>
      </c>
    </row>
    <row r="2017" spans="2:11" x14ac:dyDescent="0.2">
      <c r="B2017" s="21">
        <f t="shared" si="31"/>
        <v>104</v>
      </c>
      <c r="C2017" t="s">
        <v>128</v>
      </c>
      <c r="D2017" t="s">
        <v>15</v>
      </c>
      <c r="E2017" t="s">
        <v>2751</v>
      </c>
      <c r="F2017" t="s">
        <v>21</v>
      </c>
      <c r="G2017" s="21">
        <v>1</v>
      </c>
      <c r="H2017" s="21">
        <v>0</v>
      </c>
      <c r="I2017" t="s">
        <v>234</v>
      </c>
      <c r="J2017" t="s">
        <v>2596</v>
      </c>
      <c r="K2017" t="s">
        <v>2595</v>
      </c>
    </row>
    <row r="2018" spans="2:11" x14ac:dyDescent="0.2">
      <c r="B2018" s="21">
        <f t="shared" si="31"/>
        <v>103</v>
      </c>
      <c r="C2018" t="s">
        <v>128</v>
      </c>
      <c r="D2018" t="s">
        <v>15</v>
      </c>
      <c r="E2018" t="s">
        <v>2751</v>
      </c>
      <c r="F2018" t="s">
        <v>21</v>
      </c>
      <c r="G2018" s="21">
        <v>1</v>
      </c>
      <c r="H2018" s="21">
        <v>0</v>
      </c>
      <c r="J2018" t="s">
        <v>2597</v>
      </c>
      <c r="K2018" t="s">
        <v>2745</v>
      </c>
    </row>
    <row r="2019" spans="2:11" x14ac:dyDescent="0.2">
      <c r="B2019" s="21">
        <f t="shared" si="31"/>
        <v>102</v>
      </c>
      <c r="C2019" t="s">
        <v>128</v>
      </c>
      <c r="D2019" t="s">
        <v>15</v>
      </c>
      <c r="E2019" t="s">
        <v>2751</v>
      </c>
      <c r="F2019" t="s">
        <v>21</v>
      </c>
      <c r="G2019" s="21">
        <v>1</v>
      </c>
      <c r="H2019" s="21">
        <v>0</v>
      </c>
      <c r="I2019" t="s">
        <v>232</v>
      </c>
      <c r="J2019" t="s">
        <v>2598</v>
      </c>
      <c r="K2019" t="s">
        <v>2598</v>
      </c>
    </row>
    <row r="2020" spans="2:11" x14ac:dyDescent="0.2">
      <c r="B2020" s="21">
        <f t="shared" si="31"/>
        <v>101</v>
      </c>
      <c r="C2020" t="s">
        <v>63</v>
      </c>
      <c r="D2020" t="s">
        <v>13</v>
      </c>
      <c r="E2020" t="s">
        <v>2751</v>
      </c>
      <c r="F2020" t="s">
        <v>21</v>
      </c>
      <c r="G2020" s="21">
        <v>1</v>
      </c>
      <c r="H2020" s="21">
        <v>0</v>
      </c>
      <c r="I2020" t="s">
        <v>233</v>
      </c>
      <c r="J2020" t="s">
        <v>2598</v>
      </c>
      <c r="K2020" t="s">
        <v>2598</v>
      </c>
    </row>
    <row r="2021" spans="2:11" x14ac:dyDescent="0.2">
      <c r="B2021" s="21">
        <f t="shared" si="31"/>
        <v>100</v>
      </c>
      <c r="C2021" t="s">
        <v>128</v>
      </c>
      <c r="D2021" t="s">
        <v>15</v>
      </c>
      <c r="E2021" t="s">
        <v>2751</v>
      </c>
      <c r="F2021" t="s">
        <v>49</v>
      </c>
      <c r="G2021" s="21">
        <v>1</v>
      </c>
      <c r="H2021" s="21">
        <v>0</v>
      </c>
      <c r="I2021" t="s">
        <v>231</v>
      </c>
      <c r="J2021" t="s">
        <v>2599</v>
      </c>
      <c r="K2021" t="s">
        <v>2599</v>
      </c>
    </row>
    <row r="2022" spans="2:11" x14ac:dyDescent="0.2">
      <c r="B2022" s="21">
        <f t="shared" si="31"/>
        <v>99</v>
      </c>
      <c r="C2022" t="s">
        <v>128</v>
      </c>
      <c r="D2022" t="s">
        <v>15</v>
      </c>
      <c r="E2022" t="s">
        <v>2751</v>
      </c>
      <c r="F2022" t="s">
        <v>49</v>
      </c>
      <c r="G2022" s="21">
        <v>1</v>
      </c>
      <c r="H2022" s="21">
        <v>0</v>
      </c>
      <c r="I2022" t="s">
        <v>231</v>
      </c>
      <c r="J2022" t="s">
        <v>2600</v>
      </c>
      <c r="K2022" t="s">
        <v>2600</v>
      </c>
    </row>
    <row r="2023" spans="2:11" x14ac:dyDescent="0.2">
      <c r="B2023" s="21">
        <f t="shared" si="31"/>
        <v>98</v>
      </c>
      <c r="C2023" t="s">
        <v>128</v>
      </c>
      <c r="D2023" t="s">
        <v>15</v>
      </c>
      <c r="E2023" t="s">
        <v>2751</v>
      </c>
      <c r="F2023" t="s">
        <v>49</v>
      </c>
      <c r="G2023" s="21">
        <v>1</v>
      </c>
      <c r="H2023" s="21">
        <v>0</v>
      </c>
      <c r="I2023" t="s">
        <v>230</v>
      </c>
      <c r="J2023" t="s">
        <v>2601</v>
      </c>
      <c r="K2023" t="s">
        <v>2601</v>
      </c>
    </row>
    <row r="2024" spans="2:11" x14ac:dyDescent="0.2">
      <c r="B2024" s="21">
        <f t="shared" si="31"/>
        <v>97</v>
      </c>
      <c r="C2024" t="s">
        <v>196</v>
      </c>
      <c r="D2024" t="s">
        <v>13</v>
      </c>
      <c r="E2024" t="s">
        <v>2751</v>
      </c>
      <c r="F2024" t="s">
        <v>43</v>
      </c>
      <c r="G2024" s="21">
        <v>1</v>
      </c>
      <c r="H2024" s="21">
        <v>0</v>
      </c>
      <c r="J2024" t="s">
        <v>2602</v>
      </c>
      <c r="K2024" t="s">
        <v>2601</v>
      </c>
    </row>
    <row r="2025" spans="2:11" x14ac:dyDescent="0.2">
      <c r="B2025" s="21">
        <f t="shared" si="31"/>
        <v>96</v>
      </c>
      <c r="C2025" t="s">
        <v>196</v>
      </c>
      <c r="D2025" t="s">
        <v>13</v>
      </c>
      <c r="E2025" t="s">
        <v>2751</v>
      </c>
      <c r="F2025" t="s">
        <v>43</v>
      </c>
      <c r="G2025" s="21">
        <v>1</v>
      </c>
      <c r="H2025" s="21">
        <v>0</v>
      </c>
      <c r="J2025" t="s">
        <v>2603</v>
      </c>
      <c r="K2025" t="s">
        <v>2746</v>
      </c>
    </row>
    <row r="2026" spans="2:11" x14ac:dyDescent="0.2">
      <c r="B2026" s="21">
        <f t="shared" si="31"/>
        <v>95</v>
      </c>
      <c r="C2026" t="s">
        <v>224</v>
      </c>
      <c r="D2026" t="s">
        <v>13</v>
      </c>
      <c r="E2026" t="s">
        <v>2751</v>
      </c>
      <c r="F2026" t="s">
        <v>27</v>
      </c>
      <c r="G2026" s="21">
        <v>1</v>
      </c>
      <c r="H2026" s="21">
        <v>0</v>
      </c>
      <c r="I2026" t="s">
        <v>228</v>
      </c>
      <c r="J2026" t="s">
        <v>2603</v>
      </c>
      <c r="K2026" t="s">
        <v>2603</v>
      </c>
    </row>
    <row r="2027" spans="2:11" x14ac:dyDescent="0.2">
      <c r="B2027" s="21">
        <f t="shared" si="31"/>
        <v>94</v>
      </c>
      <c r="C2027" t="s">
        <v>146</v>
      </c>
      <c r="D2027" t="s">
        <v>13</v>
      </c>
      <c r="E2027" t="s">
        <v>2751</v>
      </c>
      <c r="F2027" t="s">
        <v>27</v>
      </c>
      <c r="G2027" s="21">
        <v>1</v>
      </c>
      <c r="H2027" s="21">
        <v>0</v>
      </c>
      <c r="I2027" t="s">
        <v>229</v>
      </c>
      <c r="J2027" t="s">
        <v>2603</v>
      </c>
      <c r="K2027" t="s">
        <v>2603</v>
      </c>
    </row>
    <row r="2028" spans="2:11" x14ac:dyDescent="0.2">
      <c r="B2028" s="21">
        <f t="shared" si="31"/>
        <v>93</v>
      </c>
      <c r="C2028" t="s">
        <v>196</v>
      </c>
      <c r="D2028" t="s">
        <v>13</v>
      </c>
      <c r="E2028" t="s">
        <v>2751</v>
      </c>
      <c r="F2028" t="s">
        <v>43</v>
      </c>
      <c r="G2028" s="21">
        <v>1</v>
      </c>
      <c r="H2028" s="21">
        <v>0</v>
      </c>
      <c r="J2028" t="s">
        <v>2604</v>
      </c>
      <c r="K2028" t="s">
        <v>2603</v>
      </c>
    </row>
    <row r="2029" spans="2:11" x14ac:dyDescent="0.2">
      <c r="B2029" s="21">
        <f t="shared" si="31"/>
        <v>92</v>
      </c>
      <c r="C2029" t="s">
        <v>224</v>
      </c>
      <c r="D2029" t="s">
        <v>13</v>
      </c>
      <c r="E2029" t="s">
        <v>2751</v>
      </c>
      <c r="F2029" t="s">
        <v>27</v>
      </c>
      <c r="G2029" s="21">
        <v>1</v>
      </c>
      <c r="H2029" s="21">
        <v>0</v>
      </c>
      <c r="I2029" t="s">
        <v>227</v>
      </c>
      <c r="J2029" t="s">
        <v>2604</v>
      </c>
      <c r="K2029" t="s">
        <v>2604</v>
      </c>
    </row>
    <row r="2030" spans="2:11" x14ac:dyDescent="0.2">
      <c r="B2030" s="21">
        <f t="shared" si="31"/>
        <v>91</v>
      </c>
      <c r="C2030" t="s">
        <v>196</v>
      </c>
      <c r="D2030" t="s">
        <v>13</v>
      </c>
      <c r="E2030" t="s">
        <v>2751</v>
      </c>
      <c r="F2030" t="s">
        <v>43</v>
      </c>
      <c r="G2030" s="21">
        <v>1</v>
      </c>
      <c r="H2030" s="21">
        <v>0</v>
      </c>
      <c r="J2030" t="s">
        <v>2605</v>
      </c>
      <c r="K2030" t="s">
        <v>2604</v>
      </c>
    </row>
    <row r="2031" spans="2:11" x14ac:dyDescent="0.2">
      <c r="B2031" s="21">
        <f t="shared" si="31"/>
        <v>90</v>
      </c>
      <c r="C2031" t="s">
        <v>224</v>
      </c>
      <c r="D2031" t="s">
        <v>13</v>
      </c>
      <c r="E2031" t="s">
        <v>2751</v>
      </c>
      <c r="F2031" t="s">
        <v>27</v>
      </c>
      <c r="G2031" s="21">
        <v>1</v>
      </c>
      <c r="H2031" s="21">
        <v>0</v>
      </c>
      <c r="I2031" t="s">
        <v>226</v>
      </c>
      <c r="J2031" t="s">
        <v>2605</v>
      </c>
      <c r="K2031" t="s">
        <v>2605</v>
      </c>
    </row>
    <row r="2032" spans="2:11" x14ac:dyDescent="0.2">
      <c r="B2032" s="21">
        <f t="shared" si="31"/>
        <v>89</v>
      </c>
      <c r="C2032" t="s">
        <v>196</v>
      </c>
      <c r="D2032" t="s">
        <v>13</v>
      </c>
      <c r="E2032" t="s">
        <v>2751</v>
      </c>
      <c r="F2032" t="s">
        <v>43</v>
      </c>
      <c r="G2032" s="21">
        <v>1</v>
      </c>
      <c r="H2032" s="21">
        <v>0</v>
      </c>
      <c r="J2032" t="s">
        <v>2606</v>
      </c>
      <c r="K2032" t="s">
        <v>2605</v>
      </c>
    </row>
    <row r="2033" spans="2:11" x14ac:dyDescent="0.2">
      <c r="B2033" s="21">
        <f t="shared" si="31"/>
        <v>88</v>
      </c>
      <c r="C2033" t="s">
        <v>220</v>
      </c>
      <c r="D2033" t="s">
        <v>13</v>
      </c>
      <c r="E2033" t="s">
        <v>2751</v>
      </c>
      <c r="F2033" t="s">
        <v>27</v>
      </c>
      <c r="G2033" s="21">
        <v>1</v>
      </c>
      <c r="H2033" s="21">
        <v>0</v>
      </c>
      <c r="I2033" t="s">
        <v>223</v>
      </c>
      <c r="J2033" t="s">
        <v>2606</v>
      </c>
      <c r="K2033" t="s">
        <v>2606</v>
      </c>
    </row>
    <row r="2034" spans="2:11" x14ac:dyDescent="0.2">
      <c r="B2034" s="21">
        <f t="shared" si="31"/>
        <v>87</v>
      </c>
      <c r="C2034" t="s">
        <v>224</v>
      </c>
      <c r="D2034" t="s">
        <v>13</v>
      </c>
      <c r="E2034" t="s">
        <v>2751</v>
      </c>
      <c r="F2034" t="s">
        <v>4</v>
      </c>
      <c r="G2034" s="21">
        <v>1</v>
      </c>
      <c r="H2034" s="21">
        <v>0</v>
      </c>
      <c r="I2034" t="s">
        <v>225</v>
      </c>
      <c r="J2034" t="s">
        <v>2606</v>
      </c>
      <c r="K2034" t="s">
        <v>2606</v>
      </c>
    </row>
    <row r="2035" spans="2:11" x14ac:dyDescent="0.2">
      <c r="B2035" s="21">
        <f t="shared" si="31"/>
        <v>86</v>
      </c>
      <c r="C2035" t="s">
        <v>224</v>
      </c>
      <c r="D2035" t="s">
        <v>13</v>
      </c>
      <c r="E2035" t="s">
        <v>2751</v>
      </c>
      <c r="F2035" t="s">
        <v>27</v>
      </c>
      <c r="G2035" s="21">
        <v>1</v>
      </c>
      <c r="H2035" s="21">
        <v>0</v>
      </c>
      <c r="I2035" t="s">
        <v>225</v>
      </c>
      <c r="J2035" t="s">
        <v>2606</v>
      </c>
      <c r="K2035" t="s">
        <v>2605</v>
      </c>
    </row>
    <row r="2036" spans="2:11" x14ac:dyDescent="0.2">
      <c r="B2036" s="21">
        <f t="shared" si="31"/>
        <v>85</v>
      </c>
      <c r="C2036" t="s">
        <v>196</v>
      </c>
      <c r="D2036" t="s">
        <v>13</v>
      </c>
      <c r="E2036" t="s">
        <v>2751</v>
      </c>
      <c r="F2036" t="s">
        <v>27</v>
      </c>
      <c r="G2036" s="21">
        <v>1</v>
      </c>
      <c r="H2036" s="21">
        <v>0</v>
      </c>
      <c r="I2036" t="s">
        <v>221</v>
      </c>
      <c r="J2036" t="s">
        <v>2607</v>
      </c>
      <c r="K2036" t="s">
        <v>2607</v>
      </c>
    </row>
    <row r="2037" spans="2:11" x14ac:dyDescent="0.2">
      <c r="B2037" s="21">
        <f t="shared" si="31"/>
        <v>84</v>
      </c>
      <c r="C2037" t="s">
        <v>220</v>
      </c>
      <c r="D2037" t="s">
        <v>13</v>
      </c>
      <c r="E2037" t="s">
        <v>2751</v>
      </c>
      <c r="F2037" t="s">
        <v>27</v>
      </c>
      <c r="G2037" s="21">
        <v>1</v>
      </c>
      <c r="H2037" s="21">
        <v>0</v>
      </c>
      <c r="I2037" t="s">
        <v>222</v>
      </c>
      <c r="J2037" t="s">
        <v>2607</v>
      </c>
      <c r="K2037" t="s">
        <v>2607</v>
      </c>
    </row>
    <row r="2038" spans="2:11" x14ac:dyDescent="0.2">
      <c r="B2038" s="21">
        <f t="shared" si="31"/>
        <v>83</v>
      </c>
      <c r="C2038" t="s">
        <v>196</v>
      </c>
      <c r="D2038" t="s">
        <v>13</v>
      </c>
      <c r="E2038" t="s">
        <v>2751</v>
      </c>
      <c r="F2038" t="s">
        <v>27</v>
      </c>
      <c r="G2038" s="21">
        <v>1</v>
      </c>
      <c r="H2038" s="21">
        <v>0</v>
      </c>
      <c r="J2038" t="s">
        <v>2608</v>
      </c>
      <c r="K2038" t="s">
        <v>2607</v>
      </c>
    </row>
    <row r="2039" spans="2:11" x14ac:dyDescent="0.2">
      <c r="B2039" s="21">
        <f t="shared" si="31"/>
        <v>82</v>
      </c>
      <c r="C2039" t="s">
        <v>216</v>
      </c>
      <c r="D2039" t="s">
        <v>13</v>
      </c>
      <c r="E2039" t="s">
        <v>2751</v>
      </c>
      <c r="F2039" t="s">
        <v>27</v>
      </c>
      <c r="G2039" s="21">
        <v>1</v>
      </c>
      <c r="H2039" s="21">
        <v>0</v>
      </c>
      <c r="I2039" t="s">
        <v>219</v>
      </c>
      <c r="J2039" t="s">
        <v>2609</v>
      </c>
      <c r="K2039" t="s">
        <v>2609</v>
      </c>
    </row>
    <row r="2040" spans="2:11" x14ac:dyDescent="0.2">
      <c r="B2040" s="21">
        <f t="shared" si="31"/>
        <v>81</v>
      </c>
      <c r="C2040" t="s">
        <v>216</v>
      </c>
      <c r="D2040" t="s">
        <v>13</v>
      </c>
      <c r="E2040" t="s">
        <v>2751</v>
      </c>
      <c r="F2040" t="s">
        <v>27</v>
      </c>
      <c r="G2040" s="21">
        <v>1</v>
      </c>
      <c r="H2040" s="21">
        <v>0</v>
      </c>
      <c r="I2040" t="s">
        <v>218</v>
      </c>
      <c r="J2040" t="s">
        <v>2610</v>
      </c>
      <c r="K2040" t="s">
        <v>2610</v>
      </c>
    </row>
    <row r="2041" spans="2:11" x14ac:dyDescent="0.2">
      <c r="B2041" s="21">
        <f t="shared" si="31"/>
        <v>80</v>
      </c>
      <c r="C2041" t="s">
        <v>209</v>
      </c>
      <c r="D2041" t="s">
        <v>14</v>
      </c>
      <c r="E2041" t="s">
        <v>2751</v>
      </c>
      <c r="F2041" t="s">
        <v>8</v>
      </c>
      <c r="G2041" s="21">
        <v>1</v>
      </c>
      <c r="H2041" s="21">
        <v>0</v>
      </c>
      <c r="I2041" t="s">
        <v>215</v>
      </c>
      <c r="J2041" t="s">
        <v>2611</v>
      </c>
      <c r="K2041" t="s">
        <v>2610</v>
      </c>
    </row>
    <row r="2042" spans="2:11" x14ac:dyDescent="0.2">
      <c r="B2042" s="21">
        <f t="shared" si="31"/>
        <v>79</v>
      </c>
      <c r="C2042" t="s">
        <v>216</v>
      </c>
      <c r="D2042" t="s">
        <v>13</v>
      </c>
      <c r="E2042" t="s">
        <v>2751</v>
      </c>
      <c r="F2042" t="s">
        <v>8</v>
      </c>
      <c r="G2042" s="21">
        <v>1</v>
      </c>
      <c r="H2042" s="21">
        <v>0</v>
      </c>
      <c r="I2042" t="s">
        <v>217</v>
      </c>
      <c r="J2042" t="s">
        <v>2611</v>
      </c>
      <c r="K2042" t="s">
        <v>2610</v>
      </c>
    </row>
    <row r="2043" spans="2:11" x14ac:dyDescent="0.2">
      <c r="B2043" s="21">
        <f t="shared" si="31"/>
        <v>78</v>
      </c>
      <c r="C2043" t="s">
        <v>208</v>
      </c>
      <c r="D2043" t="s">
        <v>13</v>
      </c>
      <c r="E2043" t="s">
        <v>2751</v>
      </c>
      <c r="F2043" t="s">
        <v>64</v>
      </c>
      <c r="G2043" s="21">
        <v>1</v>
      </c>
      <c r="H2043" s="21">
        <v>0</v>
      </c>
      <c r="I2043" t="s">
        <v>212</v>
      </c>
      <c r="J2043" t="s">
        <v>2612</v>
      </c>
      <c r="K2043" t="s">
        <v>2612</v>
      </c>
    </row>
    <row r="2044" spans="2:11" x14ac:dyDescent="0.2">
      <c r="B2044" s="21">
        <f t="shared" si="31"/>
        <v>77</v>
      </c>
      <c r="C2044" t="s">
        <v>209</v>
      </c>
      <c r="D2044" t="s">
        <v>14</v>
      </c>
      <c r="E2044" t="s">
        <v>2751</v>
      </c>
      <c r="F2044" t="s">
        <v>8</v>
      </c>
      <c r="G2044" s="21">
        <v>1</v>
      </c>
      <c r="H2044" s="21">
        <v>0</v>
      </c>
      <c r="I2044" t="s">
        <v>213</v>
      </c>
      <c r="J2044" t="s">
        <v>2612</v>
      </c>
      <c r="K2044" t="s">
        <v>2612</v>
      </c>
    </row>
    <row r="2045" spans="2:11" x14ac:dyDescent="0.2">
      <c r="B2045" s="21">
        <f t="shared" si="31"/>
        <v>76</v>
      </c>
      <c r="C2045" t="s">
        <v>198</v>
      </c>
      <c r="D2045" t="s">
        <v>13</v>
      </c>
      <c r="E2045" t="s">
        <v>2751</v>
      </c>
      <c r="F2045" t="s">
        <v>27</v>
      </c>
      <c r="G2045" s="21">
        <v>1</v>
      </c>
      <c r="H2045" s="21">
        <v>0</v>
      </c>
      <c r="I2045" t="s">
        <v>214</v>
      </c>
      <c r="J2045" t="s">
        <v>2612</v>
      </c>
      <c r="K2045" t="s">
        <v>2612</v>
      </c>
    </row>
    <row r="2046" spans="2:11" x14ac:dyDescent="0.2">
      <c r="B2046" s="21">
        <f t="shared" si="31"/>
        <v>75</v>
      </c>
      <c r="C2046" t="s">
        <v>208</v>
      </c>
      <c r="D2046" t="s">
        <v>13</v>
      </c>
      <c r="E2046" t="s">
        <v>2751</v>
      </c>
      <c r="F2046" t="s">
        <v>64</v>
      </c>
      <c r="G2046" s="21">
        <v>1</v>
      </c>
      <c r="H2046" s="21">
        <v>0</v>
      </c>
      <c r="I2046" t="s">
        <v>211</v>
      </c>
      <c r="J2046" t="s">
        <v>2613</v>
      </c>
      <c r="K2046" t="s">
        <v>2612</v>
      </c>
    </row>
    <row r="2047" spans="2:11" x14ac:dyDescent="0.2">
      <c r="B2047" s="21">
        <f t="shared" si="31"/>
        <v>74</v>
      </c>
      <c r="C2047" t="s">
        <v>209</v>
      </c>
      <c r="D2047" t="s">
        <v>14</v>
      </c>
      <c r="E2047" t="s">
        <v>2751</v>
      </c>
      <c r="F2047" t="s">
        <v>61</v>
      </c>
      <c r="G2047" s="21">
        <v>1</v>
      </c>
      <c r="H2047" s="21">
        <v>0</v>
      </c>
      <c r="I2047" t="s">
        <v>210</v>
      </c>
      <c r="J2047" t="s">
        <v>2613</v>
      </c>
      <c r="K2047" t="s">
        <v>2613</v>
      </c>
    </row>
    <row r="2048" spans="2:11" x14ac:dyDescent="0.2">
      <c r="B2048" s="21">
        <f t="shared" si="31"/>
        <v>73</v>
      </c>
      <c r="C2048" t="s">
        <v>196</v>
      </c>
      <c r="D2048" t="s">
        <v>13</v>
      </c>
      <c r="E2048" t="s">
        <v>2751</v>
      </c>
      <c r="F2048" t="s">
        <v>27</v>
      </c>
      <c r="G2048" s="21">
        <v>1</v>
      </c>
      <c r="H2048" s="21">
        <v>0</v>
      </c>
      <c r="J2048" t="s">
        <v>2614</v>
      </c>
      <c r="K2048" t="s">
        <v>2747</v>
      </c>
    </row>
    <row r="2049" spans="2:11" x14ac:dyDescent="0.2">
      <c r="B2049" s="21">
        <f t="shared" si="31"/>
        <v>72</v>
      </c>
      <c r="C2049" t="s">
        <v>198</v>
      </c>
      <c r="D2049" t="s">
        <v>13</v>
      </c>
      <c r="E2049" t="s">
        <v>2751</v>
      </c>
      <c r="F2049" t="s">
        <v>27</v>
      </c>
      <c r="G2049" s="21">
        <v>1</v>
      </c>
      <c r="H2049" s="21">
        <v>0</v>
      </c>
      <c r="J2049" t="s">
        <v>2614</v>
      </c>
      <c r="K2049" t="s">
        <v>2747</v>
      </c>
    </row>
    <row r="2050" spans="2:11" x14ac:dyDescent="0.2">
      <c r="B2050" s="21">
        <f t="shared" si="31"/>
        <v>71</v>
      </c>
      <c r="C2050" t="s">
        <v>196</v>
      </c>
      <c r="D2050" t="s">
        <v>13</v>
      </c>
      <c r="E2050" t="s">
        <v>2751</v>
      </c>
      <c r="F2050" t="s">
        <v>4</v>
      </c>
      <c r="G2050" s="21">
        <v>1</v>
      </c>
      <c r="H2050" s="21">
        <v>0</v>
      </c>
      <c r="I2050" t="s">
        <v>207</v>
      </c>
      <c r="J2050" t="s">
        <v>2615</v>
      </c>
      <c r="K2050" t="s">
        <v>2615</v>
      </c>
    </row>
    <row r="2051" spans="2:11" x14ac:dyDescent="0.2">
      <c r="B2051" s="21">
        <f t="shared" si="31"/>
        <v>70</v>
      </c>
      <c r="C2051" t="s">
        <v>205</v>
      </c>
      <c r="D2051" t="s">
        <v>13</v>
      </c>
      <c r="E2051" t="s">
        <v>2751</v>
      </c>
      <c r="F2051" t="s">
        <v>27</v>
      </c>
      <c r="G2051" s="21">
        <v>1</v>
      </c>
      <c r="H2051" s="21">
        <v>0</v>
      </c>
      <c r="I2051" t="s">
        <v>206</v>
      </c>
      <c r="J2051" t="s">
        <v>2615</v>
      </c>
      <c r="K2051" t="s">
        <v>2615</v>
      </c>
    </row>
    <row r="2052" spans="2:11" x14ac:dyDescent="0.2">
      <c r="B2052" s="21">
        <f t="shared" si="31"/>
        <v>69</v>
      </c>
      <c r="C2052" t="s">
        <v>196</v>
      </c>
      <c r="D2052" t="s">
        <v>13</v>
      </c>
      <c r="E2052" t="s">
        <v>2751</v>
      </c>
      <c r="F2052" t="s">
        <v>27</v>
      </c>
      <c r="G2052" s="21">
        <v>1</v>
      </c>
      <c r="H2052" s="21">
        <v>0</v>
      </c>
      <c r="J2052" t="s">
        <v>2615</v>
      </c>
      <c r="K2052" t="s">
        <v>2614</v>
      </c>
    </row>
    <row r="2053" spans="2:11" x14ac:dyDescent="0.2">
      <c r="B2053" s="21">
        <f t="shared" ref="B2053:B2116" si="32">B2052-1</f>
        <v>68</v>
      </c>
      <c r="C2053" t="s">
        <v>198</v>
      </c>
      <c r="D2053" t="s">
        <v>13</v>
      </c>
      <c r="E2053" t="s">
        <v>2751</v>
      </c>
      <c r="F2053" t="s">
        <v>27</v>
      </c>
      <c r="G2053" s="21">
        <v>1</v>
      </c>
      <c r="H2053" s="21">
        <v>0</v>
      </c>
      <c r="I2053" t="s">
        <v>203</v>
      </c>
      <c r="J2053" t="s">
        <v>2615</v>
      </c>
      <c r="K2053" t="s">
        <v>2614</v>
      </c>
    </row>
    <row r="2054" spans="2:11" x14ac:dyDescent="0.2">
      <c r="B2054" s="21">
        <f t="shared" si="32"/>
        <v>67</v>
      </c>
      <c r="C2054" t="s">
        <v>146</v>
      </c>
      <c r="D2054" t="s">
        <v>13</v>
      </c>
      <c r="E2054" t="s">
        <v>2751</v>
      </c>
      <c r="F2054" t="s">
        <v>27</v>
      </c>
      <c r="G2054" s="21">
        <v>1</v>
      </c>
      <c r="H2054" s="21">
        <v>0</v>
      </c>
      <c r="I2054" t="s">
        <v>204</v>
      </c>
      <c r="J2054" t="s">
        <v>2616</v>
      </c>
      <c r="K2054" t="s">
        <v>2616</v>
      </c>
    </row>
    <row r="2055" spans="2:11" x14ac:dyDescent="0.2">
      <c r="B2055" s="21">
        <f t="shared" si="32"/>
        <v>66</v>
      </c>
      <c r="C2055" t="s">
        <v>198</v>
      </c>
      <c r="D2055" t="s">
        <v>13</v>
      </c>
      <c r="E2055" t="s">
        <v>2751</v>
      </c>
      <c r="F2055" t="s">
        <v>8</v>
      </c>
      <c r="G2055" s="21">
        <v>1</v>
      </c>
      <c r="H2055" s="21">
        <v>0</v>
      </c>
      <c r="I2055" t="s">
        <v>203</v>
      </c>
      <c r="J2055" t="s">
        <v>2617</v>
      </c>
      <c r="K2055" t="s">
        <v>2616</v>
      </c>
    </row>
    <row r="2056" spans="2:11" x14ac:dyDescent="0.2">
      <c r="B2056" s="21">
        <f t="shared" si="32"/>
        <v>65</v>
      </c>
      <c r="C2056" t="s">
        <v>198</v>
      </c>
      <c r="D2056" t="s">
        <v>13</v>
      </c>
      <c r="E2056" t="s">
        <v>2751</v>
      </c>
      <c r="F2056" t="s">
        <v>8</v>
      </c>
      <c r="G2056" s="21">
        <v>1</v>
      </c>
      <c r="H2056" s="21">
        <v>0</v>
      </c>
      <c r="I2056" t="s">
        <v>202</v>
      </c>
      <c r="J2056" t="s">
        <v>2618</v>
      </c>
      <c r="K2056" t="s">
        <v>2617</v>
      </c>
    </row>
    <row r="2057" spans="2:11" x14ac:dyDescent="0.2">
      <c r="B2057" s="21">
        <f t="shared" si="32"/>
        <v>64</v>
      </c>
      <c r="C2057" t="s">
        <v>196</v>
      </c>
      <c r="D2057" t="s">
        <v>13</v>
      </c>
      <c r="E2057" t="s">
        <v>2751</v>
      </c>
      <c r="F2057" t="s">
        <v>27</v>
      </c>
      <c r="G2057" s="21">
        <v>1</v>
      </c>
      <c r="H2057" s="21">
        <v>0</v>
      </c>
      <c r="I2057" t="s">
        <v>201</v>
      </c>
      <c r="J2057" t="s">
        <v>2618</v>
      </c>
      <c r="K2057" t="s">
        <v>2618</v>
      </c>
    </row>
    <row r="2058" spans="2:11" x14ac:dyDescent="0.2">
      <c r="B2058" s="21">
        <f t="shared" si="32"/>
        <v>63</v>
      </c>
      <c r="C2058" t="s">
        <v>198</v>
      </c>
      <c r="D2058" t="s">
        <v>13</v>
      </c>
      <c r="E2058" t="s">
        <v>2751</v>
      </c>
      <c r="F2058" t="s">
        <v>8</v>
      </c>
      <c r="G2058" s="21">
        <v>1</v>
      </c>
      <c r="H2058" s="21">
        <v>0</v>
      </c>
      <c r="J2058" t="s">
        <v>2619</v>
      </c>
      <c r="K2058" t="s">
        <v>2618</v>
      </c>
    </row>
    <row r="2059" spans="2:11" x14ac:dyDescent="0.2">
      <c r="B2059" s="21">
        <f t="shared" si="32"/>
        <v>62</v>
      </c>
      <c r="C2059" t="s">
        <v>146</v>
      </c>
      <c r="D2059" t="s">
        <v>13</v>
      </c>
      <c r="E2059" t="s">
        <v>2751</v>
      </c>
      <c r="F2059" t="s">
        <v>8</v>
      </c>
      <c r="G2059" s="21">
        <v>1</v>
      </c>
      <c r="H2059" s="21">
        <v>0</v>
      </c>
      <c r="J2059" t="s">
        <v>2619</v>
      </c>
      <c r="K2059" t="s">
        <v>2618</v>
      </c>
    </row>
    <row r="2060" spans="2:11" x14ac:dyDescent="0.2">
      <c r="B2060" s="21">
        <f t="shared" si="32"/>
        <v>61</v>
      </c>
      <c r="C2060" t="s">
        <v>198</v>
      </c>
      <c r="D2060" t="s">
        <v>13</v>
      </c>
      <c r="E2060" t="s">
        <v>2751</v>
      </c>
      <c r="F2060" t="s">
        <v>4</v>
      </c>
      <c r="G2060" s="21">
        <v>1</v>
      </c>
      <c r="H2060" s="21">
        <v>0</v>
      </c>
      <c r="I2060" t="s">
        <v>199</v>
      </c>
      <c r="J2060" t="s">
        <v>2620</v>
      </c>
      <c r="K2060" t="s">
        <v>2620</v>
      </c>
    </row>
    <row r="2061" spans="2:11" x14ac:dyDescent="0.2">
      <c r="B2061" s="21">
        <f t="shared" si="32"/>
        <v>60</v>
      </c>
      <c r="C2061" t="s">
        <v>146</v>
      </c>
      <c r="D2061" t="s">
        <v>13</v>
      </c>
      <c r="E2061" t="s">
        <v>2751</v>
      </c>
      <c r="F2061" t="s">
        <v>8</v>
      </c>
      <c r="G2061" s="21">
        <v>1</v>
      </c>
      <c r="H2061" s="21">
        <v>0</v>
      </c>
      <c r="I2061" t="s">
        <v>200</v>
      </c>
      <c r="J2061" t="s">
        <v>2620</v>
      </c>
      <c r="K2061" t="s">
        <v>2620</v>
      </c>
    </row>
    <row r="2062" spans="2:11" x14ac:dyDescent="0.2">
      <c r="B2062" s="21">
        <f t="shared" si="32"/>
        <v>59</v>
      </c>
      <c r="C2062" t="s">
        <v>196</v>
      </c>
      <c r="D2062" t="s">
        <v>13</v>
      </c>
      <c r="E2062" t="s">
        <v>2751</v>
      </c>
      <c r="F2062" t="s">
        <v>4</v>
      </c>
      <c r="G2062" s="21">
        <v>1</v>
      </c>
      <c r="H2062" s="21">
        <v>0</v>
      </c>
      <c r="I2062" t="s">
        <v>197</v>
      </c>
      <c r="J2062" t="s">
        <v>2621</v>
      </c>
      <c r="K2062" t="s">
        <v>2621</v>
      </c>
    </row>
    <row r="2063" spans="2:11" x14ac:dyDescent="0.2">
      <c r="B2063" s="21">
        <f t="shared" si="32"/>
        <v>58</v>
      </c>
      <c r="C2063" t="s">
        <v>65</v>
      </c>
      <c r="D2063" t="s">
        <v>14</v>
      </c>
      <c r="E2063" t="s">
        <v>2751</v>
      </c>
      <c r="F2063" t="s">
        <v>8</v>
      </c>
      <c r="G2063" s="21">
        <v>1</v>
      </c>
      <c r="H2063" s="21">
        <v>0</v>
      </c>
      <c r="I2063" t="s">
        <v>193</v>
      </c>
      <c r="J2063" t="s">
        <v>2622</v>
      </c>
      <c r="K2063" t="s">
        <v>2622</v>
      </c>
    </row>
    <row r="2064" spans="2:11" x14ac:dyDescent="0.2">
      <c r="B2064" s="21">
        <f t="shared" si="32"/>
        <v>57</v>
      </c>
      <c r="C2064" t="s">
        <v>150</v>
      </c>
      <c r="D2064" t="s">
        <v>13</v>
      </c>
      <c r="E2064" t="s">
        <v>2751</v>
      </c>
      <c r="F2064" t="s">
        <v>42</v>
      </c>
      <c r="G2064" s="21">
        <v>1</v>
      </c>
      <c r="H2064" s="21">
        <v>0</v>
      </c>
      <c r="I2064" t="s">
        <v>194</v>
      </c>
      <c r="J2064" t="s">
        <v>2622</v>
      </c>
      <c r="K2064" t="s">
        <v>2622</v>
      </c>
    </row>
    <row r="2065" spans="2:11" x14ac:dyDescent="0.2">
      <c r="B2065" s="21">
        <f t="shared" si="32"/>
        <v>56</v>
      </c>
      <c r="C2065" t="s">
        <v>152</v>
      </c>
      <c r="D2065" t="s">
        <v>13</v>
      </c>
      <c r="E2065" t="s">
        <v>2751</v>
      </c>
      <c r="F2065" t="s">
        <v>49</v>
      </c>
      <c r="G2065" s="21">
        <v>1</v>
      </c>
      <c r="H2065" s="21">
        <v>0</v>
      </c>
      <c r="I2065" t="s">
        <v>195</v>
      </c>
      <c r="J2065" t="s">
        <v>2622</v>
      </c>
      <c r="K2065" t="s">
        <v>2622</v>
      </c>
    </row>
    <row r="2066" spans="2:11" x14ac:dyDescent="0.2">
      <c r="B2066" s="21">
        <f t="shared" si="32"/>
        <v>55</v>
      </c>
      <c r="C2066" t="s">
        <v>38</v>
      </c>
      <c r="D2066" t="s">
        <v>13</v>
      </c>
      <c r="E2066" t="s">
        <v>2751</v>
      </c>
      <c r="F2066" t="s">
        <v>49</v>
      </c>
      <c r="G2066" s="21">
        <v>1</v>
      </c>
      <c r="H2066" s="21">
        <v>0</v>
      </c>
      <c r="I2066" t="s">
        <v>192</v>
      </c>
      <c r="J2066" t="s">
        <v>2623</v>
      </c>
      <c r="K2066" t="s">
        <v>2623</v>
      </c>
    </row>
    <row r="2067" spans="2:11" x14ac:dyDescent="0.2">
      <c r="B2067" s="21">
        <f t="shared" si="32"/>
        <v>54</v>
      </c>
      <c r="C2067" t="s">
        <v>63</v>
      </c>
      <c r="D2067" t="s">
        <v>13</v>
      </c>
      <c r="E2067" t="s">
        <v>2751</v>
      </c>
      <c r="F2067" t="s">
        <v>42</v>
      </c>
      <c r="G2067" s="21">
        <v>1</v>
      </c>
      <c r="H2067" s="21">
        <v>0</v>
      </c>
      <c r="I2067" t="s">
        <v>191</v>
      </c>
      <c r="J2067" t="s">
        <v>2624</v>
      </c>
      <c r="K2067" t="s">
        <v>2624</v>
      </c>
    </row>
    <row r="2068" spans="2:11" x14ac:dyDescent="0.2">
      <c r="B2068" s="21">
        <f t="shared" si="32"/>
        <v>53</v>
      </c>
      <c r="C2068" t="s">
        <v>63</v>
      </c>
      <c r="D2068" t="s">
        <v>13</v>
      </c>
      <c r="E2068" t="s">
        <v>2751</v>
      </c>
      <c r="F2068" t="s">
        <v>42</v>
      </c>
      <c r="G2068" s="21">
        <v>1</v>
      </c>
      <c r="H2068" s="21">
        <v>0</v>
      </c>
      <c r="I2068" t="s">
        <v>191</v>
      </c>
      <c r="J2068" t="s">
        <v>2625</v>
      </c>
      <c r="K2068" t="s">
        <v>2625</v>
      </c>
    </row>
    <row r="2069" spans="2:11" x14ac:dyDescent="0.2">
      <c r="B2069" s="21">
        <f t="shared" si="32"/>
        <v>52</v>
      </c>
      <c r="C2069" t="s">
        <v>163</v>
      </c>
      <c r="D2069" t="s">
        <v>13</v>
      </c>
      <c r="E2069" t="s">
        <v>2751</v>
      </c>
      <c r="F2069" t="s">
        <v>27</v>
      </c>
      <c r="G2069" s="21">
        <v>1</v>
      </c>
      <c r="H2069" s="21">
        <v>0</v>
      </c>
      <c r="I2069" t="s">
        <v>190</v>
      </c>
      <c r="J2069" t="s">
        <v>2626</v>
      </c>
      <c r="K2069" t="s">
        <v>2626</v>
      </c>
    </row>
    <row r="2070" spans="2:11" x14ac:dyDescent="0.2">
      <c r="B2070" s="21">
        <f t="shared" si="32"/>
        <v>51</v>
      </c>
      <c r="C2070" t="s">
        <v>163</v>
      </c>
      <c r="D2070" t="s">
        <v>13</v>
      </c>
      <c r="E2070" t="s">
        <v>2751</v>
      </c>
      <c r="F2070" t="s">
        <v>27</v>
      </c>
      <c r="G2070" s="21">
        <v>1</v>
      </c>
      <c r="H2070" s="21">
        <v>0</v>
      </c>
      <c r="I2070" t="s">
        <v>188</v>
      </c>
      <c r="J2070" t="s">
        <v>2627</v>
      </c>
      <c r="K2070" t="s">
        <v>2626</v>
      </c>
    </row>
    <row r="2071" spans="2:11" x14ac:dyDescent="0.2">
      <c r="B2071" s="21">
        <f t="shared" si="32"/>
        <v>50</v>
      </c>
      <c r="C2071" t="s">
        <v>63</v>
      </c>
      <c r="D2071" t="s">
        <v>13</v>
      </c>
      <c r="E2071" t="s">
        <v>2751</v>
      </c>
      <c r="F2071" t="s">
        <v>27</v>
      </c>
      <c r="G2071" s="21">
        <v>1</v>
      </c>
      <c r="H2071" s="21">
        <v>0</v>
      </c>
      <c r="I2071" t="s">
        <v>189</v>
      </c>
      <c r="J2071" t="s">
        <v>2627</v>
      </c>
      <c r="K2071" t="s">
        <v>2627</v>
      </c>
    </row>
    <row r="2072" spans="2:11" x14ac:dyDescent="0.2">
      <c r="B2072" s="21">
        <f t="shared" si="32"/>
        <v>49</v>
      </c>
      <c r="C2072" t="s">
        <v>163</v>
      </c>
      <c r="D2072" t="s">
        <v>13</v>
      </c>
      <c r="E2072" t="s">
        <v>2751</v>
      </c>
      <c r="F2072" t="s">
        <v>27</v>
      </c>
      <c r="G2072" s="21">
        <v>1</v>
      </c>
      <c r="H2072" s="21">
        <v>0</v>
      </c>
      <c r="I2072" t="s">
        <v>187</v>
      </c>
      <c r="J2072" t="s">
        <v>2628</v>
      </c>
      <c r="K2072" t="s">
        <v>2628</v>
      </c>
    </row>
    <row r="2073" spans="2:11" x14ac:dyDescent="0.2">
      <c r="B2073" s="21">
        <f t="shared" si="32"/>
        <v>48</v>
      </c>
      <c r="C2073" t="s">
        <v>163</v>
      </c>
      <c r="D2073" t="s">
        <v>13</v>
      </c>
      <c r="E2073" t="s">
        <v>2751</v>
      </c>
      <c r="F2073" t="s">
        <v>27</v>
      </c>
      <c r="G2073" s="21">
        <v>1</v>
      </c>
      <c r="H2073" s="21">
        <v>0</v>
      </c>
      <c r="J2073" t="s">
        <v>2629</v>
      </c>
      <c r="K2073" t="s">
        <v>2628</v>
      </c>
    </row>
    <row r="2074" spans="2:11" x14ac:dyDescent="0.2">
      <c r="B2074" s="21">
        <f t="shared" si="32"/>
        <v>47</v>
      </c>
      <c r="C2074" t="s">
        <v>63</v>
      </c>
      <c r="D2074" t="s">
        <v>13</v>
      </c>
      <c r="E2074" t="s">
        <v>2751</v>
      </c>
      <c r="F2074" t="s">
        <v>8</v>
      </c>
      <c r="G2074" s="21">
        <v>1</v>
      </c>
      <c r="H2074" s="21">
        <v>0</v>
      </c>
      <c r="I2074" t="s">
        <v>185</v>
      </c>
      <c r="J2074" t="s">
        <v>2629</v>
      </c>
      <c r="K2074" t="s">
        <v>2629</v>
      </c>
    </row>
    <row r="2075" spans="2:11" x14ac:dyDescent="0.2">
      <c r="B2075" s="21">
        <f t="shared" si="32"/>
        <v>46</v>
      </c>
      <c r="C2075" t="s">
        <v>152</v>
      </c>
      <c r="D2075" t="s">
        <v>13</v>
      </c>
      <c r="E2075" t="s">
        <v>2751</v>
      </c>
      <c r="F2075" t="s">
        <v>27</v>
      </c>
      <c r="G2075" s="21">
        <v>1</v>
      </c>
      <c r="H2075" s="21">
        <v>0</v>
      </c>
      <c r="I2075" t="s">
        <v>186</v>
      </c>
      <c r="J2075" t="s">
        <v>2629</v>
      </c>
      <c r="K2075" t="s">
        <v>2629</v>
      </c>
    </row>
    <row r="2076" spans="2:11" x14ac:dyDescent="0.2">
      <c r="B2076" s="21">
        <f t="shared" si="32"/>
        <v>45</v>
      </c>
      <c r="C2076" t="s">
        <v>163</v>
      </c>
      <c r="D2076" t="s">
        <v>13</v>
      </c>
      <c r="E2076" t="s">
        <v>2751</v>
      </c>
      <c r="F2076" t="s">
        <v>27</v>
      </c>
      <c r="G2076" s="21">
        <v>1</v>
      </c>
      <c r="H2076" s="21">
        <v>0</v>
      </c>
      <c r="J2076" t="s">
        <v>2630</v>
      </c>
      <c r="K2076" t="s">
        <v>2629</v>
      </c>
    </row>
    <row r="2077" spans="2:11" x14ac:dyDescent="0.2">
      <c r="B2077" s="21">
        <f t="shared" si="32"/>
        <v>44</v>
      </c>
      <c r="C2077" t="s">
        <v>65</v>
      </c>
      <c r="D2077" t="s">
        <v>14</v>
      </c>
      <c r="E2077" t="s">
        <v>2751</v>
      </c>
      <c r="F2077" t="s">
        <v>8</v>
      </c>
      <c r="G2077" s="21">
        <v>1</v>
      </c>
      <c r="H2077" s="21">
        <v>0</v>
      </c>
      <c r="J2077" t="s">
        <v>2630</v>
      </c>
      <c r="K2077" t="s">
        <v>2629</v>
      </c>
    </row>
    <row r="2078" spans="2:11" x14ac:dyDescent="0.2">
      <c r="B2078" s="21">
        <f t="shared" si="32"/>
        <v>43</v>
      </c>
      <c r="C2078" t="s">
        <v>162</v>
      </c>
      <c r="D2078" t="s">
        <v>13</v>
      </c>
      <c r="E2078" t="s">
        <v>2751</v>
      </c>
      <c r="F2078" t="s">
        <v>27</v>
      </c>
      <c r="G2078" s="21">
        <v>1</v>
      </c>
      <c r="H2078" s="21">
        <v>0</v>
      </c>
      <c r="I2078" t="s">
        <v>184</v>
      </c>
      <c r="J2078" t="s">
        <v>2631</v>
      </c>
      <c r="K2078" t="s">
        <v>2631</v>
      </c>
    </row>
    <row r="2079" spans="2:11" x14ac:dyDescent="0.2">
      <c r="B2079" s="21">
        <f t="shared" si="32"/>
        <v>42</v>
      </c>
      <c r="C2079" t="s">
        <v>163</v>
      </c>
      <c r="D2079" t="s">
        <v>13</v>
      </c>
      <c r="E2079" t="s">
        <v>2751</v>
      </c>
      <c r="F2079" t="s">
        <v>27</v>
      </c>
      <c r="G2079" s="21">
        <v>1</v>
      </c>
      <c r="H2079" s="21">
        <v>0</v>
      </c>
      <c r="J2079" t="s">
        <v>2631</v>
      </c>
      <c r="K2079" t="s">
        <v>2748</v>
      </c>
    </row>
    <row r="2080" spans="2:11" x14ac:dyDescent="0.2">
      <c r="B2080" s="21">
        <f t="shared" si="32"/>
        <v>41</v>
      </c>
      <c r="C2080" t="s">
        <v>65</v>
      </c>
      <c r="D2080" t="s">
        <v>14</v>
      </c>
      <c r="E2080" t="s">
        <v>2751</v>
      </c>
      <c r="F2080" t="s">
        <v>8</v>
      </c>
      <c r="G2080" s="21">
        <v>1</v>
      </c>
      <c r="H2080" s="21">
        <v>0</v>
      </c>
      <c r="I2080" t="s">
        <v>181</v>
      </c>
      <c r="J2080" t="s">
        <v>2631</v>
      </c>
      <c r="K2080" t="s">
        <v>2748</v>
      </c>
    </row>
    <row r="2081" spans="2:11" x14ac:dyDescent="0.2">
      <c r="B2081" s="21">
        <f t="shared" si="32"/>
        <v>40</v>
      </c>
      <c r="C2081" t="s">
        <v>162</v>
      </c>
      <c r="D2081" t="s">
        <v>13</v>
      </c>
      <c r="E2081" t="s">
        <v>2751</v>
      </c>
      <c r="F2081" t="s">
        <v>27</v>
      </c>
      <c r="G2081" s="21">
        <v>1</v>
      </c>
      <c r="H2081" s="21">
        <v>0</v>
      </c>
      <c r="J2081" t="s">
        <v>2632</v>
      </c>
      <c r="K2081" t="s">
        <v>2631</v>
      </c>
    </row>
    <row r="2082" spans="2:11" x14ac:dyDescent="0.2">
      <c r="B2082" s="21">
        <f t="shared" si="32"/>
        <v>39</v>
      </c>
      <c r="C2082" t="s">
        <v>163</v>
      </c>
      <c r="D2082" t="s">
        <v>13</v>
      </c>
      <c r="E2082" t="s">
        <v>2751</v>
      </c>
      <c r="F2082" t="s">
        <v>4</v>
      </c>
      <c r="G2082" s="21">
        <v>1</v>
      </c>
      <c r="H2082" s="21">
        <v>0</v>
      </c>
      <c r="I2082" t="s">
        <v>183</v>
      </c>
      <c r="J2082" t="s">
        <v>2632</v>
      </c>
      <c r="K2082" t="s">
        <v>2632</v>
      </c>
    </row>
    <row r="2083" spans="2:11" x14ac:dyDescent="0.2">
      <c r="B2083" s="21">
        <f t="shared" si="32"/>
        <v>38</v>
      </c>
      <c r="C2083" t="s">
        <v>163</v>
      </c>
      <c r="D2083" t="s">
        <v>13</v>
      </c>
      <c r="E2083" t="s">
        <v>2751</v>
      </c>
      <c r="F2083" t="s">
        <v>27</v>
      </c>
      <c r="G2083" s="21">
        <v>1</v>
      </c>
      <c r="H2083" s="21">
        <v>0</v>
      </c>
      <c r="J2083" t="s">
        <v>2632</v>
      </c>
      <c r="K2083" t="s">
        <v>2631</v>
      </c>
    </row>
    <row r="2084" spans="2:11" x14ac:dyDescent="0.2">
      <c r="B2084" s="21">
        <f t="shared" si="32"/>
        <v>37</v>
      </c>
      <c r="C2084" t="s">
        <v>65</v>
      </c>
      <c r="D2084" t="s">
        <v>14</v>
      </c>
      <c r="E2084" t="s">
        <v>2751</v>
      </c>
      <c r="F2084" t="s">
        <v>8</v>
      </c>
      <c r="G2084" s="21">
        <v>1</v>
      </c>
      <c r="H2084" s="21">
        <v>0</v>
      </c>
      <c r="I2084" t="s">
        <v>181</v>
      </c>
      <c r="J2084" t="s">
        <v>2632</v>
      </c>
      <c r="K2084" t="s">
        <v>2631</v>
      </c>
    </row>
    <row r="2085" spans="2:11" x14ac:dyDescent="0.2">
      <c r="B2085" s="21">
        <f t="shared" si="32"/>
        <v>36</v>
      </c>
      <c r="C2085" t="s">
        <v>162</v>
      </c>
      <c r="D2085" t="s">
        <v>13</v>
      </c>
      <c r="E2085" t="s">
        <v>2751</v>
      </c>
      <c r="F2085" t="s">
        <v>27</v>
      </c>
      <c r="G2085" s="21">
        <v>1</v>
      </c>
      <c r="H2085" s="21">
        <v>0</v>
      </c>
      <c r="J2085" t="s">
        <v>2633</v>
      </c>
      <c r="K2085" t="s">
        <v>2632</v>
      </c>
    </row>
    <row r="2086" spans="2:11" x14ac:dyDescent="0.2">
      <c r="B2086" s="21">
        <f t="shared" si="32"/>
        <v>35</v>
      </c>
      <c r="C2086" t="s">
        <v>163</v>
      </c>
      <c r="D2086" t="s">
        <v>13</v>
      </c>
      <c r="E2086" t="s">
        <v>2751</v>
      </c>
      <c r="F2086" t="s">
        <v>27</v>
      </c>
      <c r="G2086" s="21">
        <v>1</v>
      </c>
      <c r="H2086" s="21">
        <v>0</v>
      </c>
      <c r="J2086" t="s">
        <v>2633</v>
      </c>
      <c r="K2086" t="s">
        <v>2632</v>
      </c>
    </row>
    <row r="2087" spans="2:11" x14ac:dyDescent="0.2">
      <c r="B2087" s="21">
        <f t="shared" si="32"/>
        <v>34</v>
      </c>
      <c r="C2087" t="s">
        <v>65</v>
      </c>
      <c r="D2087" t="s">
        <v>14</v>
      </c>
      <c r="E2087" t="s">
        <v>2751</v>
      </c>
      <c r="F2087" t="s">
        <v>8</v>
      </c>
      <c r="G2087" s="21">
        <v>1</v>
      </c>
      <c r="H2087" s="21">
        <v>0</v>
      </c>
      <c r="I2087" t="s">
        <v>181</v>
      </c>
      <c r="J2087" t="s">
        <v>2633</v>
      </c>
      <c r="K2087" t="s">
        <v>2632</v>
      </c>
    </row>
    <row r="2088" spans="2:11" x14ac:dyDescent="0.2">
      <c r="B2088" s="21">
        <f t="shared" si="32"/>
        <v>33</v>
      </c>
      <c r="C2088" t="s">
        <v>162</v>
      </c>
      <c r="D2088" t="s">
        <v>13</v>
      </c>
      <c r="E2088" t="s">
        <v>2751</v>
      </c>
      <c r="F2088" t="s">
        <v>27</v>
      </c>
      <c r="G2088" s="21">
        <v>1</v>
      </c>
      <c r="H2088" s="21">
        <v>0</v>
      </c>
      <c r="J2088" t="s">
        <v>2634</v>
      </c>
      <c r="K2088" t="s">
        <v>2633</v>
      </c>
    </row>
    <row r="2089" spans="2:11" x14ac:dyDescent="0.2">
      <c r="B2089" s="21">
        <f t="shared" si="32"/>
        <v>32</v>
      </c>
      <c r="C2089" t="s">
        <v>163</v>
      </c>
      <c r="D2089" t="s">
        <v>13</v>
      </c>
      <c r="E2089" t="s">
        <v>2751</v>
      </c>
      <c r="F2089" t="s">
        <v>27</v>
      </c>
      <c r="G2089" s="21">
        <v>1</v>
      </c>
      <c r="H2089" s="21">
        <v>0</v>
      </c>
      <c r="J2089" t="s">
        <v>2634</v>
      </c>
      <c r="K2089" t="s">
        <v>2633</v>
      </c>
    </row>
    <row r="2090" spans="2:11" x14ac:dyDescent="0.2">
      <c r="B2090" s="21">
        <f t="shared" si="32"/>
        <v>31</v>
      </c>
      <c r="C2090" t="s">
        <v>32</v>
      </c>
      <c r="D2090" t="s">
        <v>13</v>
      </c>
      <c r="E2090" t="s">
        <v>2751</v>
      </c>
      <c r="F2090" t="s">
        <v>42</v>
      </c>
      <c r="G2090" s="21">
        <v>1</v>
      </c>
      <c r="H2090" s="21">
        <v>0</v>
      </c>
      <c r="I2090" t="s">
        <v>178</v>
      </c>
      <c r="J2090" t="s">
        <v>2634</v>
      </c>
      <c r="K2090" t="s">
        <v>2634</v>
      </c>
    </row>
    <row r="2091" spans="2:11" x14ac:dyDescent="0.2">
      <c r="B2091" s="21">
        <f t="shared" si="32"/>
        <v>30</v>
      </c>
      <c r="C2091" t="s">
        <v>63</v>
      </c>
      <c r="D2091" t="s">
        <v>13</v>
      </c>
      <c r="E2091" t="s">
        <v>2751</v>
      </c>
      <c r="F2091" t="s">
        <v>8</v>
      </c>
      <c r="G2091" s="21">
        <v>1</v>
      </c>
      <c r="H2091" s="21">
        <v>0</v>
      </c>
      <c r="I2091" t="s">
        <v>180</v>
      </c>
      <c r="J2091" t="s">
        <v>2634</v>
      </c>
      <c r="K2091" t="s">
        <v>2634</v>
      </c>
    </row>
    <row r="2092" spans="2:11" x14ac:dyDescent="0.2">
      <c r="B2092" s="21">
        <f t="shared" si="32"/>
        <v>29</v>
      </c>
      <c r="C2092" t="s">
        <v>65</v>
      </c>
      <c r="D2092" t="s">
        <v>14</v>
      </c>
      <c r="E2092" t="s">
        <v>2751</v>
      </c>
      <c r="F2092" t="s">
        <v>8</v>
      </c>
      <c r="G2092" s="21">
        <v>1</v>
      </c>
      <c r="H2092" s="21">
        <v>0</v>
      </c>
      <c r="I2092" t="s">
        <v>179</v>
      </c>
      <c r="J2092" t="s">
        <v>2634</v>
      </c>
      <c r="K2092" t="s">
        <v>2633</v>
      </c>
    </row>
    <row r="2093" spans="2:11" x14ac:dyDescent="0.2">
      <c r="B2093" s="21">
        <f t="shared" si="32"/>
        <v>28</v>
      </c>
      <c r="C2093" t="s">
        <v>176</v>
      </c>
      <c r="D2093" t="s">
        <v>14</v>
      </c>
      <c r="E2093" t="s">
        <v>2751</v>
      </c>
      <c r="F2093" t="s">
        <v>27</v>
      </c>
      <c r="G2093" s="21">
        <v>1</v>
      </c>
      <c r="H2093" s="21">
        <v>0</v>
      </c>
      <c r="J2093" t="s">
        <v>2634</v>
      </c>
      <c r="K2093" t="s">
        <v>2633</v>
      </c>
    </row>
    <row r="2094" spans="2:11" x14ac:dyDescent="0.2">
      <c r="B2094" s="21">
        <f t="shared" si="32"/>
        <v>27</v>
      </c>
      <c r="C2094" t="s">
        <v>148</v>
      </c>
      <c r="D2094" t="s">
        <v>13</v>
      </c>
      <c r="E2094" t="s">
        <v>2751</v>
      </c>
      <c r="F2094" t="s">
        <v>27</v>
      </c>
      <c r="G2094" s="21">
        <v>1</v>
      </c>
      <c r="H2094" s="21">
        <v>0</v>
      </c>
      <c r="I2094" t="s">
        <v>182</v>
      </c>
      <c r="J2094" t="s">
        <v>2634</v>
      </c>
      <c r="K2094" t="s">
        <v>2634</v>
      </c>
    </row>
    <row r="2095" spans="2:11" x14ac:dyDescent="0.2">
      <c r="B2095" s="21">
        <f t="shared" si="32"/>
        <v>26</v>
      </c>
      <c r="C2095" t="s">
        <v>162</v>
      </c>
      <c r="D2095" t="s">
        <v>13</v>
      </c>
      <c r="E2095" t="s">
        <v>2751</v>
      </c>
      <c r="F2095" t="s">
        <v>43</v>
      </c>
      <c r="G2095" s="21">
        <v>1</v>
      </c>
      <c r="H2095" s="21">
        <v>0</v>
      </c>
      <c r="I2095" t="s">
        <v>175</v>
      </c>
      <c r="J2095" t="s">
        <v>2635</v>
      </c>
      <c r="K2095" t="s">
        <v>2635</v>
      </c>
    </row>
    <row r="2096" spans="2:11" x14ac:dyDescent="0.2">
      <c r="B2096" s="21">
        <f t="shared" si="32"/>
        <v>25</v>
      </c>
      <c r="C2096" t="s">
        <v>163</v>
      </c>
      <c r="D2096" t="s">
        <v>13</v>
      </c>
      <c r="E2096" t="s">
        <v>2751</v>
      </c>
      <c r="F2096" t="s">
        <v>43</v>
      </c>
      <c r="G2096" s="21">
        <v>1</v>
      </c>
      <c r="H2096" s="21">
        <v>0</v>
      </c>
      <c r="I2096" t="s">
        <v>174</v>
      </c>
      <c r="J2096" t="s">
        <v>2635</v>
      </c>
      <c r="K2096" t="s">
        <v>2635</v>
      </c>
    </row>
    <row r="2097" spans="2:11" x14ac:dyDescent="0.2">
      <c r="B2097" s="21">
        <f t="shared" si="32"/>
        <v>24</v>
      </c>
      <c r="C2097" t="s">
        <v>150</v>
      </c>
      <c r="D2097" t="s">
        <v>13</v>
      </c>
      <c r="E2097" t="s">
        <v>2751</v>
      </c>
      <c r="F2097" t="s">
        <v>42</v>
      </c>
      <c r="G2097" s="21">
        <v>1</v>
      </c>
      <c r="H2097" s="21">
        <v>0</v>
      </c>
      <c r="I2097" t="s">
        <v>166</v>
      </c>
      <c r="J2097" t="s">
        <v>2635</v>
      </c>
      <c r="K2097" t="s">
        <v>2635</v>
      </c>
    </row>
    <row r="2098" spans="2:11" x14ac:dyDescent="0.2">
      <c r="B2098" s="21">
        <f t="shared" si="32"/>
        <v>23</v>
      </c>
      <c r="C2098" t="s">
        <v>151</v>
      </c>
      <c r="D2098" t="s">
        <v>13</v>
      </c>
      <c r="E2098" t="s">
        <v>2751</v>
      </c>
      <c r="F2098" t="s">
        <v>64</v>
      </c>
      <c r="G2098" s="21">
        <v>1</v>
      </c>
      <c r="H2098" s="21">
        <v>0</v>
      </c>
      <c r="I2098" t="s">
        <v>167</v>
      </c>
      <c r="J2098" t="s">
        <v>2635</v>
      </c>
      <c r="K2098" t="s">
        <v>2635</v>
      </c>
    </row>
    <row r="2099" spans="2:11" x14ac:dyDescent="0.2">
      <c r="B2099" s="21">
        <f t="shared" si="32"/>
        <v>22</v>
      </c>
      <c r="C2099" t="s">
        <v>32</v>
      </c>
      <c r="D2099" t="s">
        <v>13</v>
      </c>
      <c r="E2099" t="s">
        <v>2751</v>
      </c>
      <c r="F2099" t="s">
        <v>42</v>
      </c>
      <c r="G2099" s="21">
        <v>1</v>
      </c>
      <c r="H2099" s="21">
        <v>0</v>
      </c>
      <c r="I2099" t="s">
        <v>168</v>
      </c>
      <c r="J2099" t="s">
        <v>2635</v>
      </c>
      <c r="K2099" t="s">
        <v>2634</v>
      </c>
    </row>
    <row r="2100" spans="2:11" x14ac:dyDescent="0.2">
      <c r="B2100" s="21">
        <f t="shared" si="32"/>
        <v>21</v>
      </c>
      <c r="C2100" t="s">
        <v>152</v>
      </c>
      <c r="D2100" t="s">
        <v>13</v>
      </c>
      <c r="E2100" t="s">
        <v>2751</v>
      </c>
      <c r="F2100" t="s">
        <v>8</v>
      </c>
      <c r="G2100" s="21">
        <v>1</v>
      </c>
      <c r="H2100" s="21">
        <v>0</v>
      </c>
      <c r="I2100" t="s">
        <v>169</v>
      </c>
      <c r="J2100" t="s">
        <v>2635</v>
      </c>
      <c r="K2100" t="s">
        <v>2635</v>
      </c>
    </row>
    <row r="2101" spans="2:11" x14ac:dyDescent="0.2">
      <c r="B2101" s="21">
        <f t="shared" si="32"/>
        <v>20</v>
      </c>
      <c r="C2101" t="s">
        <v>154</v>
      </c>
      <c r="D2101" t="s">
        <v>14</v>
      </c>
      <c r="E2101" t="s">
        <v>2751</v>
      </c>
      <c r="F2101" t="s">
        <v>46</v>
      </c>
      <c r="G2101" s="21">
        <v>1</v>
      </c>
      <c r="H2101" s="21">
        <v>0</v>
      </c>
      <c r="I2101" t="s">
        <v>170</v>
      </c>
      <c r="J2101" t="s">
        <v>2635</v>
      </c>
      <c r="K2101" t="s">
        <v>2635</v>
      </c>
    </row>
    <row r="2102" spans="2:11" x14ac:dyDescent="0.2">
      <c r="B2102" s="21">
        <f t="shared" si="32"/>
        <v>19</v>
      </c>
      <c r="C2102" t="s">
        <v>63</v>
      </c>
      <c r="D2102" t="s">
        <v>13</v>
      </c>
      <c r="E2102" t="s">
        <v>2751</v>
      </c>
      <c r="F2102" t="s">
        <v>8</v>
      </c>
      <c r="G2102" s="21">
        <v>1</v>
      </c>
      <c r="H2102" s="21">
        <v>0</v>
      </c>
      <c r="I2102" t="s">
        <v>171</v>
      </c>
      <c r="J2102" t="s">
        <v>2635</v>
      </c>
      <c r="K2102" t="s">
        <v>2634</v>
      </c>
    </row>
    <row r="2103" spans="2:11" x14ac:dyDescent="0.2">
      <c r="B2103" s="21">
        <f t="shared" si="32"/>
        <v>18</v>
      </c>
      <c r="C2103" t="s">
        <v>65</v>
      </c>
      <c r="D2103" t="s">
        <v>14</v>
      </c>
      <c r="E2103" t="s">
        <v>2751</v>
      </c>
      <c r="F2103" t="s">
        <v>8</v>
      </c>
      <c r="G2103" s="21">
        <v>1</v>
      </c>
      <c r="H2103" s="21">
        <v>0</v>
      </c>
      <c r="I2103" t="s">
        <v>172</v>
      </c>
      <c r="J2103" t="s">
        <v>2635</v>
      </c>
      <c r="K2103" t="s">
        <v>2634</v>
      </c>
    </row>
    <row r="2104" spans="2:11" x14ac:dyDescent="0.2">
      <c r="B2104" s="21">
        <f t="shared" si="32"/>
        <v>17</v>
      </c>
      <c r="C2104" t="s">
        <v>148</v>
      </c>
      <c r="D2104" t="s">
        <v>13</v>
      </c>
      <c r="E2104" t="s">
        <v>2751</v>
      </c>
      <c r="F2104" t="s">
        <v>8</v>
      </c>
      <c r="G2104" s="21">
        <v>1</v>
      </c>
      <c r="H2104" s="21">
        <v>0</v>
      </c>
      <c r="I2104" t="s">
        <v>173</v>
      </c>
      <c r="J2104" t="s">
        <v>2635</v>
      </c>
      <c r="K2104" t="s">
        <v>2634</v>
      </c>
    </row>
    <row r="2105" spans="2:11" x14ac:dyDescent="0.2">
      <c r="B2105" s="21">
        <f t="shared" si="32"/>
        <v>16</v>
      </c>
      <c r="C2105" t="s">
        <v>176</v>
      </c>
      <c r="D2105" t="s">
        <v>14</v>
      </c>
      <c r="E2105" t="s">
        <v>2751</v>
      </c>
      <c r="F2105" t="s">
        <v>27</v>
      </c>
      <c r="G2105" s="21">
        <v>1</v>
      </c>
      <c r="H2105" s="21">
        <v>0</v>
      </c>
      <c r="I2105" t="s">
        <v>177</v>
      </c>
      <c r="J2105" t="s">
        <v>2635</v>
      </c>
      <c r="K2105" t="s">
        <v>2634</v>
      </c>
    </row>
    <row r="2106" spans="2:11" x14ac:dyDescent="0.2">
      <c r="B2106" s="21">
        <f t="shared" si="32"/>
        <v>15</v>
      </c>
      <c r="C2106" t="s">
        <v>150</v>
      </c>
      <c r="D2106" t="s">
        <v>13</v>
      </c>
      <c r="E2106" t="s">
        <v>2751</v>
      </c>
      <c r="F2106" t="s">
        <v>34</v>
      </c>
      <c r="G2106" s="21">
        <v>1</v>
      </c>
      <c r="H2106" s="21">
        <v>0</v>
      </c>
      <c r="J2106" t="s">
        <v>2636</v>
      </c>
      <c r="K2106" t="s">
        <v>2749</v>
      </c>
    </row>
    <row r="2107" spans="2:11" x14ac:dyDescent="0.2">
      <c r="B2107" s="21">
        <f t="shared" si="32"/>
        <v>14</v>
      </c>
      <c r="C2107" t="s">
        <v>65</v>
      </c>
      <c r="D2107" t="s">
        <v>14</v>
      </c>
      <c r="E2107" t="s">
        <v>2751</v>
      </c>
      <c r="F2107" t="s">
        <v>49</v>
      </c>
      <c r="G2107" s="21">
        <v>1</v>
      </c>
      <c r="H2107" s="21">
        <v>0</v>
      </c>
      <c r="J2107" t="s">
        <v>2636</v>
      </c>
      <c r="K2107" t="s">
        <v>2749</v>
      </c>
    </row>
    <row r="2108" spans="2:11" x14ac:dyDescent="0.2">
      <c r="B2108" s="21">
        <f t="shared" si="32"/>
        <v>13</v>
      </c>
      <c r="C2108" t="s">
        <v>162</v>
      </c>
      <c r="D2108" t="s">
        <v>13</v>
      </c>
      <c r="E2108" t="s">
        <v>2751</v>
      </c>
      <c r="F2108" t="s">
        <v>4</v>
      </c>
      <c r="G2108" s="21">
        <v>1</v>
      </c>
      <c r="H2108" s="21">
        <v>0</v>
      </c>
      <c r="I2108" t="s">
        <v>164</v>
      </c>
      <c r="J2108" t="s">
        <v>2637</v>
      </c>
      <c r="K2108" t="s">
        <v>2637</v>
      </c>
    </row>
    <row r="2109" spans="2:11" x14ac:dyDescent="0.2">
      <c r="B2109" s="21">
        <f t="shared" si="32"/>
        <v>12</v>
      </c>
      <c r="C2109" t="s">
        <v>152</v>
      </c>
      <c r="D2109" t="s">
        <v>13</v>
      </c>
      <c r="E2109" t="s">
        <v>2751</v>
      </c>
      <c r="F2109" t="s">
        <v>4</v>
      </c>
      <c r="G2109" s="21">
        <v>1</v>
      </c>
      <c r="H2109" s="21">
        <v>0</v>
      </c>
      <c r="I2109" t="s">
        <v>165</v>
      </c>
      <c r="J2109" t="s">
        <v>2637</v>
      </c>
      <c r="K2109" t="s">
        <v>2637</v>
      </c>
    </row>
    <row r="2110" spans="2:11" x14ac:dyDescent="0.2">
      <c r="B2110" s="21">
        <f t="shared" si="32"/>
        <v>11</v>
      </c>
      <c r="C2110" t="s">
        <v>150</v>
      </c>
      <c r="D2110" t="s">
        <v>13</v>
      </c>
      <c r="E2110" t="s">
        <v>2751</v>
      </c>
      <c r="F2110" t="s">
        <v>34</v>
      </c>
      <c r="G2110" s="21">
        <v>1</v>
      </c>
      <c r="H2110" s="21">
        <v>0</v>
      </c>
      <c r="J2110" t="s">
        <v>2638</v>
      </c>
      <c r="K2110" t="s">
        <v>2637</v>
      </c>
    </row>
    <row r="2111" spans="2:11" x14ac:dyDescent="0.2">
      <c r="B2111" s="21">
        <f t="shared" si="32"/>
        <v>10</v>
      </c>
      <c r="C2111" t="s">
        <v>65</v>
      </c>
      <c r="D2111" t="s">
        <v>14</v>
      </c>
      <c r="E2111" t="s">
        <v>2751</v>
      </c>
      <c r="F2111" t="s">
        <v>49</v>
      </c>
      <c r="G2111" s="21">
        <v>1</v>
      </c>
      <c r="H2111" s="21">
        <v>0</v>
      </c>
      <c r="J2111" t="s">
        <v>2638</v>
      </c>
      <c r="K2111" t="s">
        <v>2637</v>
      </c>
    </row>
    <row r="2112" spans="2:11" x14ac:dyDescent="0.2">
      <c r="B2112" s="21">
        <f t="shared" si="32"/>
        <v>9</v>
      </c>
      <c r="C2112" t="s">
        <v>150</v>
      </c>
      <c r="D2112" t="s">
        <v>13</v>
      </c>
      <c r="E2112" t="s">
        <v>2751</v>
      </c>
      <c r="F2112" t="s">
        <v>34</v>
      </c>
      <c r="G2112" s="21">
        <v>1</v>
      </c>
      <c r="H2112" s="21">
        <v>0</v>
      </c>
      <c r="J2112" t="s">
        <v>2639</v>
      </c>
      <c r="K2112" t="s">
        <v>2638</v>
      </c>
    </row>
    <row r="2113" spans="2:11" x14ac:dyDescent="0.2">
      <c r="B2113" s="21">
        <f t="shared" si="32"/>
        <v>8</v>
      </c>
      <c r="C2113" t="s">
        <v>65</v>
      </c>
      <c r="D2113" t="s">
        <v>14</v>
      </c>
      <c r="E2113" t="s">
        <v>2751</v>
      </c>
      <c r="F2113" t="s">
        <v>49</v>
      </c>
      <c r="G2113" s="21">
        <v>1</v>
      </c>
      <c r="H2113" s="21">
        <v>0</v>
      </c>
      <c r="J2113" t="s">
        <v>2639</v>
      </c>
      <c r="K2113" t="s">
        <v>2638</v>
      </c>
    </row>
    <row r="2114" spans="2:11" x14ac:dyDescent="0.2">
      <c r="B2114" s="21">
        <f t="shared" si="32"/>
        <v>7</v>
      </c>
      <c r="C2114" t="s">
        <v>150</v>
      </c>
      <c r="D2114" t="s">
        <v>13</v>
      </c>
      <c r="E2114" t="s">
        <v>2751</v>
      </c>
      <c r="F2114" t="s">
        <v>34</v>
      </c>
      <c r="G2114" s="21">
        <v>1</v>
      </c>
      <c r="H2114" s="21">
        <v>0</v>
      </c>
      <c r="J2114" t="s">
        <v>2640</v>
      </c>
      <c r="K2114" t="s">
        <v>2639</v>
      </c>
    </row>
    <row r="2115" spans="2:11" x14ac:dyDescent="0.2">
      <c r="B2115" s="21">
        <f t="shared" si="32"/>
        <v>6</v>
      </c>
      <c r="C2115" t="s">
        <v>152</v>
      </c>
      <c r="D2115" t="s">
        <v>13</v>
      </c>
      <c r="E2115" t="s">
        <v>2751</v>
      </c>
      <c r="F2115" t="s">
        <v>8</v>
      </c>
      <c r="G2115" s="21">
        <v>1</v>
      </c>
      <c r="H2115" s="21">
        <v>0</v>
      </c>
      <c r="I2115" t="s">
        <v>160</v>
      </c>
      <c r="J2115" t="s">
        <v>2641</v>
      </c>
      <c r="K2115" t="s">
        <v>2641</v>
      </c>
    </row>
    <row r="2116" spans="2:11" x14ac:dyDescent="0.2">
      <c r="B2116" s="21">
        <f t="shared" si="32"/>
        <v>5</v>
      </c>
      <c r="C2116" t="s">
        <v>65</v>
      </c>
      <c r="D2116" t="s">
        <v>14</v>
      </c>
      <c r="E2116" t="s">
        <v>2751</v>
      </c>
      <c r="F2116" t="s">
        <v>27</v>
      </c>
      <c r="G2116" s="21">
        <v>1</v>
      </c>
      <c r="H2116" s="21">
        <v>0</v>
      </c>
      <c r="I2116" t="s">
        <v>158</v>
      </c>
      <c r="J2116" t="s">
        <v>2642</v>
      </c>
      <c r="K2116" t="s">
        <v>2642</v>
      </c>
    </row>
    <row r="2117" spans="2:11" x14ac:dyDescent="0.2">
      <c r="B2117" s="21">
        <f>B2116-1</f>
        <v>4</v>
      </c>
      <c r="C2117" t="s">
        <v>65</v>
      </c>
      <c r="D2117" t="s">
        <v>14</v>
      </c>
      <c r="E2117" t="s">
        <v>2751</v>
      </c>
      <c r="F2117" t="s">
        <v>27</v>
      </c>
      <c r="G2117" s="21">
        <v>1</v>
      </c>
      <c r="H2117" s="21">
        <v>0</v>
      </c>
      <c r="I2117" t="s">
        <v>159</v>
      </c>
      <c r="J2117" t="s">
        <v>2642</v>
      </c>
      <c r="K2117" t="s">
        <v>2642</v>
      </c>
    </row>
    <row r="2118" spans="2:11" x14ac:dyDescent="0.2">
      <c r="B2118" s="21">
        <f>B2117-1</f>
        <v>3</v>
      </c>
      <c r="C2118" t="s">
        <v>63</v>
      </c>
      <c r="D2118" t="s">
        <v>13</v>
      </c>
      <c r="E2118" t="s">
        <v>2751</v>
      </c>
      <c r="F2118" t="s">
        <v>8</v>
      </c>
      <c r="G2118" s="21">
        <v>1</v>
      </c>
      <c r="H2118" s="21">
        <v>0</v>
      </c>
      <c r="J2118" t="s">
        <v>2642</v>
      </c>
      <c r="K2118" t="s">
        <v>2750</v>
      </c>
    </row>
    <row r="2119" spans="2:11" x14ac:dyDescent="0.2">
      <c r="B2119" s="21">
        <f>B2118-1</f>
        <v>2</v>
      </c>
      <c r="C2119" t="s">
        <v>65</v>
      </c>
      <c r="D2119" t="s">
        <v>14</v>
      </c>
      <c r="E2119" t="s">
        <v>2751</v>
      </c>
      <c r="F2119" t="s">
        <v>27</v>
      </c>
      <c r="G2119" s="21">
        <v>1</v>
      </c>
      <c r="H2119" s="21">
        <v>0</v>
      </c>
      <c r="I2119" t="s">
        <v>157</v>
      </c>
      <c r="J2119" t="s">
        <v>2643</v>
      </c>
      <c r="K2119" t="s">
        <v>2642</v>
      </c>
    </row>
    <row r="2120" spans="2:11" x14ac:dyDescent="0.2">
      <c r="B2120" s="21">
        <f>B2119-1</f>
        <v>1</v>
      </c>
      <c r="C2120" t="s">
        <v>63</v>
      </c>
      <c r="D2120" t="s">
        <v>13</v>
      </c>
      <c r="E2120" t="s">
        <v>2751</v>
      </c>
      <c r="F2120" t="s">
        <v>8</v>
      </c>
      <c r="G2120" s="21">
        <v>1</v>
      </c>
      <c r="H2120" s="21">
        <v>0</v>
      </c>
      <c r="J2120" t="s">
        <v>2643</v>
      </c>
      <c r="K2120" t="s">
        <v>2642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D5C87-192F-42C5-9927-9E48C065974B}">
  <sheetPr codeName="Sheet723"/>
  <dimension ref="B2:N19"/>
  <sheetViews>
    <sheetView workbookViewId="0">
      <selection activeCell="K8" sqref="K8"/>
    </sheetView>
  </sheetViews>
  <sheetFormatPr defaultRowHeight="12.75" x14ac:dyDescent="0.2"/>
  <cols>
    <col min="1" max="1" width="3" customWidth="1"/>
    <col min="2" max="2" width="5.140625" style="21" bestFit="1" customWidth="1"/>
    <col min="3" max="3" width="26.28515625" bestFit="1" customWidth="1"/>
    <col min="4" max="4" width="16.140625" customWidth="1"/>
    <col min="5" max="5" width="14.140625" customWidth="1"/>
    <col min="6" max="6" width="26.7109375" bestFit="1" customWidth="1"/>
    <col min="9" max="9" width="4.140625" bestFit="1" customWidth="1"/>
    <col min="10" max="10" width="6.7109375" bestFit="1" customWidth="1"/>
    <col min="11" max="11" width="7.7109375" bestFit="1" customWidth="1"/>
  </cols>
  <sheetData>
    <row r="2" spans="2:14" ht="27.75" customHeight="1" x14ac:dyDescent="0.2">
      <c r="B2" s="99" t="s">
        <v>2828</v>
      </c>
      <c r="C2" s="99"/>
      <c r="D2" s="99"/>
      <c r="E2" s="99"/>
      <c r="F2" s="99"/>
    </row>
    <row r="3" spans="2:14" s="41" customFormat="1" ht="18" x14ac:dyDescent="0.25">
      <c r="B3" s="44" t="s">
        <v>2829</v>
      </c>
      <c r="D3" s="45" t="s">
        <v>2830</v>
      </c>
    </row>
    <row r="5" spans="2:14" s="42" customFormat="1" ht="19.5" customHeight="1" x14ac:dyDescent="0.2">
      <c r="B5" s="47" t="s">
        <v>2789</v>
      </c>
      <c r="C5" s="48" t="s">
        <v>2815</v>
      </c>
      <c r="D5" s="47" t="s">
        <v>2833</v>
      </c>
      <c r="E5" s="47" t="s">
        <v>2816</v>
      </c>
      <c r="F5" s="47" t="s">
        <v>2818</v>
      </c>
    </row>
    <row r="6" spans="2:14" s="34" customFormat="1" ht="19.5" customHeight="1" x14ac:dyDescent="0.2">
      <c r="B6" s="49">
        <v>1</v>
      </c>
      <c r="C6" s="50" t="s">
        <v>2817</v>
      </c>
      <c r="D6" s="51">
        <v>115</v>
      </c>
      <c r="E6" s="52">
        <v>25.9</v>
      </c>
      <c r="F6" s="53"/>
      <c r="I6" s="61">
        <v>1</v>
      </c>
      <c r="J6" s="61">
        <v>1800</v>
      </c>
      <c r="K6" s="61">
        <f>I6*J6</f>
        <v>1800</v>
      </c>
    </row>
    <row r="7" spans="2:14" s="34" customFormat="1" ht="19.5" customHeight="1" x14ac:dyDescent="0.2">
      <c r="B7" s="49">
        <v>2</v>
      </c>
      <c r="C7" s="54" t="s">
        <v>2819</v>
      </c>
      <c r="D7" s="51">
        <v>6.5</v>
      </c>
      <c r="E7" s="52">
        <v>2.5</v>
      </c>
      <c r="F7" s="50"/>
      <c r="I7" s="61">
        <v>22</v>
      </c>
      <c r="J7" s="61">
        <v>1145</v>
      </c>
      <c r="K7" s="61">
        <f>I7*J7</f>
        <v>25190</v>
      </c>
      <c r="M7" s="34">
        <f>0.7*36000</f>
        <v>25200</v>
      </c>
      <c r="N7" s="34">
        <f>M7/22</f>
        <v>1145.4545454545455</v>
      </c>
    </row>
    <row r="8" spans="2:14" s="34" customFormat="1" ht="19.5" customHeight="1" x14ac:dyDescent="0.2">
      <c r="B8" s="49">
        <v>3</v>
      </c>
      <c r="C8" s="54" t="s">
        <v>2820</v>
      </c>
      <c r="D8" s="51">
        <v>1.8</v>
      </c>
      <c r="E8" s="52">
        <v>1.8</v>
      </c>
      <c r="F8" s="50"/>
      <c r="I8" s="61">
        <v>22</v>
      </c>
      <c r="J8" s="61">
        <v>410</v>
      </c>
      <c r="K8" s="61">
        <f>I8*J8</f>
        <v>9020</v>
      </c>
      <c r="M8" s="34">
        <f>0.25*36000</f>
        <v>9000</v>
      </c>
    </row>
    <row r="9" spans="2:14" s="34" customFormat="1" ht="19.5" customHeight="1" x14ac:dyDescent="0.2">
      <c r="B9" s="49">
        <v>4</v>
      </c>
      <c r="C9" s="54" t="s">
        <v>2821</v>
      </c>
      <c r="D9" s="51">
        <v>11</v>
      </c>
      <c r="E9" s="52">
        <v>4.5999999999999996</v>
      </c>
      <c r="F9" s="50"/>
      <c r="I9" s="61"/>
      <c r="J9" s="61"/>
      <c r="K9" s="61">
        <f>SUM(K6:K8)</f>
        <v>36010</v>
      </c>
    </row>
    <row r="10" spans="2:14" s="34" customFormat="1" ht="19.5" customHeight="1" x14ac:dyDescent="0.2">
      <c r="B10" s="49">
        <v>5</v>
      </c>
      <c r="C10" s="54" t="s">
        <v>2822</v>
      </c>
      <c r="D10" s="51">
        <v>7.1</v>
      </c>
      <c r="E10" s="52">
        <v>4.5</v>
      </c>
      <c r="F10" s="50"/>
    </row>
    <row r="11" spans="2:14" s="34" customFormat="1" ht="19.5" customHeight="1" x14ac:dyDescent="0.2">
      <c r="B11" s="49">
        <v>6</v>
      </c>
      <c r="C11" s="54" t="s">
        <v>2823</v>
      </c>
      <c r="D11" s="51">
        <v>17.899999999999999</v>
      </c>
      <c r="E11" s="52">
        <v>8</v>
      </c>
      <c r="F11" s="50"/>
    </row>
    <row r="12" spans="2:14" s="34" customFormat="1" ht="19.5" customHeight="1" x14ac:dyDescent="0.2">
      <c r="B12" s="49">
        <v>7</v>
      </c>
      <c r="C12" s="54" t="s">
        <v>2824</v>
      </c>
      <c r="D12" s="51">
        <v>32.5</v>
      </c>
      <c r="E12" s="52">
        <v>20</v>
      </c>
      <c r="F12" s="50"/>
    </row>
    <row r="13" spans="2:14" s="34" customFormat="1" ht="19.5" customHeight="1" x14ac:dyDescent="0.2">
      <c r="B13" s="49">
        <v>8</v>
      </c>
      <c r="C13" s="54" t="s">
        <v>2825</v>
      </c>
      <c r="D13" s="51">
        <v>24.1</v>
      </c>
      <c r="E13" s="52">
        <v>5.2</v>
      </c>
      <c r="F13" s="43" t="s">
        <v>2827</v>
      </c>
    </row>
    <row r="14" spans="2:14" s="34" customFormat="1" ht="19.5" customHeight="1" x14ac:dyDescent="0.2">
      <c r="B14" s="49"/>
      <c r="C14" s="50"/>
      <c r="D14" s="50"/>
      <c r="E14" s="50"/>
      <c r="F14" s="50"/>
    </row>
    <row r="15" spans="2:14" s="34" customFormat="1" ht="19.5" customHeight="1" x14ac:dyDescent="0.2">
      <c r="B15" s="49"/>
      <c r="C15" s="50"/>
      <c r="D15" s="50"/>
      <c r="E15" s="50"/>
      <c r="F15" s="50"/>
    </row>
    <row r="16" spans="2:14" s="34" customFormat="1" ht="19.5" customHeight="1" x14ac:dyDescent="0.2">
      <c r="B16" s="49"/>
      <c r="C16" s="50"/>
      <c r="D16" s="50"/>
      <c r="E16" s="50"/>
      <c r="F16" s="50"/>
    </row>
    <row r="17" spans="2:6" s="34" customFormat="1" ht="19.5" customHeight="1" x14ac:dyDescent="0.2">
      <c r="B17" s="49"/>
      <c r="C17" s="50"/>
      <c r="D17" s="55">
        <f>SUM(D6:D16)</f>
        <v>215.9</v>
      </c>
      <c r="E17" s="56">
        <f>SUM(E6:E16)</f>
        <v>72.5</v>
      </c>
      <c r="F17" s="50"/>
    </row>
    <row r="18" spans="2:6" ht="15" x14ac:dyDescent="0.2">
      <c r="B18" s="57"/>
      <c r="C18" s="58"/>
      <c r="D18" s="58"/>
      <c r="E18" s="58"/>
      <c r="F18" s="58"/>
    </row>
    <row r="19" spans="2:6" ht="15.75" x14ac:dyDescent="0.25">
      <c r="B19" s="57"/>
      <c r="C19" s="58"/>
      <c r="D19" s="59" t="s">
        <v>2826</v>
      </c>
      <c r="E19" s="60">
        <f>1-(E17/D17)</f>
        <v>0.66419638721630392</v>
      </c>
      <c r="F19" s="58"/>
    </row>
  </sheetData>
  <mergeCells count="1">
    <mergeCell ref="B2:F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2F6-D8FC-4D26-9A9C-9F52926213EB}">
  <sheetPr codeName="Sheet766"/>
  <dimension ref="A2:R49"/>
  <sheetViews>
    <sheetView topLeftCell="I1" workbookViewId="0">
      <selection activeCell="J7" sqref="J7"/>
    </sheetView>
  </sheetViews>
  <sheetFormatPr defaultRowHeight="12.75" x14ac:dyDescent="0.2"/>
  <cols>
    <col min="1" max="1" width="2.5703125" hidden="1" customWidth="1"/>
    <col min="2" max="2" width="7.28515625" hidden="1" customWidth="1"/>
    <col min="3" max="3" width="22.85546875" hidden="1" customWidth="1"/>
    <col min="4" max="4" width="9.140625" hidden="1" customWidth="1"/>
    <col min="5" max="5" width="7.28515625" hidden="1" customWidth="1"/>
    <col min="6" max="6" width="21.7109375" hidden="1" customWidth="1"/>
    <col min="7" max="7" width="9.140625" hidden="1" customWidth="1"/>
    <col min="8" max="8" width="0" hidden="1" customWidth="1"/>
    <col min="9" max="12" width="14.5703125" customWidth="1"/>
    <col min="13" max="13" width="14.7109375" bestFit="1" customWidth="1"/>
  </cols>
  <sheetData>
    <row r="2" spans="2:18" ht="16.5" x14ac:dyDescent="0.25">
      <c r="B2" s="67" t="s">
        <v>2851</v>
      </c>
      <c r="E2" s="67"/>
      <c r="I2" s="67" t="s">
        <v>3045</v>
      </c>
      <c r="J2" s="67"/>
      <c r="K2" s="67" t="s">
        <v>3046</v>
      </c>
      <c r="L2" s="67"/>
      <c r="P2" s="78" t="s">
        <v>2989</v>
      </c>
    </row>
    <row r="3" spans="2:18" s="64" customFormat="1" x14ac:dyDescent="0.2">
      <c r="B3" s="65" t="s">
        <v>2789</v>
      </c>
      <c r="C3" s="65" t="s">
        <v>2852</v>
      </c>
      <c r="D3" s="65" t="s">
        <v>2853</v>
      </c>
      <c r="E3" s="65" t="s">
        <v>2789</v>
      </c>
      <c r="F3" s="65" t="s">
        <v>2852</v>
      </c>
      <c r="G3" s="65" t="s">
        <v>2853</v>
      </c>
      <c r="I3" s="64" t="s">
        <v>2890</v>
      </c>
      <c r="K3" s="64" t="s">
        <v>2890</v>
      </c>
      <c r="M3" s="64" t="s">
        <v>2891</v>
      </c>
      <c r="P3" s="75" t="s">
        <v>2789</v>
      </c>
      <c r="Q3" s="75" t="s">
        <v>2983</v>
      </c>
      <c r="R3" s="75" t="s">
        <v>2984</v>
      </c>
    </row>
    <row r="4" spans="2:18" x14ac:dyDescent="0.2">
      <c r="B4" s="66">
        <v>1</v>
      </c>
      <c r="C4" s="68" t="s">
        <v>2854</v>
      </c>
      <c r="D4" s="69" t="s">
        <v>2855</v>
      </c>
      <c r="E4" s="66">
        <v>17</v>
      </c>
      <c r="F4" s="68" t="s">
        <v>2872</v>
      </c>
      <c r="G4" s="69" t="s">
        <v>2855</v>
      </c>
      <c r="I4" s="71" t="s">
        <v>2898</v>
      </c>
      <c r="J4" s="25" t="s">
        <v>2897</v>
      </c>
      <c r="K4" s="71" t="s">
        <v>3047</v>
      </c>
      <c r="L4" s="25" t="s">
        <v>3048</v>
      </c>
      <c r="M4" s="71" t="s">
        <v>2892</v>
      </c>
      <c r="N4" s="25" t="s">
        <v>2893</v>
      </c>
      <c r="P4" s="75">
        <v>1</v>
      </c>
      <c r="Q4" s="76" t="s">
        <v>2985</v>
      </c>
      <c r="R4" s="77">
        <v>3435</v>
      </c>
    </row>
    <row r="5" spans="2:18" x14ac:dyDescent="0.2">
      <c r="B5" s="66">
        <v>2</v>
      </c>
      <c r="C5" s="68" t="s">
        <v>2856</v>
      </c>
      <c r="D5" s="69" t="s">
        <v>2855</v>
      </c>
      <c r="E5" s="66">
        <v>18</v>
      </c>
      <c r="F5" s="68" t="s">
        <v>2873</v>
      </c>
      <c r="G5" s="69" t="s">
        <v>2855</v>
      </c>
      <c r="I5" s="71" t="s">
        <v>2919</v>
      </c>
      <c r="J5" s="25" t="s">
        <v>2920</v>
      </c>
      <c r="K5" s="71" t="s">
        <v>3174</v>
      </c>
      <c r="L5" s="25" t="s">
        <v>3020</v>
      </c>
      <c r="M5" s="71" t="s">
        <v>2894</v>
      </c>
      <c r="N5" s="25" t="s">
        <v>2893</v>
      </c>
      <c r="P5" s="75">
        <v>2</v>
      </c>
      <c r="Q5" s="76" t="s">
        <v>2986</v>
      </c>
      <c r="R5" s="77">
        <v>3015</v>
      </c>
    </row>
    <row r="6" spans="2:18" x14ac:dyDescent="0.2">
      <c r="B6" s="66">
        <v>3</v>
      </c>
      <c r="C6" s="68" t="s">
        <v>2857</v>
      </c>
      <c r="D6" s="69" t="s">
        <v>2855</v>
      </c>
      <c r="E6" s="66">
        <v>19</v>
      </c>
      <c r="F6" s="68" t="s">
        <v>2874</v>
      </c>
      <c r="G6" s="69" t="s">
        <v>2855</v>
      </c>
      <c r="I6" s="71" t="s">
        <v>2923</v>
      </c>
      <c r="J6" s="25" t="s">
        <v>2924</v>
      </c>
      <c r="K6" s="71" t="s">
        <v>3206</v>
      </c>
      <c r="L6" s="25" t="s">
        <v>3126</v>
      </c>
      <c r="M6" s="71" t="s">
        <v>2917</v>
      </c>
      <c r="N6" s="25" t="s">
        <v>2893</v>
      </c>
      <c r="P6" s="75">
        <v>3</v>
      </c>
      <c r="Q6" s="76" t="s">
        <v>2987</v>
      </c>
      <c r="R6" s="77">
        <v>2775</v>
      </c>
    </row>
    <row r="7" spans="2:18" x14ac:dyDescent="0.2">
      <c r="B7" s="66">
        <v>4</v>
      </c>
      <c r="C7" s="68" t="s">
        <v>2858</v>
      </c>
      <c r="D7" s="70" t="s">
        <v>2859</v>
      </c>
      <c r="E7" s="66">
        <v>20</v>
      </c>
      <c r="F7" s="68" t="s">
        <v>2875</v>
      </c>
      <c r="G7" s="69" t="s">
        <v>2855</v>
      </c>
      <c r="I7" s="71" t="s">
        <v>2926</v>
      </c>
      <c r="J7" s="25" t="s">
        <v>2927</v>
      </c>
      <c r="K7" s="71" t="s">
        <v>3313</v>
      </c>
      <c r="L7" s="25" t="s">
        <v>3314</v>
      </c>
      <c r="M7" s="71" t="s">
        <v>2918</v>
      </c>
      <c r="N7" s="25" t="s">
        <v>2893</v>
      </c>
      <c r="P7" s="75">
        <v>4</v>
      </c>
      <c r="Q7" s="76" t="s">
        <v>2988</v>
      </c>
      <c r="R7" s="77">
        <v>2695</v>
      </c>
    </row>
    <row r="8" spans="2:18" x14ac:dyDescent="0.2">
      <c r="B8" s="66">
        <v>5</v>
      </c>
      <c r="C8" s="68" t="s">
        <v>2860</v>
      </c>
      <c r="D8" s="70" t="s">
        <v>2859</v>
      </c>
      <c r="E8" s="66">
        <v>21</v>
      </c>
      <c r="F8" s="68" t="s">
        <v>2876</v>
      </c>
      <c r="G8" s="69" t="s">
        <v>2855</v>
      </c>
      <c r="I8" s="71" t="s">
        <v>2929</v>
      </c>
      <c r="J8" s="25" t="s">
        <v>2928</v>
      </c>
      <c r="K8" s="71" t="s">
        <v>3329</v>
      </c>
      <c r="L8" s="25" t="s">
        <v>3330</v>
      </c>
      <c r="M8" s="71" t="s">
        <v>3032</v>
      </c>
      <c r="N8" s="25" t="s">
        <v>3014</v>
      </c>
    </row>
    <row r="9" spans="2:18" ht="18" x14ac:dyDescent="0.25">
      <c r="B9" s="66">
        <v>6</v>
      </c>
      <c r="C9" s="68" t="s">
        <v>2861</v>
      </c>
      <c r="D9" s="69" t="s">
        <v>2855</v>
      </c>
      <c r="E9" s="66">
        <v>22</v>
      </c>
      <c r="F9" s="68" t="s">
        <v>2877</v>
      </c>
      <c r="G9" s="70" t="s">
        <v>2859</v>
      </c>
      <c r="I9" s="71" t="s">
        <v>2933</v>
      </c>
      <c r="J9" s="25" t="s">
        <v>2932</v>
      </c>
      <c r="K9" s="71" t="s">
        <v>3383</v>
      </c>
      <c r="L9" s="25" t="s">
        <v>3335</v>
      </c>
      <c r="M9" s="71" t="s">
        <v>3040</v>
      </c>
      <c r="N9" s="25" t="s">
        <v>3041</v>
      </c>
      <c r="P9" s="80" t="s">
        <v>3025</v>
      </c>
    </row>
    <row r="10" spans="2:18" x14ac:dyDescent="0.2">
      <c r="B10" s="66">
        <v>7</v>
      </c>
      <c r="C10" s="68" t="s">
        <v>2862</v>
      </c>
      <c r="D10" s="70" t="s">
        <v>2859</v>
      </c>
      <c r="E10" s="66">
        <v>23</v>
      </c>
      <c r="F10" s="68" t="s">
        <v>2878</v>
      </c>
      <c r="G10" s="69" t="s">
        <v>2855</v>
      </c>
      <c r="I10" s="71" t="s">
        <v>2935</v>
      </c>
      <c r="J10" s="25" t="s">
        <v>2934</v>
      </c>
      <c r="K10" s="71" t="s">
        <v>3476</v>
      </c>
      <c r="L10" s="25" t="s">
        <v>3477</v>
      </c>
      <c r="M10" s="71"/>
    </row>
    <row r="11" spans="2:18" x14ac:dyDescent="0.2">
      <c r="B11" s="66">
        <v>8</v>
      </c>
      <c r="C11" s="68" t="s">
        <v>2863</v>
      </c>
      <c r="D11" s="70" t="s">
        <v>2859</v>
      </c>
      <c r="E11" s="66">
        <v>24</v>
      </c>
      <c r="F11" s="68" t="s">
        <v>2879</v>
      </c>
      <c r="G11" s="69" t="s">
        <v>2855</v>
      </c>
      <c r="I11" s="71" t="s">
        <v>2943</v>
      </c>
      <c r="J11" s="25" t="s">
        <v>2944</v>
      </c>
      <c r="K11" s="71"/>
      <c r="L11" s="25"/>
      <c r="M11" s="64" t="s">
        <v>2891</v>
      </c>
      <c r="N11" s="64"/>
      <c r="P11" s="81" t="s">
        <v>3034</v>
      </c>
    </row>
    <row r="12" spans="2:18" x14ac:dyDescent="0.2">
      <c r="B12" s="66">
        <v>9</v>
      </c>
      <c r="C12" s="68" t="s">
        <v>2864</v>
      </c>
      <c r="D12" s="70" t="s">
        <v>2859</v>
      </c>
      <c r="E12" s="66">
        <v>25</v>
      </c>
      <c r="F12" s="68" t="s">
        <v>2880</v>
      </c>
      <c r="G12" s="69" t="s">
        <v>2855</v>
      </c>
      <c r="I12" s="71" t="s">
        <v>2945</v>
      </c>
      <c r="J12" s="25" t="s">
        <v>2946</v>
      </c>
      <c r="K12" s="71"/>
      <c r="L12" s="25"/>
      <c r="M12" s="71" t="s">
        <v>3125</v>
      </c>
      <c r="N12" s="25" t="s">
        <v>3126</v>
      </c>
    </row>
    <row r="13" spans="2:18" x14ac:dyDescent="0.2">
      <c r="B13" s="66">
        <v>10</v>
      </c>
      <c r="C13" s="68" t="s">
        <v>2865</v>
      </c>
      <c r="D13" s="69" t="s">
        <v>2855</v>
      </c>
      <c r="E13" s="66">
        <v>26</v>
      </c>
      <c r="F13" s="68" t="s">
        <v>2881</v>
      </c>
      <c r="G13" s="70" t="s">
        <v>2859</v>
      </c>
      <c r="I13" s="71" t="s">
        <v>2947</v>
      </c>
      <c r="J13" s="25" t="s">
        <v>2948</v>
      </c>
      <c r="K13" s="71"/>
      <c r="L13" s="25"/>
      <c r="M13" s="71" t="s">
        <v>3181</v>
      </c>
      <c r="N13" s="25" t="s">
        <v>3182</v>
      </c>
    </row>
    <row r="14" spans="2:18" x14ac:dyDescent="0.2">
      <c r="B14" s="66">
        <v>11</v>
      </c>
      <c r="C14" s="68" t="s">
        <v>2866</v>
      </c>
      <c r="D14" s="70" t="s">
        <v>2859</v>
      </c>
      <c r="E14" s="66">
        <v>27</v>
      </c>
      <c r="F14" s="68" t="s">
        <v>2882</v>
      </c>
      <c r="G14" s="70" t="s">
        <v>2859</v>
      </c>
      <c r="I14" s="71" t="s">
        <v>2968</v>
      </c>
      <c r="J14" s="25" t="s">
        <v>2920</v>
      </c>
      <c r="K14" s="71"/>
      <c r="L14" s="25"/>
      <c r="M14" s="71" t="s">
        <v>3342</v>
      </c>
      <c r="N14" s="25" t="s">
        <v>3330</v>
      </c>
      <c r="P14" s="79" t="s">
        <v>3268</v>
      </c>
    </row>
    <row r="15" spans="2:18" x14ac:dyDescent="0.2">
      <c r="B15" s="66">
        <v>12</v>
      </c>
      <c r="C15" s="68" t="s">
        <v>2867</v>
      </c>
      <c r="D15" s="69" t="s">
        <v>2855</v>
      </c>
      <c r="E15" s="66">
        <v>28</v>
      </c>
      <c r="F15" s="68" t="s">
        <v>2883</v>
      </c>
      <c r="G15" s="69" t="s">
        <v>2855</v>
      </c>
      <c r="I15" s="71" t="s">
        <v>2972</v>
      </c>
      <c r="J15" s="25" t="s">
        <v>2973</v>
      </c>
      <c r="K15" s="71"/>
      <c r="L15" s="25"/>
      <c r="M15" s="71" t="s">
        <v>3458</v>
      </c>
      <c r="N15" s="25" t="s">
        <v>3335</v>
      </c>
      <c r="P15" s="79" t="s">
        <v>3269</v>
      </c>
    </row>
    <row r="16" spans="2:18" x14ac:dyDescent="0.2">
      <c r="B16" s="66">
        <v>13</v>
      </c>
      <c r="C16" s="68" t="s">
        <v>2868</v>
      </c>
      <c r="D16" s="70" t="s">
        <v>2859</v>
      </c>
      <c r="E16" s="66">
        <v>29</v>
      </c>
      <c r="F16" s="68" t="s">
        <v>2884</v>
      </c>
      <c r="G16" s="70" t="s">
        <v>2859</v>
      </c>
      <c r="I16" s="71" t="s">
        <v>2974</v>
      </c>
      <c r="J16" s="25" t="s">
        <v>2975</v>
      </c>
      <c r="K16" s="71"/>
      <c r="L16" s="25"/>
      <c r="M16" s="71"/>
    </row>
    <row r="17" spans="2:13" x14ac:dyDescent="0.2">
      <c r="B17" s="66">
        <v>14</v>
      </c>
      <c r="C17" s="68" t="s">
        <v>2869</v>
      </c>
      <c r="D17" s="70" t="s">
        <v>2859</v>
      </c>
      <c r="E17" s="66">
        <v>30</v>
      </c>
      <c r="F17" s="68" t="s">
        <v>2885</v>
      </c>
      <c r="G17" s="70" t="s">
        <v>2859</v>
      </c>
      <c r="I17" s="71" t="s">
        <v>2976</v>
      </c>
      <c r="J17" s="25" t="s">
        <v>2977</v>
      </c>
      <c r="K17" s="71"/>
      <c r="L17" s="25"/>
      <c r="M17" s="71"/>
    </row>
    <row r="18" spans="2:13" x14ac:dyDescent="0.2">
      <c r="B18" s="66">
        <v>15</v>
      </c>
      <c r="C18" s="68" t="s">
        <v>2870</v>
      </c>
      <c r="D18" s="70" t="s">
        <v>2859</v>
      </c>
      <c r="E18" s="66">
        <v>31</v>
      </c>
      <c r="F18" s="68" t="s">
        <v>2886</v>
      </c>
      <c r="G18" s="70" t="s">
        <v>2859</v>
      </c>
      <c r="I18" s="71" t="s">
        <v>2992</v>
      </c>
      <c r="J18" s="25" t="s">
        <v>2993</v>
      </c>
      <c r="K18" s="71"/>
      <c r="L18" s="25"/>
      <c r="M18" s="71"/>
    </row>
    <row r="19" spans="2:13" x14ac:dyDescent="0.2">
      <c r="B19" s="66">
        <v>16</v>
      </c>
      <c r="C19" s="68" t="s">
        <v>2871</v>
      </c>
      <c r="D19" s="70" t="s">
        <v>2859</v>
      </c>
      <c r="E19" s="66">
        <v>32</v>
      </c>
      <c r="F19" s="68" t="s">
        <v>2887</v>
      </c>
      <c r="G19" s="69" t="s">
        <v>2855</v>
      </c>
      <c r="I19" s="71" t="s">
        <v>3002</v>
      </c>
      <c r="J19" s="25" t="s">
        <v>3001</v>
      </c>
      <c r="K19" s="71"/>
      <c r="L19" s="25"/>
      <c r="M19" s="71"/>
    </row>
    <row r="20" spans="2:13" x14ac:dyDescent="0.2">
      <c r="E20" s="66">
        <v>33</v>
      </c>
      <c r="F20" s="68" t="s">
        <v>2888</v>
      </c>
      <c r="G20" s="70" t="s">
        <v>2889</v>
      </c>
      <c r="I20" s="71" t="s">
        <v>3003</v>
      </c>
      <c r="J20" s="25" t="s">
        <v>3004</v>
      </c>
      <c r="K20" s="71"/>
      <c r="L20" s="25"/>
      <c r="M20" s="71"/>
    </row>
    <row r="21" spans="2:13" x14ac:dyDescent="0.2">
      <c r="I21" s="71" t="s">
        <v>3007</v>
      </c>
      <c r="J21" s="25" t="s">
        <v>3008</v>
      </c>
      <c r="K21" s="71"/>
      <c r="L21" s="25"/>
      <c r="M21" s="71"/>
    </row>
    <row r="22" spans="2:13" ht="16.5" x14ac:dyDescent="0.25">
      <c r="B22" s="67" t="s">
        <v>2903</v>
      </c>
      <c r="I22" s="71" t="s">
        <v>3013</v>
      </c>
      <c r="J22" s="25" t="s">
        <v>3014</v>
      </c>
      <c r="K22" s="71"/>
      <c r="L22" s="25"/>
      <c r="M22" s="71"/>
    </row>
    <row r="23" spans="2:13" x14ac:dyDescent="0.2">
      <c r="B23" s="65" t="s">
        <v>2789</v>
      </c>
      <c r="C23" s="65" t="s">
        <v>2852</v>
      </c>
      <c r="D23" s="65" t="s">
        <v>2914</v>
      </c>
      <c r="I23" s="71" t="s">
        <v>3015</v>
      </c>
      <c r="J23" s="25" t="s">
        <v>2837</v>
      </c>
      <c r="K23" s="71"/>
      <c r="L23" s="25"/>
      <c r="M23" s="71"/>
    </row>
    <row r="24" spans="2:13" x14ac:dyDescent="0.2">
      <c r="B24" s="66">
        <v>1</v>
      </c>
      <c r="C24" s="68" t="s">
        <v>2902</v>
      </c>
      <c r="D24" s="69"/>
      <c r="I24" s="71" t="s">
        <v>3019</v>
      </c>
      <c r="J24" s="25" t="s">
        <v>3020</v>
      </c>
      <c r="K24" s="71"/>
      <c r="L24" s="25"/>
    </row>
    <row r="25" spans="2:13" x14ac:dyDescent="0.2">
      <c r="B25" s="66">
        <v>2</v>
      </c>
      <c r="C25" s="68" t="s">
        <v>2904</v>
      </c>
      <c r="D25" s="69"/>
      <c r="I25" s="71" t="s">
        <v>3023</v>
      </c>
      <c r="J25" s="25" t="s">
        <v>3024</v>
      </c>
      <c r="K25" s="71"/>
      <c r="L25" s="25"/>
    </row>
    <row r="26" spans="2:13" x14ac:dyDescent="0.2">
      <c r="B26" s="66">
        <v>3</v>
      </c>
      <c r="C26" s="68" t="s">
        <v>2905</v>
      </c>
      <c r="D26" s="69"/>
      <c r="I26" s="71" t="s">
        <v>3026</v>
      </c>
      <c r="J26" s="25" t="s">
        <v>3027</v>
      </c>
      <c r="K26" s="71"/>
      <c r="L26" s="25"/>
    </row>
    <row r="27" spans="2:13" x14ac:dyDescent="0.2">
      <c r="B27" s="66">
        <v>4</v>
      </c>
      <c r="C27" s="68" t="s">
        <v>2906</v>
      </c>
      <c r="D27" s="69"/>
      <c r="I27" s="71"/>
      <c r="J27" s="25"/>
      <c r="K27" s="71"/>
      <c r="L27" s="25"/>
    </row>
    <row r="28" spans="2:13" x14ac:dyDescent="0.2">
      <c r="B28" s="66">
        <v>5</v>
      </c>
      <c r="C28" s="68" t="s">
        <v>2907</v>
      </c>
      <c r="D28" s="69"/>
    </row>
    <row r="29" spans="2:13" x14ac:dyDescent="0.2">
      <c r="B29" s="66">
        <v>6</v>
      </c>
      <c r="C29" s="68" t="s">
        <v>2908</v>
      </c>
      <c r="D29" s="69"/>
    </row>
    <row r="30" spans="2:13" x14ac:dyDescent="0.2">
      <c r="B30" s="66">
        <v>7</v>
      </c>
      <c r="C30" s="68" t="s">
        <v>2909</v>
      </c>
      <c r="D30" s="69"/>
    </row>
    <row r="31" spans="2:13" x14ac:dyDescent="0.2">
      <c r="B31" s="66">
        <v>8</v>
      </c>
      <c r="C31" s="68" t="s">
        <v>2910</v>
      </c>
      <c r="D31" s="69"/>
      <c r="I31">
        <v>1</v>
      </c>
      <c r="J31" t="s">
        <v>2950</v>
      </c>
      <c r="K31">
        <v>1</v>
      </c>
      <c r="L31" t="s">
        <v>2950</v>
      </c>
    </row>
    <row r="32" spans="2:13" x14ac:dyDescent="0.2">
      <c r="B32" s="66">
        <v>9</v>
      </c>
      <c r="C32" s="68" t="s">
        <v>2911</v>
      </c>
      <c r="D32" s="69"/>
      <c r="I32">
        <v>2</v>
      </c>
      <c r="J32" t="s">
        <v>2805</v>
      </c>
      <c r="K32">
        <v>2</v>
      </c>
      <c r="L32" t="s">
        <v>2805</v>
      </c>
    </row>
    <row r="33" spans="2:12" x14ac:dyDescent="0.2">
      <c r="B33" s="66">
        <v>10</v>
      </c>
      <c r="C33" s="68" t="s">
        <v>2912</v>
      </c>
      <c r="D33" s="69"/>
      <c r="I33">
        <v>3</v>
      </c>
      <c r="J33" t="s">
        <v>2951</v>
      </c>
      <c r="K33">
        <v>3</v>
      </c>
      <c r="L33" t="s">
        <v>2951</v>
      </c>
    </row>
    <row r="34" spans="2:12" x14ac:dyDescent="0.2">
      <c r="B34" s="66">
        <v>11</v>
      </c>
      <c r="C34" s="68" t="s">
        <v>2913</v>
      </c>
      <c r="D34" s="69"/>
      <c r="I34">
        <v>4</v>
      </c>
      <c r="J34" t="s">
        <v>2952</v>
      </c>
      <c r="K34">
        <v>4</v>
      </c>
      <c r="L34" t="s">
        <v>2952</v>
      </c>
    </row>
    <row r="35" spans="2:12" x14ac:dyDescent="0.2">
      <c r="B35" s="66">
        <v>12</v>
      </c>
      <c r="C35" s="68" t="s">
        <v>2915</v>
      </c>
      <c r="D35" s="69"/>
      <c r="I35">
        <v>5</v>
      </c>
      <c r="J35" t="s">
        <v>2946</v>
      </c>
      <c r="K35">
        <v>5</v>
      </c>
      <c r="L35" t="s">
        <v>2946</v>
      </c>
    </row>
    <row r="36" spans="2:12" x14ac:dyDescent="0.2">
      <c r="B36" s="66">
        <v>13</v>
      </c>
      <c r="C36" s="68" t="s">
        <v>2916</v>
      </c>
      <c r="D36" s="69"/>
      <c r="I36">
        <v>6</v>
      </c>
      <c r="J36" t="s">
        <v>2953</v>
      </c>
      <c r="K36">
        <v>6</v>
      </c>
      <c r="L36" t="s">
        <v>2953</v>
      </c>
    </row>
    <row r="37" spans="2:12" x14ac:dyDescent="0.2">
      <c r="I37">
        <v>7</v>
      </c>
      <c r="J37" t="s">
        <v>2954</v>
      </c>
      <c r="K37">
        <v>7</v>
      </c>
      <c r="L37" t="s">
        <v>2954</v>
      </c>
    </row>
    <row r="38" spans="2:12" x14ac:dyDescent="0.2">
      <c r="I38">
        <v>8</v>
      </c>
      <c r="J38" t="s">
        <v>2955</v>
      </c>
      <c r="K38">
        <v>8</v>
      </c>
      <c r="L38" t="s">
        <v>2955</v>
      </c>
    </row>
    <row r="39" spans="2:12" x14ac:dyDescent="0.2">
      <c r="I39">
        <v>9</v>
      </c>
      <c r="J39" t="s">
        <v>2934</v>
      </c>
      <c r="K39">
        <v>9</v>
      </c>
      <c r="L39" t="s">
        <v>2934</v>
      </c>
    </row>
    <row r="40" spans="2:12" x14ac:dyDescent="0.2">
      <c r="I40">
        <v>10</v>
      </c>
      <c r="J40" t="s">
        <v>2956</v>
      </c>
      <c r="K40">
        <v>10</v>
      </c>
      <c r="L40" t="s">
        <v>2956</v>
      </c>
    </row>
    <row r="41" spans="2:12" x14ac:dyDescent="0.2">
      <c r="I41">
        <v>11</v>
      </c>
      <c r="J41" t="s">
        <v>2957</v>
      </c>
      <c r="K41">
        <v>11</v>
      </c>
      <c r="L41" t="s">
        <v>2957</v>
      </c>
    </row>
    <row r="42" spans="2:12" x14ac:dyDescent="0.2">
      <c r="I42">
        <v>12</v>
      </c>
      <c r="J42" t="s">
        <v>2958</v>
      </c>
      <c r="K42">
        <v>12</v>
      </c>
      <c r="L42" t="s">
        <v>2958</v>
      </c>
    </row>
    <row r="43" spans="2:12" x14ac:dyDescent="0.2">
      <c r="I43">
        <v>13</v>
      </c>
      <c r="J43" s="25" t="s">
        <v>2959</v>
      </c>
      <c r="K43">
        <v>13</v>
      </c>
      <c r="L43" s="25" t="s">
        <v>2959</v>
      </c>
    </row>
    <row r="44" spans="2:12" x14ac:dyDescent="0.2">
      <c r="I44">
        <v>14</v>
      </c>
      <c r="J44" s="25" t="s">
        <v>2960</v>
      </c>
      <c r="K44">
        <v>14</v>
      </c>
      <c r="L44" s="25" t="s">
        <v>2960</v>
      </c>
    </row>
    <row r="45" spans="2:12" x14ac:dyDescent="0.2">
      <c r="I45">
        <v>15</v>
      </c>
      <c r="J45" s="25" t="s">
        <v>2961</v>
      </c>
      <c r="K45">
        <v>15</v>
      </c>
      <c r="L45" s="25" t="s">
        <v>2961</v>
      </c>
    </row>
    <row r="46" spans="2:12" x14ac:dyDescent="0.2">
      <c r="I46">
        <v>16</v>
      </c>
      <c r="J46" s="25" t="s">
        <v>2962</v>
      </c>
      <c r="K46">
        <v>16</v>
      </c>
      <c r="L46" s="25" t="s">
        <v>2962</v>
      </c>
    </row>
    <row r="47" spans="2:12" x14ac:dyDescent="0.2">
      <c r="I47">
        <v>17</v>
      </c>
      <c r="J47" s="25" t="s">
        <v>2963</v>
      </c>
      <c r="K47">
        <v>17</v>
      </c>
      <c r="L47" s="25" t="s">
        <v>2963</v>
      </c>
    </row>
    <row r="48" spans="2:12" x14ac:dyDescent="0.2">
      <c r="I48">
        <v>18</v>
      </c>
      <c r="J48" s="25" t="s">
        <v>2964</v>
      </c>
      <c r="K48">
        <v>18</v>
      </c>
      <c r="L48" s="25" t="s">
        <v>2964</v>
      </c>
    </row>
    <row r="49" spans="9:12" x14ac:dyDescent="0.2">
      <c r="I49">
        <v>19</v>
      </c>
      <c r="J49" s="25" t="s">
        <v>2965</v>
      </c>
      <c r="K49">
        <v>19</v>
      </c>
      <c r="L49" s="25" t="s">
        <v>2965</v>
      </c>
    </row>
  </sheetData>
  <hyperlinks>
    <hyperlink ref="P9" r:id="rId1" xr:uid="{8197402C-F7F5-4B24-841C-E67D4C96D426}"/>
    <hyperlink ref="P11" r:id="rId2" xr:uid="{F95A789C-6875-447B-97BF-EB2EF01987C1}"/>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dimension ref="A1:L366"/>
  <sheetViews>
    <sheetView topLeftCell="A239" zoomScale="90" zoomScaleNormal="90" workbookViewId="0">
      <selection activeCell="E259" sqref="E259"/>
    </sheetView>
  </sheetViews>
  <sheetFormatPr defaultRowHeight="14.25" x14ac:dyDescent="0.2"/>
  <cols>
    <col min="1" max="1" width="4.42578125" style="1" customWidth="1"/>
    <col min="2" max="2" width="7.85546875" style="1" bestFit="1" customWidth="1"/>
    <col min="3" max="3" width="23.7109375" style="1" customWidth="1"/>
    <col min="4" max="4" width="19" style="1" customWidth="1"/>
    <col min="5" max="5" width="33" style="1" customWidth="1"/>
    <col min="6" max="6" width="14.140625" style="1" customWidth="1"/>
    <col min="7" max="10" width="9.140625" style="1"/>
    <col min="11" max="11" width="21.7109375" style="1" bestFit="1" customWidth="1"/>
    <col min="12" max="16384" width="9.140625" style="1"/>
  </cols>
  <sheetData>
    <row r="1" spans="1:8" ht="15.75" x14ac:dyDescent="0.25">
      <c r="A1" s="2"/>
    </row>
    <row r="2" spans="1:8" ht="15" x14ac:dyDescent="0.2">
      <c r="B2" s="3" t="s">
        <v>0</v>
      </c>
      <c r="C2" s="3" t="s">
        <v>3</v>
      </c>
      <c r="D2" s="3" t="s">
        <v>5</v>
      </c>
      <c r="E2" s="3" t="s">
        <v>6</v>
      </c>
      <c r="F2" s="3" t="s">
        <v>11</v>
      </c>
      <c r="H2" s="72"/>
    </row>
    <row r="3" spans="1:8" ht="15" x14ac:dyDescent="0.2">
      <c r="B3" s="4">
        <v>1</v>
      </c>
      <c r="C3" s="7" t="s">
        <v>43</v>
      </c>
      <c r="D3" s="6" t="s">
        <v>29</v>
      </c>
      <c r="E3" s="15" t="s">
        <v>26</v>
      </c>
      <c r="F3" s="16" t="s">
        <v>14</v>
      </c>
      <c r="H3" s="72"/>
    </row>
    <row r="4" spans="1:8" ht="15" x14ac:dyDescent="0.2">
      <c r="B4" s="4">
        <v>2</v>
      </c>
      <c r="C4" s="7" t="s">
        <v>28</v>
      </c>
      <c r="D4" s="6" t="s">
        <v>2</v>
      </c>
      <c r="E4" s="15" t="s">
        <v>35</v>
      </c>
      <c r="F4" s="16" t="s">
        <v>19</v>
      </c>
      <c r="H4" s="72"/>
    </row>
    <row r="5" spans="1:8" ht="15" x14ac:dyDescent="0.2">
      <c r="B5" s="4">
        <v>3</v>
      </c>
      <c r="C5" s="7" t="s">
        <v>8</v>
      </c>
      <c r="D5" s="6" t="s">
        <v>20</v>
      </c>
      <c r="E5" s="15" t="s">
        <v>12</v>
      </c>
      <c r="F5" s="16" t="s">
        <v>13</v>
      </c>
      <c r="H5" s="72"/>
    </row>
    <row r="6" spans="1:8" ht="15" x14ac:dyDescent="0.2">
      <c r="B6" s="4">
        <v>4</v>
      </c>
      <c r="C6" s="7" t="s">
        <v>46</v>
      </c>
      <c r="D6" s="6"/>
      <c r="E6" s="15" t="s">
        <v>33</v>
      </c>
      <c r="F6" s="16" t="s">
        <v>18</v>
      </c>
      <c r="H6" s="72"/>
    </row>
    <row r="7" spans="1:8" ht="15" x14ac:dyDescent="0.2">
      <c r="B7" s="4">
        <v>5</v>
      </c>
      <c r="C7" s="7" t="s">
        <v>49</v>
      </c>
      <c r="D7" s="6"/>
      <c r="E7" s="15" t="s">
        <v>24</v>
      </c>
      <c r="F7" s="16" t="s">
        <v>17</v>
      </c>
      <c r="H7" s="72"/>
    </row>
    <row r="8" spans="1:8" ht="15" x14ac:dyDescent="0.2">
      <c r="B8" s="4">
        <v>6</v>
      </c>
      <c r="C8" s="7" t="s">
        <v>115</v>
      </c>
      <c r="D8" s="6"/>
      <c r="E8" s="15" t="s">
        <v>32</v>
      </c>
      <c r="F8" s="16" t="s">
        <v>16</v>
      </c>
      <c r="H8" s="72"/>
    </row>
    <row r="9" spans="1:8" ht="15" x14ac:dyDescent="0.2">
      <c r="B9" s="4">
        <v>7</v>
      </c>
      <c r="C9" s="7" t="s">
        <v>42</v>
      </c>
      <c r="D9" s="6"/>
      <c r="E9" s="15" t="s">
        <v>25</v>
      </c>
      <c r="F9" s="16" t="s">
        <v>15</v>
      </c>
      <c r="H9" s="72"/>
    </row>
    <row r="10" spans="1:8" ht="15" x14ac:dyDescent="0.2">
      <c r="B10" s="4">
        <v>8</v>
      </c>
      <c r="C10" s="7" t="s">
        <v>21</v>
      </c>
      <c r="D10" s="6"/>
      <c r="E10" s="15" t="s">
        <v>36</v>
      </c>
      <c r="F10" s="16" t="s">
        <v>41</v>
      </c>
      <c r="H10" s="72"/>
    </row>
    <row r="11" spans="1:8" ht="15" x14ac:dyDescent="0.2">
      <c r="B11" s="4">
        <v>9</v>
      </c>
      <c r="C11" s="7" t="s">
        <v>69</v>
      </c>
      <c r="D11" s="6"/>
      <c r="E11" s="15" t="s">
        <v>38</v>
      </c>
      <c r="F11" s="16" t="s">
        <v>68</v>
      </c>
      <c r="H11" s="72"/>
    </row>
    <row r="12" spans="1:8" ht="15" x14ac:dyDescent="0.2">
      <c r="B12" s="4">
        <v>10</v>
      </c>
      <c r="C12" s="7" t="s">
        <v>23</v>
      </c>
      <c r="D12" s="6"/>
      <c r="E12" s="15" t="s">
        <v>44</v>
      </c>
      <c r="F12" s="16" t="s">
        <v>156</v>
      </c>
      <c r="H12" s="72"/>
    </row>
    <row r="13" spans="1:8" ht="15" x14ac:dyDescent="0.2">
      <c r="B13" s="4">
        <v>11</v>
      </c>
      <c r="C13" s="7" t="s">
        <v>22</v>
      </c>
      <c r="D13" s="6"/>
      <c r="E13" s="15" t="s">
        <v>45</v>
      </c>
      <c r="F13" s="16" t="s">
        <v>3038</v>
      </c>
      <c r="H13" s="72"/>
    </row>
    <row r="14" spans="1:8" ht="15" x14ac:dyDescent="0.2">
      <c r="B14" s="4">
        <v>12</v>
      </c>
      <c r="C14" s="7" t="s">
        <v>10</v>
      </c>
      <c r="D14" s="6"/>
      <c r="E14" s="15" t="s">
        <v>47</v>
      </c>
      <c r="F14" s="16"/>
      <c r="H14" s="72"/>
    </row>
    <row r="15" spans="1:8" ht="15" x14ac:dyDescent="0.2">
      <c r="B15" s="4">
        <v>13</v>
      </c>
      <c r="C15" s="7" t="s">
        <v>27</v>
      </c>
      <c r="D15" s="6"/>
      <c r="E15" s="15" t="s">
        <v>48</v>
      </c>
      <c r="F15" s="16"/>
      <c r="H15" s="72"/>
    </row>
    <row r="16" spans="1:8" ht="15" x14ac:dyDescent="0.2">
      <c r="B16" s="4">
        <v>14</v>
      </c>
      <c r="C16" s="7" t="s">
        <v>64</v>
      </c>
      <c r="D16" s="6"/>
      <c r="E16" s="15" t="s">
        <v>51</v>
      </c>
      <c r="F16" s="16"/>
      <c r="H16" s="72"/>
    </row>
    <row r="17" spans="2:8" ht="15" x14ac:dyDescent="0.2">
      <c r="B17" s="4">
        <v>15</v>
      </c>
      <c r="C17" s="7" t="s">
        <v>31</v>
      </c>
      <c r="D17" s="6"/>
      <c r="E17" s="15" t="s">
        <v>53</v>
      </c>
      <c r="F17" s="16"/>
      <c r="H17" s="72"/>
    </row>
    <row r="18" spans="2:8" ht="15" x14ac:dyDescent="0.2">
      <c r="B18" s="4">
        <v>16</v>
      </c>
      <c r="C18" s="7" t="s">
        <v>61</v>
      </c>
      <c r="D18" s="6"/>
      <c r="E18" s="15" t="s">
        <v>39</v>
      </c>
      <c r="F18" s="16"/>
      <c r="H18" s="72"/>
    </row>
    <row r="19" spans="2:8" ht="15" x14ac:dyDescent="0.2">
      <c r="B19" s="4">
        <v>17</v>
      </c>
      <c r="C19" s="7" t="s">
        <v>4</v>
      </c>
      <c r="D19" s="6"/>
      <c r="E19" s="15" t="s">
        <v>54</v>
      </c>
      <c r="F19" s="16"/>
      <c r="H19" s="72"/>
    </row>
    <row r="20" spans="2:8" ht="15" x14ac:dyDescent="0.2">
      <c r="B20" s="4">
        <v>18</v>
      </c>
      <c r="C20" s="7" t="s">
        <v>37</v>
      </c>
      <c r="D20" s="6"/>
      <c r="E20" s="15" t="s">
        <v>55</v>
      </c>
      <c r="F20" s="16"/>
      <c r="H20" s="72"/>
    </row>
    <row r="21" spans="2:8" ht="15" x14ac:dyDescent="0.2">
      <c r="B21" s="4">
        <v>19</v>
      </c>
      <c r="C21" s="7" t="s">
        <v>50</v>
      </c>
      <c r="D21" s="6"/>
      <c r="E21" s="15" t="s">
        <v>57</v>
      </c>
      <c r="F21" s="16"/>
      <c r="H21" s="72"/>
    </row>
    <row r="22" spans="2:8" ht="15" x14ac:dyDescent="0.2">
      <c r="B22" s="4">
        <v>20</v>
      </c>
      <c r="C22" s="7" t="s">
        <v>30</v>
      </c>
      <c r="D22" s="6"/>
      <c r="E22" s="15" t="s">
        <v>58</v>
      </c>
      <c r="F22" s="16"/>
      <c r="H22" s="72"/>
    </row>
    <row r="23" spans="2:8" ht="15" x14ac:dyDescent="0.2">
      <c r="B23" s="4">
        <v>21</v>
      </c>
      <c r="C23" s="7" t="s">
        <v>9</v>
      </c>
      <c r="D23" s="6"/>
      <c r="E23" s="15" t="s">
        <v>59</v>
      </c>
      <c r="F23" s="16"/>
      <c r="H23" s="72"/>
    </row>
    <row r="24" spans="2:8" ht="15" x14ac:dyDescent="0.2">
      <c r="B24" s="4">
        <v>22</v>
      </c>
      <c r="C24" s="7" t="s">
        <v>34</v>
      </c>
      <c r="D24" s="6"/>
      <c r="E24" s="15" t="s">
        <v>60</v>
      </c>
      <c r="F24" s="16"/>
      <c r="H24" s="72"/>
    </row>
    <row r="25" spans="2:8" ht="15" x14ac:dyDescent="0.2">
      <c r="B25" s="4">
        <v>23</v>
      </c>
      <c r="D25" s="6"/>
      <c r="E25" s="15" t="s">
        <v>62</v>
      </c>
      <c r="F25" s="16"/>
      <c r="H25" s="72"/>
    </row>
    <row r="26" spans="2:8" ht="15" x14ac:dyDescent="0.2">
      <c r="B26" s="4">
        <v>24</v>
      </c>
      <c r="D26" s="6"/>
      <c r="E26" s="15" t="s">
        <v>63</v>
      </c>
      <c r="F26" s="16"/>
      <c r="H26" s="72"/>
    </row>
    <row r="27" spans="2:8" ht="15" x14ac:dyDescent="0.2">
      <c r="B27" s="4">
        <v>25</v>
      </c>
      <c r="C27" s="7"/>
      <c r="D27" s="6"/>
      <c r="E27" s="15" t="s">
        <v>65</v>
      </c>
      <c r="F27" s="16"/>
      <c r="H27" s="72"/>
    </row>
    <row r="28" spans="2:8" ht="15" x14ac:dyDescent="0.2">
      <c r="B28" s="4">
        <v>26</v>
      </c>
      <c r="D28" s="6"/>
      <c r="E28" s="15" t="s">
        <v>66</v>
      </c>
      <c r="F28" s="16"/>
      <c r="H28" s="72"/>
    </row>
    <row r="29" spans="2:8" ht="15" x14ac:dyDescent="0.2">
      <c r="B29" s="4">
        <v>27</v>
      </c>
      <c r="D29" s="6"/>
      <c r="E29" s="15" t="s">
        <v>67</v>
      </c>
      <c r="F29" s="16"/>
      <c r="H29" s="72"/>
    </row>
    <row r="30" spans="2:8" ht="15" x14ac:dyDescent="0.2">
      <c r="B30" s="4">
        <v>28</v>
      </c>
      <c r="D30" s="6"/>
      <c r="E30" s="15" t="s">
        <v>70</v>
      </c>
      <c r="F30" s="16"/>
      <c r="H30" s="72"/>
    </row>
    <row r="31" spans="2:8" ht="15" x14ac:dyDescent="0.2">
      <c r="B31" s="4">
        <v>29</v>
      </c>
      <c r="D31" s="6"/>
      <c r="E31" s="15" t="s">
        <v>71</v>
      </c>
      <c r="F31" s="16"/>
      <c r="H31" s="72"/>
    </row>
    <row r="32" spans="2:8" ht="15" x14ac:dyDescent="0.2">
      <c r="B32" s="4">
        <v>30</v>
      </c>
      <c r="D32" s="6"/>
      <c r="E32" s="15" t="s">
        <v>72</v>
      </c>
      <c r="F32" s="16"/>
      <c r="H32" s="72"/>
    </row>
    <row r="33" spans="2:8" ht="15" x14ac:dyDescent="0.2">
      <c r="B33" s="4">
        <v>31</v>
      </c>
      <c r="D33" s="6"/>
      <c r="E33" s="15" t="s">
        <v>73</v>
      </c>
      <c r="F33" s="16"/>
      <c r="H33" s="72"/>
    </row>
    <row r="34" spans="2:8" ht="15" x14ac:dyDescent="0.2">
      <c r="B34" s="4">
        <v>32</v>
      </c>
      <c r="C34" s="7"/>
      <c r="D34" s="6"/>
      <c r="E34" s="15" t="s">
        <v>74</v>
      </c>
      <c r="F34" s="16"/>
      <c r="H34" s="72"/>
    </row>
    <row r="35" spans="2:8" ht="15" x14ac:dyDescent="0.2">
      <c r="B35" s="4">
        <v>33</v>
      </c>
      <c r="C35" s="7"/>
      <c r="D35" s="6"/>
      <c r="E35" s="15" t="s">
        <v>75</v>
      </c>
      <c r="F35" s="16"/>
      <c r="H35" s="72"/>
    </row>
    <row r="36" spans="2:8" ht="15" x14ac:dyDescent="0.2">
      <c r="B36" s="4">
        <v>34</v>
      </c>
      <c r="C36" s="7"/>
      <c r="D36" s="6"/>
      <c r="E36" s="15" t="s">
        <v>76</v>
      </c>
      <c r="F36" s="16"/>
      <c r="H36" s="72"/>
    </row>
    <row r="37" spans="2:8" ht="15" x14ac:dyDescent="0.2">
      <c r="B37" s="4">
        <v>35</v>
      </c>
      <c r="C37" s="7"/>
      <c r="D37" s="6"/>
      <c r="E37" s="15" t="s">
        <v>77</v>
      </c>
      <c r="F37" s="16"/>
      <c r="H37" s="72"/>
    </row>
    <row r="38" spans="2:8" ht="15" x14ac:dyDescent="0.2">
      <c r="B38" s="4">
        <v>36</v>
      </c>
      <c r="C38" s="7"/>
      <c r="D38" s="6"/>
      <c r="E38" s="15" t="s">
        <v>78</v>
      </c>
      <c r="F38" s="16"/>
      <c r="H38" s="72"/>
    </row>
    <row r="39" spans="2:8" ht="15" x14ac:dyDescent="0.2">
      <c r="B39" s="4">
        <v>37</v>
      </c>
      <c r="C39" s="7"/>
      <c r="D39" s="6"/>
      <c r="E39" s="15" t="s">
        <v>79</v>
      </c>
      <c r="F39" s="16"/>
      <c r="H39" s="72"/>
    </row>
    <row r="40" spans="2:8" ht="15" x14ac:dyDescent="0.2">
      <c r="B40" s="4">
        <v>38</v>
      </c>
      <c r="C40" s="7"/>
      <c r="D40" s="6"/>
      <c r="E40" s="15" t="s">
        <v>80</v>
      </c>
      <c r="F40" s="16"/>
      <c r="H40" s="72"/>
    </row>
    <row r="41" spans="2:8" ht="15" x14ac:dyDescent="0.2">
      <c r="B41" s="4">
        <v>39</v>
      </c>
      <c r="C41" s="7"/>
      <c r="D41" s="6"/>
      <c r="E41" s="15" t="s">
        <v>81</v>
      </c>
      <c r="F41" s="16"/>
      <c r="H41" s="72"/>
    </row>
    <row r="42" spans="2:8" ht="15" x14ac:dyDescent="0.2">
      <c r="B42" s="4">
        <v>40</v>
      </c>
      <c r="C42" s="7"/>
      <c r="D42" s="6"/>
      <c r="E42" s="15" t="s">
        <v>82</v>
      </c>
      <c r="F42" s="16"/>
      <c r="H42" s="72"/>
    </row>
    <row r="43" spans="2:8" ht="15" x14ac:dyDescent="0.2">
      <c r="B43" s="4">
        <v>41</v>
      </c>
      <c r="C43" s="7"/>
      <c r="D43" s="6"/>
      <c r="E43" s="15" t="s">
        <v>83</v>
      </c>
      <c r="F43" s="16"/>
      <c r="H43" s="72"/>
    </row>
    <row r="44" spans="2:8" ht="15" x14ac:dyDescent="0.2">
      <c r="B44" s="4">
        <v>42</v>
      </c>
      <c r="C44" s="7"/>
      <c r="D44" s="6"/>
      <c r="E44" s="15" t="s">
        <v>84</v>
      </c>
      <c r="F44" s="16"/>
      <c r="H44" s="72"/>
    </row>
    <row r="45" spans="2:8" ht="15" x14ac:dyDescent="0.2">
      <c r="B45" s="4">
        <v>43</v>
      </c>
      <c r="C45" s="7"/>
      <c r="D45" s="6"/>
      <c r="E45" s="15" t="s">
        <v>85</v>
      </c>
      <c r="F45" s="16"/>
      <c r="H45" s="72"/>
    </row>
    <row r="46" spans="2:8" ht="15" x14ac:dyDescent="0.2">
      <c r="B46" s="4">
        <v>44</v>
      </c>
      <c r="C46" s="7"/>
      <c r="D46" s="6"/>
      <c r="E46" s="15" t="s">
        <v>86</v>
      </c>
      <c r="F46" s="16"/>
      <c r="H46" s="72"/>
    </row>
    <row r="47" spans="2:8" ht="15" x14ac:dyDescent="0.2">
      <c r="B47" s="4">
        <v>45</v>
      </c>
      <c r="C47" s="7"/>
      <c r="D47" s="6"/>
      <c r="E47" s="15" t="s">
        <v>87</v>
      </c>
      <c r="F47" s="16"/>
      <c r="H47" s="72"/>
    </row>
    <row r="48" spans="2:8" ht="15" x14ac:dyDescent="0.2">
      <c r="B48" s="4">
        <v>46</v>
      </c>
      <c r="C48" s="7"/>
      <c r="D48" s="6"/>
      <c r="E48" s="15" t="s">
        <v>88</v>
      </c>
      <c r="F48" s="16"/>
      <c r="H48" s="72"/>
    </row>
    <row r="49" spans="2:8" ht="15" x14ac:dyDescent="0.2">
      <c r="B49" s="4">
        <v>47</v>
      </c>
      <c r="C49" s="7"/>
      <c r="D49" s="6"/>
      <c r="E49" s="15" t="s">
        <v>89</v>
      </c>
      <c r="F49" s="16"/>
      <c r="H49" s="72"/>
    </row>
    <row r="50" spans="2:8" ht="15" x14ac:dyDescent="0.2">
      <c r="B50" s="4">
        <v>48</v>
      </c>
      <c r="C50" s="7"/>
      <c r="D50" s="6"/>
      <c r="E50" s="15" t="s">
        <v>90</v>
      </c>
      <c r="F50" s="16"/>
      <c r="H50" s="72"/>
    </row>
    <row r="51" spans="2:8" ht="15" x14ac:dyDescent="0.2">
      <c r="B51" s="4">
        <v>49</v>
      </c>
      <c r="C51" s="7"/>
      <c r="D51" s="6"/>
      <c r="E51" s="15" t="s">
        <v>91</v>
      </c>
      <c r="F51" s="16"/>
      <c r="G51" s="83"/>
      <c r="H51" s="72"/>
    </row>
    <row r="52" spans="2:8" ht="15" x14ac:dyDescent="0.2">
      <c r="B52" s="4">
        <v>50</v>
      </c>
      <c r="C52" s="7"/>
      <c r="D52" s="6"/>
      <c r="E52" s="15" t="s">
        <v>92</v>
      </c>
      <c r="F52" s="16"/>
      <c r="H52" s="72"/>
    </row>
    <row r="53" spans="2:8" ht="15" x14ac:dyDescent="0.2">
      <c r="B53" s="4">
        <v>51</v>
      </c>
      <c r="C53" s="7"/>
      <c r="D53" s="6"/>
      <c r="E53" s="15" t="s">
        <v>99</v>
      </c>
      <c r="F53" s="16"/>
      <c r="H53" s="72"/>
    </row>
    <row r="54" spans="2:8" ht="15" x14ac:dyDescent="0.2">
      <c r="B54" s="4">
        <v>52</v>
      </c>
      <c r="C54" s="7"/>
      <c r="D54" s="6"/>
      <c r="E54" s="15" t="s">
        <v>93</v>
      </c>
      <c r="F54" s="16"/>
      <c r="H54" s="72"/>
    </row>
    <row r="55" spans="2:8" ht="15" x14ac:dyDescent="0.2">
      <c r="B55" s="4">
        <v>53</v>
      </c>
      <c r="C55" s="7"/>
      <c r="D55" s="6"/>
      <c r="E55" s="15" t="s">
        <v>94</v>
      </c>
      <c r="F55" s="16"/>
      <c r="H55" s="72"/>
    </row>
    <row r="56" spans="2:8" ht="15" x14ac:dyDescent="0.2">
      <c r="B56" s="4">
        <v>54</v>
      </c>
      <c r="C56" s="7"/>
      <c r="D56" s="6"/>
      <c r="E56" s="15" t="s">
        <v>95</v>
      </c>
      <c r="F56" s="16"/>
      <c r="H56" s="72"/>
    </row>
    <row r="57" spans="2:8" ht="15" x14ac:dyDescent="0.2">
      <c r="B57" s="4">
        <v>55</v>
      </c>
      <c r="C57" s="7"/>
      <c r="D57" s="6"/>
      <c r="E57" s="15" t="s">
        <v>96</v>
      </c>
      <c r="F57" s="16"/>
      <c r="H57" s="72"/>
    </row>
    <row r="58" spans="2:8" ht="15" x14ac:dyDescent="0.2">
      <c r="B58" s="4">
        <v>56</v>
      </c>
      <c r="C58" s="7"/>
      <c r="D58" s="6"/>
      <c r="E58" s="15" t="s">
        <v>97</v>
      </c>
      <c r="F58" s="16"/>
      <c r="H58" s="72"/>
    </row>
    <row r="59" spans="2:8" ht="15" x14ac:dyDescent="0.2">
      <c r="B59" s="4">
        <v>57</v>
      </c>
      <c r="C59" s="7"/>
      <c r="D59" s="6"/>
      <c r="E59" s="15" t="s">
        <v>98</v>
      </c>
      <c r="F59" s="16"/>
      <c r="H59" s="72"/>
    </row>
    <row r="60" spans="2:8" ht="15" x14ac:dyDescent="0.2">
      <c r="B60" s="4">
        <v>58</v>
      </c>
      <c r="C60" s="7"/>
      <c r="D60" s="6"/>
      <c r="E60" s="15" t="s">
        <v>100</v>
      </c>
      <c r="F60" s="16"/>
      <c r="H60" s="72"/>
    </row>
    <row r="61" spans="2:8" ht="15" x14ac:dyDescent="0.2">
      <c r="B61" s="4">
        <v>59</v>
      </c>
      <c r="C61" s="7"/>
      <c r="D61" s="6"/>
      <c r="E61" s="15" t="s">
        <v>101</v>
      </c>
      <c r="F61" s="16"/>
      <c r="H61" s="72"/>
    </row>
    <row r="62" spans="2:8" ht="15" x14ac:dyDescent="0.2">
      <c r="B62" s="4">
        <v>60</v>
      </c>
      <c r="C62" s="7"/>
      <c r="D62" s="6"/>
      <c r="E62" s="15" t="s">
        <v>102</v>
      </c>
      <c r="F62" s="16"/>
      <c r="H62" s="72"/>
    </row>
    <row r="63" spans="2:8" ht="15" x14ac:dyDescent="0.2">
      <c r="B63" s="4">
        <v>61</v>
      </c>
      <c r="C63" s="7"/>
      <c r="D63" s="6"/>
      <c r="E63" s="15" t="s">
        <v>103</v>
      </c>
      <c r="F63" s="16"/>
      <c r="H63" s="72"/>
    </row>
    <row r="64" spans="2:8" ht="15" x14ac:dyDescent="0.2">
      <c r="B64" s="4">
        <v>62</v>
      </c>
      <c r="C64" s="7"/>
      <c r="D64" s="6"/>
      <c r="E64" s="15" t="s">
        <v>104</v>
      </c>
      <c r="F64" s="16"/>
      <c r="H64" s="72"/>
    </row>
    <row r="65" spans="2:8" ht="15" x14ac:dyDescent="0.2">
      <c r="B65" s="4">
        <v>63</v>
      </c>
      <c r="C65" s="7"/>
      <c r="D65" s="6"/>
      <c r="E65" s="15" t="s">
        <v>105</v>
      </c>
      <c r="F65" s="16"/>
      <c r="H65" s="72"/>
    </row>
    <row r="66" spans="2:8" ht="15" x14ac:dyDescent="0.2">
      <c r="B66" s="4">
        <v>64</v>
      </c>
      <c r="C66" s="7"/>
      <c r="D66" s="6"/>
      <c r="E66" s="15" t="s">
        <v>106</v>
      </c>
      <c r="F66" s="16"/>
      <c r="H66" s="72"/>
    </row>
    <row r="67" spans="2:8" ht="15" x14ac:dyDescent="0.2">
      <c r="B67" s="4">
        <v>65</v>
      </c>
      <c r="C67" s="7"/>
      <c r="D67" s="6"/>
      <c r="E67" s="15" t="s">
        <v>107</v>
      </c>
      <c r="F67" s="16"/>
      <c r="H67" s="72"/>
    </row>
    <row r="68" spans="2:8" ht="15" x14ac:dyDescent="0.2">
      <c r="B68" s="4">
        <v>66</v>
      </c>
      <c r="C68" s="7"/>
      <c r="D68" s="6"/>
      <c r="E68" s="15" t="s">
        <v>108</v>
      </c>
      <c r="F68" s="16"/>
      <c r="H68" s="72"/>
    </row>
    <row r="69" spans="2:8" ht="15" x14ac:dyDescent="0.2">
      <c r="B69" s="4">
        <v>67</v>
      </c>
      <c r="C69" s="7"/>
      <c r="D69" s="6"/>
      <c r="E69" s="15" t="s">
        <v>109</v>
      </c>
      <c r="F69" s="16"/>
      <c r="H69" s="72"/>
    </row>
    <row r="70" spans="2:8" ht="15" x14ac:dyDescent="0.2">
      <c r="B70" s="4">
        <v>68</v>
      </c>
      <c r="C70" s="7"/>
      <c r="D70" s="6"/>
      <c r="E70" s="15" t="s">
        <v>123</v>
      </c>
      <c r="F70" s="16"/>
      <c r="H70" s="72"/>
    </row>
    <row r="71" spans="2:8" ht="15" x14ac:dyDescent="0.2">
      <c r="B71" s="4">
        <v>69</v>
      </c>
      <c r="C71" s="7"/>
      <c r="D71" s="6"/>
      <c r="E71" s="15" t="s">
        <v>110</v>
      </c>
      <c r="F71" s="16"/>
      <c r="H71" s="72"/>
    </row>
    <row r="72" spans="2:8" ht="15" x14ac:dyDescent="0.2">
      <c r="B72" s="4">
        <v>70</v>
      </c>
      <c r="C72" s="7"/>
      <c r="D72" s="6"/>
      <c r="E72" s="15" t="s">
        <v>111</v>
      </c>
      <c r="F72" s="16"/>
      <c r="H72" s="72"/>
    </row>
    <row r="73" spans="2:8" ht="15" x14ac:dyDescent="0.2">
      <c r="B73" s="4">
        <v>71</v>
      </c>
      <c r="C73" s="7"/>
      <c r="D73" s="6"/>
      <c r="E73" s="15" t="s">
        <v>112</v>
      </c>
      <c r="F73" s="16"/>
      <c r="H73" s="72"/>
    </row>
    <row r="74" spans="2:8" ht="15" x14ac:dyDescent="0.2">
      <c r="B74" s="4">
        <v>72</v>
      </c>
      <c r="C74" s="7"/>
      <c r="D74" s="6"/>
      <c r="E74" s="15" t="s">
        <v>113</v>
      </c>
      <c r="F74" s="16"/>
      <c r="H74" s="72"/>
    </row>
    <row r="75" spans="2:8" ht="15" x14ac:dyDescent="0.2">
      <c r="B75" s="4">
        <v>73</v>
      </c>
      <c r="C75" s="7"/>
      <c r="D75" s="6"/>
      <c r="E75" s="15" t="s">
        <v>114</v>
      </c>
      <c r="F75" s="16"/>
      <c r="H75" s="72"/>
    </row>
    <row r="76" spans="2:8" ht="15" x14ac:dyDescent="0.2">
      <c r="B76" s="4">
        <v>74</v>
      </c>
      <c r="C76" s="7"/>
      <c r="D76" s="6"/>
      <c r="E76" s="15" t="s">
        <v>116</v>
      </c>
      <c r="F76" s="16"/>
      <c r="H76" s="72"/>
    </row>
    <row r="77" spans="2:8" ht="15" x14ac:dyDescent="0.2">
      <c r="B77" s="4">
        <v>75</v>
      </c>
      <c r="C77" s="7"/>
      <c r="D77" s="6"/>
      <c r="E77" s="15" t="s">
        <v>117</v>
      </c>
      <c r="F77" s="16"/>
      <c r="H77" s="72"/>
    </row>
    <row r="78" spans="2:8" ht="15" x14ac:dyDescent="0.2">
      <c r="B78" s="4">
        <v>76</v>
      </c>
      <c r="C78" s="7"/>
      <c r="D78" s="6"/>
      <c r="E78" s="15" t="s">
        <v>118</v>
      </c>
      <c r="F78" s="16"/>
      <c r="H78" s="72"/>
    </row>
    <row r="79" spans="2:8" ht="15" x14ac:dyDescent="0.2">
      <c r="B79" s="4">
        <v>77</v>
      </c>
      <c r="C79" s="7"/>
      <c r="D79" s="6"/>
      <c r="E79" s="15" t="s">
        <v>119</v>
      </c>
      <c r="F79" s="16"/>
      <c r="H79" s="72"/>
    </row>
    <row r="80" spans="2:8" ht="15" x14ac:dyDescent="0.2">
      <c r="B80" s="4">
        <v>78</v>
      </c>
      <c r="C80" s="7"/>
      <c r="D80" s="6"/>
      <c r="E80" s="15" t="s">
        <v>120</v>
      </c>
      <c r="F80" s="16"/>
      <c r="H80" s="72"/>
    </row>
    <row r="81" spans="2:8" ht="15" x14ac:dyDescent="0.2">
      <c r="B81" s="4">
        <v>79</v>
      </c>
      <c r="C81" s="7"/>
      <c r="D81" s="6"/>
      <c r="E81" s="15" t="s">
        <v>121</v>
      </c>
      <c r="F81" s="16"/>
      <c r="H81" s="72"/>
    </row>
    <row r="82" spans="2:8" ht="15" x14ac:dyDescent="0.2">
      <c r="B82" s="4">
        <v>80</v>
      </c>
      <c r="C82" s="7"/>
      <c r="D82" s="6"/>
      <c r="E82" s="15" t="s">
        <v>122</v>
      </c>
      <c r="F82" s="16"/>
      <c r="H82" s="72"/>
    </row>
    <row r="83" spans="2:8" ht="15" x14ac:dyDescent="0.2">
      <c r="B83" s="4">
        <v>81</v>
      </c>
      <c r="C83" s="7"/>
      <c r="D83" s="6"/>
      <c r="E83" s="15" t="s">
        <v>124</v>
      </c>
      <c r="F83" s="16"/>
      <c r="H83" s="72"/>
    </row>
    <row r="84" spans="2:8" ht="15" x14ac:dyDescent="0.2">
      <c r="B84" s="4">
        <v>82</v>
      </c>
      <c r="C84" s="7"/>
      <c r="D84" s="6"/>
      <c r="E84" s="15" t="s">
        <v>125</v>
      </c>
      <c r="F84" s="16"/>
      <c r="H84" s="72"/>
    </row>
    <row r="85" spans="2:8" ht="15" x14ac:dyDescent="0.2">
      <c r="B85" s="4">
        <v>83</v>
      </c>
      <c r="C85" s="7"/>
      <c r="D85" s="6"/>
      <c r="E85" s="15" t="s">
        <v>126</v>
      </c>
      <c r="F85" s="16"/>
      <c r="H85" s="72"/>
    </row>
    <row r="86" spans="2:8" ht="15" x14ac:dyDescent="0.2">
      <c r="B86" s="4">
        <v>84</v>
      </c>
      <c r="C86" s="7"/>
      <c r="D86" s="6"/>
      <c r="E86" s="15" t="s">
        <v>127</v>
      </c>
      <c r="F86" s="16"/>
      <c r="H86" s="72"/>
    </row>
    <row r="87" spans="2:8" ht="15" x14ac:dyDescent="0.2">
      <c r="B87" s="4">
        <v>85</v>
      </c>
      <c r="C87" s="7"/>
      <c r="D87" s="6"/>
      <c r="E87" s="15" t="s">
        <v>128</v>
      </c>
      <c r="F87" s="16"/>
      <c r="H87" s="72"/>
    </row>
    <row r="88" spans="2:8" ht="15" x14ac:dyDescent="0.2">
      <c r="B88" s="4">
        <v>86</v>
      </c>
      <c r="C88" s="7"/>
      <c r="D88" s="6"/>
      <c r="E88" s="15" t="s">
        <v>129</v>
      </c>
      <c r="F88" s="16"/>
      <c r="H88" s="72"/>
    </row>
    <row r="89" spans="2:8" ht="15" x14ac:dyDescent="0.2">
      <c r="B89" s="4">
        <v>87</v>
      </c>
      <c r="C89" s="7"/>
      <c r="D89" s="6"/>
      <c r="E89" s="15" t="s">
        <v>130</v>
      </c>
      <c r="F89" s="16"/>
      <c r="H89" s="72"/>
    </row>
    <row r="90" spans="2:8" ht="15" x14ac:dyDescent="0.2">
      <c r="B90" s="4">
        <v>88</v>
      </c>
      <c r="C90" s="7"/>
      <c r="D90" s="6"/>
      <c r="E90" s="15" t="s">
        <v>131</v>
      </c>
      <c r="F90" s="16"/>
      <c r="H90" s="72"/>
    </row>
    <row r="91" spans="2:8" ht="15" x14ac:dyDescent="0.2">
      <c r="B91" s="4">
        <v>89</v>
      </c>
      <c r="C91" s="7"/>
      <c r="D91" s="6"/>
      <c r="E91" s="15" t="s">
        <v>132</v>
      </c>
      <c r="F91" s="16"/>
      <c r="H91" s="72"/>
    </row>
    <row r="92" spans="2:8" ht="15" x14ac:dyDescent="0.2">
      <c r="B92" s="4">
        <v>90</v>
      </c>
      <c r="C92" s="7"/>
      <c r="D92" s="6"/>
      <c r="E92" s="15" t="s">
        <v>133</v>
      </c>
      <c r="F92" s="16"/>
      <c r="H92" s="72"/>
    </row>
    <row r="93" spans="2:8" ht="15" x14ac:dyDescent="0.2">
      <c r="B93" s="4">
        <v>91</v>
      </c>
      <c r="C93" s="7"/>
      <c r="D93" s="6"/>
      <c r="E93" s="15" t="s">
        <v>134</v>
      </c>
      <c r="F93" s="16"/>
      <c r="H93" s="72"/>
    </row>
    <row r="94" spans="2:8" ht="15" x14ac:dyDescent="0.2">
      <c r="B94" s="4">
        <v>92</v>
      </c>
      <c r="C94" s="7"/>
      <c r="D94" s="6"/>
      <c r="E94" s="15" t="s">
        <v>135</v>
      </c>
      <c r="F94" s="16"/>
      <c r="H94" s="72"/>
    </row>
    <row r="95" spans="2:8" ht="15" x14ac:dyDescent="0.2">
      <c r="B95" s="4">
        <v>93</v>
      </c>
      <c r="C95" s="7"/>
      <c r="D95" s="6"/>
      <c r="E95" s="15" t="s">
        <v>136</v>
      </c>
      <c r="F95" s="16"/>
      <c r="H95" s="72"/>
    </row>
    <row r="96" spans="2:8" ht="15" x14ac:dyDescent="0.2">
      <c r="B96" s="4">
        <v>94</v>
      </c>
      <c r="C96" s="7"/>
      <c r="D96" s="6"/>
      <c r="E96" s="15" t="s">
        <v>138</v>
      </c>
      <c r="F96" s="16"/>
      <c r="H96" s="72"/>
    </row>
    <row r="97" spans="2:8" ht="15" x14ac:dyDescent="0.2">
      <c r="B97" s="4">
        <v>95</v>
      </c>
      <c r="C97" s="7"/>
      <c r="D97" s="6"/>
      <c r="E97" s="15" t="s">
        <v>139</v>
      </c>
      <c r="F97" s="16"/>
      <c r="H97" s="72"/>
    </row>
    <row r="98" spans="2:8" ht="15" x14ac:dyDescent="0.2">
      <c r="B98" s="4">
        <v>96</v>
      </c>
      <c r="C98" s="7"/>
      <c r="D98" s="6"/>
      <c r="E98" s="15" t="s">
        <v>140</v>
      </c>
      <c r="F98" s="16"/>
      <c r="H98" s="72"/>
    </row>
    <row r="99" spans="2:8" ht="15" x14ac:dyDescent="0.2">
      <c r="B99" s="4">
        <v>97</v>
      </c>
      <c r="C99" s="7"/>
      <c r="D99" s="6"/>
      <c r="E99" s="15" t="s">
        <v>141</v>
      </c>
      <c r="F99" s="16"/>
      <c r="H99" s="72"/>
    </row>
    <row r="100" spans="2:8" ht="15" x14ac:dyDescent="0.2">
      <c r="B100" s="4">
        <v>98</v>
      </c>
      <c r="C100" s="7"/>
      <c r="D100" s="6"/>
      <c r="E100" s="15" t="s">
        <v>142</v>
      </c>
      <c r="F100" s="16"/>
      <c r="H100" s="72"/>
    </row>
    <row r="101" spans="2:8" ht="15" x14ac:dyDescent="0.2">
      <c r="B101" s="4">
        <v>99</v>
      </c>
      <c r="C101" s="7"/>
      <c r="D101" s="6"/>
      <c r="E101" s="15" t="s">
        <v>143</v>
      </c>
      <c r="F101" s="16"/>
      <c r="H101" s="72"/>
    </row>
    <row r="102" spans="2:8" ht="15" x14ac:dyDescent="0.2">
      <c r="B102" s="4">
        <v>100</v>
      </c>
      <c r="C102" s="7"/>
      <c r="D102" s="6"/>
      <c r="E102" s="15" t="s">
        <v>144</v>
      </c>
      <c r="F102" s="16"/>
      <c r="H102" s="72"/>
    </row>
    <row r="103" spans="2:8" ht="15" x14ac:dyDescent="0.2">
      <c r="B103" s="4">
        <v>101</v>
      </c>
      <c r="C103" s="7"/>
      <c r="D103" s="6"/>
      <c r="E103" s="15" t="s">
        <v>145</v>
      </c>
      <c r="F103" s="16"/>
      <c r="H103" s="72"/>
    </row>
    <row r="104" spans="2:8" ht="15" x14ac:dyDescent="0.2">
      <c r="B104" s="4">
        <v>102</v>
      </c>
      <c r="C104" s="7"/>
      <c r="D104" s="6"/>
      <c r="E104" s="15" t="s">
        <v>146</v>
      </c>
      <c r="F104" s="16"/>
      <c r="H104" s="72"/>
    </row>
    <row r="105" spans="2:8" ht="15" x14ac:dyDescent="0.2">
      <c r="B105" s="4">
        <v>103</v>
      </c>
      <c r="C105" s="7"/>
      <c r="D105" s="6"/>
      <c r="E105" s="15" t="s">
        <v>147</v>
      </c>
      <c r="F105" s="16"/>
      <c r="H105" s="72"/>
    </row>
    <row r="106" spans="2:8" ht="15" x14ac:dyDescent="0.2">
      <c r="B106" s="4">
        <v>104</v>
      </c>
      <c r="C106" s="7"/>
      <c r="D106" s="6"/>
      <c r="E106" s="15" t="s">
        <v>148</v>
      </c>
      <c r="F106" s="16"/>
      <c r="H106" s="72"/>
    </row>
    <row r="107" spans="2:8" ht="15" x14ac:dyDescent="0.2">
      <c r="B107" s="4">
        <v>105</v>
      </c>
      <c r="C107" s="7"/>
      <c r="D107" s="6"/>
      <c r="E107" s="15" t="s">
        <v>149</v>
      </c>
      <c r="F107" s="16"/>
      <c r="H107" s="72"/>
    </row>
    <row r="108" spans="2:8" ht="15" x14ac:dyDescent="0.2">
      <c r="B108" s="4">
        <v>106</v>
      </c>
      <c r="C108" s="7"/>
      <c r="D108" s="6"/>
      <c r="E108" s="15" t="s">
        <v>150</v>
      </c>
      <c r="F108" s="16"/>
      <c r="H108" s="72"/>
    </row>
    <row r="109" spans="2:8" ht="15" x14ac:dyDescent="0.2">
      <c r="B109" s="4">
        <v>107</v>
      </c>
      <c r="C109" s="7"/>
      <c r="D109" s="6"/>
      <c r="E109" s="15" t="s">
        <v>151</v>
      </c>
      <c r="F109" s="16"/>
      <c r="H109" s="72"/>
    </row>
    <row r="110" spans="2:8" ht="15" x14ac:dyDescent="0.2">
      <c r="B110" s="4">
        <v>108</v>
      </c>
      <c r="C110" s="7"/>
      <c r="D110" s="6"/>
      <c r="E110" s="15" t="s">
        <v>152</v>
      </c>
      <c r="F110" s="16"/>
      <c r="H110" s="72"/>
    </row>
    <row r="111" spans="2:8" ht="15" x14ac:dyDescent="0.2">
      <c r="B111" s="4">
        <v>109</v>
      </c>
      <c r="C111" s="7"/>
      <c r="D111" s="6"/>
      <c r="E111" s="15" t="s">
        <v>153</v>
      </c>
      <c r="F111" s="16"/>
      <c r="H111" s="72"/>
    </row>
    <row r="112" spans="2:8" ht="15" x14ac:dyDescent="0.2">
      <c r="B112" s="4">
        <v>110</v>
      </c>
      <c r="C112" s="7"/>
      <c r="D112" s="6"/>
      <c r="E112" s="15" t="s">
        <v>155</v>
      </c>
      <c r="F112" s="16"/>
      <c r="H112" s="72"/>
    </row>
    <row r="113" spans="2:8" ht="15" x14ac:dyDescent="0.2">
      <c r="B113" s="4">
        <v>111</v>
      </c>
      <c r="C113" s="7"/>
      <c r="D113" s="6"/>
      <c r="E113" s="15" t="s">
        <v>161</v>
      </c>
      <c r="F113" s="16"/>
      <c r="H113" s="72"/>
    </row>
    <row r="114" spans="2:8" ht="15" x14ac:dyDescent="0.2">
      <c r="B114" s="4">
        <v>112</v>
      </c>
      <c r="C114" s="7"/>
      <c r="D114" s="6"/>
      <c r="E114" s="15" t="s">
        <v>162</v>
      </c>
      <c r="F114" s="16"/>
      <c r="H114" s="72"/>
    </row>
    <row r="115" spans="2:8" ht="15" x14ac:dyDescent="0.2">
      <c r="B115" s="4">
        <v>113</v>
      </c>
      <c r="C115" s="7"/>
      <c r="D115" s="6"/>
      <c r="E115" s="15" t="s">
        <v>163</v>
      </c>
      <c r="F115" s="16"/>
      <c r="H115" s="72"/>
    </row>
    <row r="116" spans="2:8" ht="15" x14ac:dyDescent="0.2">
      <c r="B116" s="4">
        <v>114</v>
      </c>
      <c r="C116" s="7"/>
      <c r="D116" s="6"/>
      <c r="E116" s="15" t="s">
        <v>176</v>
      </c>
      <c r="F116" s="16"/>
      <c r="H116" s="72"/>
    </row>
    <row r="117" spans="2:8" ht="15" x14ac:dyDescent="0.2">
      <c r="B117" s="4">
        <v>115</v>
      </c>
      <c r="C117" s="7"/>
      <c r="D117" s="6"/>
      <c r="E117" s="15" t="s">
        <v>196</v>
      </c>
      <c r="F117" s="16"/>
      <c r="H117" s="72"/>
    </row>
    <row r="118" spans="2:8" ht="15" x14ac:dyDescent="0.2">
      <c r="B118" s="4">
        <v>116</v>
      </c>
      <c r="C118" s="7"/>
      <c r="D118" s="6"/>
      <c r="E118" s="15" t="s">
        <v>198</v>
      </c>
      <c r="F118" s="16"/>
      <c r="H118" s="72"/>
    </row>
    <row r="119" spans="2:8" ht="15" x14ac:dyDescent="0.2">
      <c r="B119" s="4">
        <v>117</v>
      </c>
      <c r="C119" s="7"/>
      <c r="D119" s="6"/>
      <c r="E119" s="15" t="s">
        <v>208</v>
      </c>
      <c r="F119" s="16"/>
      <c r="H119" s="72"/>
    </row>
    <row r="120" spans="2:8" ht="15" x14ac:dyDescent="0.2">
      <c r="B120" s="4">
        <v>118</v>
      </c>
      <c r="C120" s="7"/>
      <c r="D120" s="6"/>
      <c r="E120" s="15" t="s">
        <v>209</v>
      </c>
      <c r="F120" s="16"/>
      <c r="H120" s="72"/>
    </row>
    <row r="121" spans="2:8" ht="15" x14ac:dyDescent="0.2">
      <c r="B121" s="4">
        <v>119</v>
      </c>
      <c r="C121" s="7"/>
      <c r="D121" s="6"/>
      <c r="E121" s="15" t="s">
        <v>216</v>
      </c>
      <c r="F121" s="16"/>
      <c r="H121" s="72"/>
    </row>
    <row r="122" spans="2:8" ht="15" x14ac:dyDescent="0.2">
      <c r="B122" s="4">
        <v>120</v>
      </c>
      <c r="C122" s="7"/>
      <c r="D122" s="6"/>
      <c r="E122" s="15" t="s">
        <v>220</v>
      </c>
      <c r="F122" s="16"/>
      <c r="H122" s="72"/>
    </row>
    <row r="123" spans="2:8" ht="15" x14ac:dyDescent="0.2">
      <c r="B123" s="4">
        <v>121</v>
      </c>
      <c r="C123" s="7"/>
      <c r="D123" s="6"/>
      <c r="E123" s="15" t="s">
        <v>224</v>
      </c>
      <c r="F123" s="16"/>
      <c r="H123" s="72"/>
    </row>
    <row r="124" spans="2:8" ht="15" x14ac:dyDescent="0.2">
      <c r="B124" s="4">
        <v>122</v>
      </c>
      <c r="C124" s="7"/>
      <c r="D124" s="6"/>
      <c r="E124" s="15" t="s">
        <v>235</v>
      </c>
      <c r="F124" s="16"/>
      <c r="H124" s="72"/>
    </row>
    <row r="125" spans="2:8" ht="15" x14ac:dyDescent="0.2">
      <c r="B125" s="4">
        <v>123</v>
      </c>
      <c r="C125" s="7"/>
      <c r="D125" s="6"/>
      <c r="E125" s="15" t="s">
        <v>241</v>
      </c>
      <c r="F125" s="16"/>
      <c r="H125" s="72"/>
    </row>
    <row r="126" spans="2:8" ht="15" x14ac:dyDescent="0.2">
      <c r="B126" s="4">
        <v>124</v>
      </c>
      <c r="C126" s="7"/>
      <c r="D126" s="6"/>
      <c r="E126" s="15" t="s">
        <v>253</v>
      </c>
      <c r="F126" s="16"/>
      <c r="H126" s="72"/>
    </row>
    <row r="127" spans="2:8" ht="15" x14ac:dyDescent="0.2">
      <c r="B127" s="4">
        <v>125</v>
      </c>
      <c r="C127" s="7"/>
      <c r="D127" s="6"/>
      <c r="E127" s="15" t="s">
        <v>262</v>
      </c>
      <c r="F127" s="16"/>
      <c r="H127" s="72"/>
    </row>
    <row r="128" spans="2:8" ht="15" x14ac:dyDescent="0.2">
      <c r="B128" s="4">
        <v>126</v>
      </c>
      <c r="C128" s="7"/>
      <c r="D128" s="6"/>
      <c r="E128" s="15" t="s">
        <v>263</v>
      </c>
      <c r="F128" s="16"/>
      <c r="H128" s="72"/>
    </row>
    <row r="129" spans="2:8" ht="15" x14ac:dyDescent="0.2">
      <c r="B129" s="4">
        <v>127</v>
      </c>
      <c r="C129" s="7"/>
      <c r="D129" s="6"/>
      <c r="E129" s="15" t="s">
        <v>270</v>
      </c>
      <c r="F129" s="16"/>
      <c r="H129" s="72"/>
    </row>
    <row r="130" spans="2:8" ht="15" x14ac:dyDescent="0.2">
      <c r="B130" s="4">
        <v>128</v>
      </c>
      <c r="C130" s="7"/>
      <c r="D130" s="6"/>
      <c r="E130" s="15" t="s">
        <v>271</v>
      </c>
      <c r="F130" s="16"/>
      <c r="H130" s="72"/>
    </row>
    <row r="131" spans="2:8" ht="15" x14ac:dyDescent="0.2">
      <c r="B131" s="4">
        <v>129</v>
      </c>
      <c r="C131" s="7"/>
      <c r="D131" s="6"/>
      <c r="E131" s="15" t="s">
        <v>277</v>
      </c>
      <c r="F131" s="16"/>
      <c r="H131" s="72"/>
    </row>
    <row r="132" spans="2:8" ht="15" x14ac:dyDescent="0.2">
      <c r="B132" s="4">
        <v>130</v>
      </c>
      <c r="C132" s="7"/>
      <c r="D132" s="6"/>
      <c r="E132" s="15" t="s">
        <v>287</v>
      </c>
      <c r="F132" s="16"/>
      <c r="H132" s="72"/>
    </row>
    <row r="133" spans="2:8" ht="15" x14ac:dyDescent="0.2">
      <c r="B133" s="4">
        <v>131</v>
      </c>
      <c r="C133" s="7"/>
      <c r="D133" s="6"/>
      <c r="E133" s="15" t="s">
        <v>297</v>
      </c>
      <c r="F133" s="16"/>
      <c r="H133" s="72"/>
    </row>
    <row r="134" spans="2:8" ht="15" x14ac:dyDescent="0.2">
      <c r="B134" s="4">
        <v>132</v>
      </c>
      <c r="C134" s="7"/>
      <c r="D134" s="6"/>
      <c r="E134" s="15" t="s">
        <v>302</v>
      </c>
      <c r="F134" s="16"/>
      <c r="H134" s="72"/>
    </row>
    <row r="135" spans="2:8" ht="15" x14ac:dyDescent="0.2">
      <c r="B135" s="4">
        <v>133</v>
      </c>
      <c r="C135" s="7"/>
      <c r="D135" s="6"/>
      <c r="E135" s="15" t="s">
        <v>309</v>
      </c>
      <c r="F135" s="16"/>
      <c r="H135" s="72"/>
    </row>
    <row r="136" spans="2:8" ht="15" x14ac:dyDescent="0.2">
      <c r="B136" s="4">
        <v>134</v>
      </c>
      <c r="C136" s="7"/>
      <c r="D136" s="6"/>
      <c r="E136" s="15" t="s">
        <v>316</v>
      </c>
      <c r="F136" s="16"/>
      <c r="H136" s="72"/>
    </row>
    <row r="137" spans="2:8" ht="15" x14ac:dyDescent="0.2">
      <c r="B137" s="4">
        <v>135</v>
      </c>
      <c r="C137" s="7"/>
      <c r="D137" s="6"/>
      <c r="E137" s="15" t="s">
        <v>320</v>
      </c>
      <c r="F137" s="16"/>
      <c r="H137" s="72"/>
    </row>
    <row r="138" spans="2:8" ht="15" x14ac:dyDescent="0.2">
      <c r="B138" s="4">
        <v>136</v>
      </c>
      <c r="C138" s="7"/>
      <c r="D138" s="6"/>
      <c r="E138" s="15" t="s">
        <v>321</v>
      </c>
      <c r="F138" s="16"/>
      <c r="H138" s="72"/>
    </row>
    <row r="139" spans="2:8" ht="15" x14ac:dyDescent="0.2">
      <c r="B139" s="4">
        <v>137</v>
      </c>
      <c r="C139" s="7"/>
      <c r="D139" s="6"/>
      <c r="E139" s="15" t="s">
        <v>322</v>
      </c>
      <c r="F139" s="16"/>
      <c r="H139" s="72"/>
    </row>
    <row r="140" spans="2:8" ht="15" x14ac:dyDescent="0.2">
      <c r="B140" s="4">
        <v>138</v>
      </c>
      <c r="C140" s="7"/>
      <c r="D140" s="6"/>
      <c r="E140" s="15" t="s">
        <v>338</v>
      </c>
      <c r="F140" s="16"/>
      <c r="H140" s="72"/>
    </row>
    <row r="141" spans="2:8" ht="15" x14ac:dyDescent="0.2">
      <c r="B141" s="4">
        <v>139</v>
      </c>
      <c r="C141" s="7"/>
      <c r="D141" s="6"/>
      <c r="E141" s="15" t="s">
        <v>345</v>
      </c>
      <c r="F141" s="16"/>
      <c r="H141" s="72"/>
    </row>
    <row r="142" spans="2:8" ht="15" x14ac:dyDescent="0.2">
      <c r="B142" s="4">
        <v>140</v>
      </c>
      <c r="C142" s="7"/>
      <c r="D142" s="6"/>
      <c r="E142" s="15" t="s">
        <v>349</v>
      </c>
      <c r="F142" s="16"/>
      <c r="H142" s="72"/>
    </row>
    <row r="143" spans="2:8" ht="15" x14ac:dyDescent="0.2">
      <c r="B143" s="4">
        <v>141</v>
      </c>
      <c r="C143" s="7"/>
      <c r="D143" s="6"/>
      <c r="E143" s="15" t="s">
        <v>352</v>
      </c>
      <c r="F143" s="16"/>
      <c r="H143" s="72"/>
    </row>
    <row r="144" spans="2:8" ht="15" x14ac:dyDescent="0.2">
      <c r="B144" s="4">
        <v>142</v>
      </c>
      <c r="C144" s="7"/>
      <c r="D144" s="6"/>
      <c r="E144" s="15" t="s">
        <v>358</v>
      </c>
      <c r="F144" s="16"/>
    </row>
    <row r="145" spans="2:6" ht="15" x14ac:dyDescent="0.2">
      <c r="B145" s="4">
        <v>143</v>
      </c>
      <c r="C145" s="7"/>
      <c r="D145" s="6"/>
      <c r="E145" s="15" t="s">
        <v>365</v>
      </c>
      <c r="F145" s="16"/>
    </row>
    <row r="146" spans="2:6" ht="15" x14ac:dyDescent="0.2">
      <c r="B146" s="4">
        <v>144</v>
      </c>
      <c r="C146" s="7"/>
      <c r="D146" s="6"/>
      <c r="E146" s="15" t="s">
        <v>371</v>
      </c>
      <c r="F146" s="16"/>
    </row>
    <row r="147" spans="2:6" ht="15" x14ac:dyDescent="0.2">
      <c r="B147" s="4">
        <v>145</v>
      </c>
      <c r="C147" s="7"/>
      <c r="D147" s="6"/>
      <c r="E147" s="15" t="s">
        <v>381</v>
      </c>
      <c r="F147" s="16"/>
    </row>
    <row r="148" spans="2:6" ht="15" x14ac:dyDescent="0.2">
      <c r="B148" s="4">
        <v>146</v>
      </c>
      <c r="C148" s="7"/>
      <c r="D148" s="6"/>
      <c r="E148" s="15" t="s">
        <v>426</v>
      </c>
      <c r="F148" s="16"/>
    </row>
    <row r="149" spans="2:6" ht="15" x14ac:dyDescent="0.2">
      <c r="B149" s="4">
        <v>147</v>
      </c>
      <c r="C149" s="7"/>
      <c r="D149" s="6"/>
      <c r="E149" s="15" t="s">
        <v>429</v>
      </c>
      <c r="F149" s="16"/>
    </row>
    <row r="150" spans="2:6" ht="15" x14ac:dyDescent="0.2">
      <c r="B150" s="4">
        <v>148</v>
      </c>
      <c r="C150" s="7"/>
      <c r="D150" s="6"/>
      <c r="E150" s="15" t="s">
        <v>446</v>
      </c>
      <c r="F150" s="16"/>
    </row>
    <row r="151" spans="2:6" ht="15" x14ac:dyDescent="0.2">
      <c r="B151" s="4">
        <v>149</v>
      </c>
      <c r="C151" s="7"/>
      <c r="D151" s="6"/>
      <c r="E151" s="15" t="s">
        <v>503</v>
      </c>
      <c r="F151" s="16"/>
    </row>
    <row r="152" spans="2:6" ht="15" x14ac:dyDescent="0.2">
      <c r="B152" s="4">
        <v>150</v>
      </c>
      <c r="C152" s="7"/>
      <c r="D152" s="6"/>
      <c r="E152" s="15" t="s">
        <v>477</v>
      </c>
      <c r="F152" s="16"/>
    </row>
    <row r="153" spans="2:6" ht="15" x14ac:dyDescent="0.2">
      <c r="B153" s="4">
        <v>151</v>
      </c>
      <c r="C153" s="7"/>
      <c r="D153" s="6"/>
      <c r="E153" s="15" t="s">
        <v>478</v>
      </c>
      <c r="F153" s="16"/>
    </row>
    <row r="154" spans="2:6" ht="15" x14ac:dyDescent="0.2">
      <c r="B154" s="4">
        <v>152</v>
      </c>
      <c r="C154" s="7"/>
      <c r="D154" s="6"/>
      <c r="E154" s="15" t="s">
        <v>489</v>
      </c>
      <c r="F154" s="16"/>
    </row>
    <row r="155" spans="2:6" ht="15" x14ac:dyDescent="0.2">
      <c r="B155" s="4">
        <v>153</v>
      </c>
      <c r="C155" s="7"/>
      <c r="D155" s="6"/>
      <c r="E155" s="15" t="s">
        <v>495</v>
      </c>
      <c r="F155" s="16"/>
    </row>
    <row r="156" spans="2:6" ht="15" x14ac:dyDescent="0.2">
      <c r="B156" s="4">
        <v>154</v>
      </c>
      <c r="C156" s="7"/>
      <c r="D156" s="6"/>
      <c r="E156" s="15" t="s">
        <v>496</v>
      </c>
      <c r="F156" s="16"/>
    </row>
    <row r="157" spans="2:6" ht="15" x14ac:dyDescent="0.2">
      <c r="B157" s="4">
        <v>155</v>
      </c>
      <c r="C157" s="7"/>
      <c r="D157" s="6"/>
      <c r="E157" s="15" t="s">
        <v>499</v>
      </c>
      <c r="F157" s="16"/>
    </row>
    <row r="158" spans="2:6" ht="15" x14ac:dyDescent="0.2">
      <c r="B158" s="4">
        <v>156</v>
      </c>
      <c r="C158" s="7"/>
      <c r="D158" s="6"/>
      <c r="E158" s="15" t="s">
        <v>516</v>
      </c>
      <c r="F158" s="16"/>
    </row>
    <row r="159" spans="2:6" ht="15" x14ac:dyDescent="0.2">
      <c r="B159" s="4">
        <v>157</v>
      </c>
      <c r="C159" s="7"/>
      <c r="D159" s="6"/>
      <c r="E159" s="15" t="s">
        <v>540</v>
      </c>
      <c r="F159" s="16"/>
    </row>
    <row r="160" spans="2:6" ht="15" x14ac:dyDescent="0.2">
      <c r="B160" s="4">
        <v>158</v>
      </c>
      <c r="C160" s="7"/>
      <c r="D160" s="6"/>
      <c r="E160" s="15" t="s">
        <v>551</v>
      </c>
      <c r="F160" s="16"/>
    </row>
    <row r="161" spans="2:6" ht="15" x14ac:dyDescent="0.2">
      <c r="B161" s="4">
        <v>159</v>
      </c>
      <c r="C161" s="7"/>
      <c r="D161" s="6"/>
      <c r="E161" s="15" t="s">
        <v>553</v>
      </c>
      <c r="F161" s="16"/>
    </row>
    <row r="162" spans="2:6" ht="15" x14ac:dyDescent="0.2">
      <c r="B162" s="4">
        <v>160</v>
      </c>
      <c r="C162" s="7"/>
      <c r="D162" s="6"/>
      <c r="E162" s="15" t="s">
        <v>555</v>
      </c>
      <c r="F162" s="16"/>
    </row>
    <row r="163" spans="2:6" ht="15" x14ac:dyDescent="0.2">
      <c r="B163" s="4">
        <v>161</v>
      </c>
      <c r="C163" s="7"/>
      <c r="D163" s="6"/>
      <c r="E163" s="15" t="s">
        <v>578</v>
      </c>
      <c r="F163" s="16"/>
    </row>
    <row r="164" spans="2:6" ht="15" x14ac:dyDescent="0.2">
      <c r="B164" s="4">
        <v>162</v>
      </c>
      <c r="C164" s="7"/>
      <c r="D164" s="6"/>
      <c r="E164" s="15" t="s">
        <v>584</v>
      </c>
      <c r="F164" s="16"/>
    </row>
    <row r="165" spans="2:6" ht="15" x14ac:dyDescent="0.2">
      <c r="B165" s="4">
        <v>163</v>
      </c>
      <c r="C165" s="7"/>
      <c r="D165" s="6"/>
      <c r="E165" s="15" t="s">
        <v>616</v>
      </c>
      <c r="F165" s="16"/>
    </row>
    <row r="166" spans="2:6" ht="15" x14ac:dyDescent="0.2">
      <c r="B166" s="4">
        <v>164</v>
      </c>
      <c r="C166" s="7"/>
      <c r="D166" s="6"/>
      <c r="E166" s="15" t="s">
        <v>627</v>
      </c>
      <c r="F166" s="16"/>
    </row>
    <row r="167" spans="2:6" ht="15" x14ac:dyDescent="0.2">
      <c r="B167" s="4">
        <v>165</v>
      </c>
      <c r="C167" s="7"/>
      <c r="D167" s="6"/>
      <c r="E167" s="15" t="s">
        <v>633</v>
      </c>
      <c r="F167" s="16"/>
    </row>
    <row r="168" spans="2:6" ht="15" x14ac:dyDescent="0.2">
      <c r="B168" s="4">
        <v>166</v>
      </c>
      <c r="C168" s="7"/>
      <c r="D168" s="6"/>
      <c r="E168" s="15" t="s">
        <v>634</v>
      </c>
      <c r="F168" s="16"/>
    </row>
    <row r="169" spans="2:6" ht="15" x14ac:dyDescent="0.2">
      <c r="B169" s="4">
        <v>167</v>
      </c>
      <c r="C169" s="7"/>
      <c r="D169" s="6"/>
      <c r="E169" s="15" t="s">
        <v>641</v>
      </c>
      <c r="F169" s="16"/>
    </row>
    <row r="170" spans="2:6" ht="15" x14ac:dyDescent="0.2">
      <c r="B170" s="4">
        <v>168</v>
      </c>
      <c r="C170" s="7"/>
      <c r="D170" s="6"/>
      <c r="E170" s="15" t="s">
        <v>654</v>
      </c>
      <c r="F170" s="16"/>
    </row>
    <row r="171" spans="2:6" ht="15" x14ac:dyDescent="0.2">
      <c r="B171" s="4">
        <v>169</v>
      </c>
      <c r="C171" s="7"/>
      <c r="D171" s="6"/>
      <c r="E171" s="15" t="s">
        <v>658</v>
      </c>
      <c r="F171" s="16"/>
    </row>
    <row r="172" spans="2:6" ht="15" x14ac:dyDescent="0.2">
      <c r="B172" s="4">
        <v>170</v>
      </c>
      <c r="C172" s="7"/>
      <c r="D172" s="6"/>
      <c r="E172" s="15" t="s">
        <v>662</v>
      </c>
      <c r="F172" s="16"/>
    </row>
    <row r="173" spans="2:6" ht="15" x14ac:dyDescent="0.2">
      <c r="B173" s="4">
        <v>171</v>
      </c>
      <c r="C173" s="7"/>
      <c r="D173" s="6"/>
      <c r="E173" s="15" t="s">
        <v>677</v>
      </c>
      <c r="F173" s="16"/>
    </row>
    <row r="174" spans="2:6" ht="15" x14ac:dyDescent="0.2">
      <c r="B174" s="4">
        <v>172</v>
      </c>
      <c r="C174" s="7"/>
      <c r="D174" s="6"/>
      <c r="E174" s="15" t="s">
        <v>687</v>
      </c>
      <c r="F174" s="16"/>
    </row>
    <row r="175" spans="2:6" ht="15" x14ac:dyDescent="0.2">
      <c r="B175" s="4">
        <v>173</v>
      </c>
      <c r="C175" s="7"/>
      <c r="D175" s="6"/>
      <c r="E175" s="15" t="s">
        <v>701</v>
      </c>
      <c r="F175" s="16"/>
    </row>
    <row r="176" spans="2:6" ht="15" x14ac:dyDescent="0.2">
      <c r="B176" s="4">
        <v>174</v>
      </c>
      <c r="C176" s="7"/>
      <c r="D176" s="6"/>
      <c r="E176" s="15" t="s">
        <v>702</v>
      </c>
      <c r="F176" s="16"/>
    </row>
    <row r="177" spans="2:6" ht="15" x14ac:dyDescent="0.2">
      <c r="B177" s="4">
        <v>175</v>
      </c>
      <c r="C177" s="7"/>
      <c r="D177" s="6"/>
      <c r="E177" s="15" t="s">
        <v>711</v>
      </c>
      <c r="F177" s="16"/>
    </row>
    <row r="178" spans="2:6" ht="15" x14ac:dyDescent="0.2">
      <c r="B178" s="4">
        <v>176</v>
      </c>
      <c r="C178" s="7"/>
      <c r="D178" s="6"/>
      <c r="E178" s="15" t="s">
        <v>717</v>
      </c>
      <c r="F178" s="16"/>
    </row>
    <row r="179" spans="2:6" ht="15" x14ac:dyDescent="0.2">
      <c r="B179" s="4">
        <v>177</v>
      </c>
      <c r="C179" s="7"/>
      <c r="D179" s="6"/>
      <c r="E179" s="15" t="s">
        <v>752</v>
      </c>
      <c r="F179" s="16"/>
    </row>
    <row r="180" spans="2:6" ht="15" x14ac:dyDescent="0.2">
      <c r="B180" s="4">
        <v>178</v>
      </c>
      <c r="C180" s="7"/>
      <c r="D180" s="6"/>
      <c r="E180" s="15" t="s">
        <v>756</v>
      </c>
      <c r="F180" s="16"/>
    </row>
    <row r="181" spans="2:6" ht="15" x14ac:dyDescent="0.2">
      <c r="B181" s="4">
        <v>179</v>
      </c>
      <c r="C181" s="7"/>
      <c r="D181" s="6"/>
      <c r="E181" s="15" t="s">
        <v>770</v>
      </c>
      <c r="F181" s="16"/>
    </row>
    <row r="182" spans="2:6" ht="15" x14ac:dyDescent="0.2">
      <c r="B182" s="4">
        <v>180</v>
      </c>
      <c r="C182" s="7"/>
      <c r="D182" s="6"/>
      <c r="E182" s="15" t="s">
        <v>772</v>
      </c>
      <c r="F182" s="16"/>
    </row>
    <row r="183" spans="2:6" ht="15" x14ac:dyDescent="0.2">
      <c r="B183" s="4">
        <v>181</v>
      </c>
      <c r="C183" s="7"/>
      <c r="D183" s="6"/>
      <c r="E183" s="15" t="s">
        <v>780</v>
      </c>
      <c r="F183" s="16"/>
    </row>
    <row r="184" spans="2:6" ht="15" x14ac:dyDescent="0.2">
      <c r="B184" s="4">
        <v>182</v>
      </c>
      <c r="C184" s="7"/>
      <c r="D184" s="6"/>
      <c r="E184" s="15" t="s">
        <v>830</v>
      </c>
      <c r="F184" s="16"/>
    </row>
    <row r="185" spans="2:6" ht="15" x14ac:dyDescent="0.2">
      <c r="B185" s="4">
        <v>183</v>
      </c>
      <c r="C185" s="7"/>
      <c r="D185" s="6"/>
      <c r="E185" s="15" t="s">
        <v>832</v>
      </c>
      <c r="F185" s="16"/>
    </row>
    <row r="186" spans="2:6" ht="15" x14ac:dyDescent="0.2">
      <c r="B186" s="4">
        <v>184</v>
      </c>
      <c r="C186" s="7"/>
      <c r="D186" s="6"/>
      <c r="E186" s="15" t="s">
        <v>861</v>
      </c>
      <c r="F186" s="16"/>
    </row>
    <row r="187" spans="2:6" ht="15" x14ac:dyDescent="0.2">
      <c r="B187" s="4">
        <v>185</v>
      </c>
      <c r="C187" s="7"/>
      <c r="D187" s="6"/>
      <c r="E187" s="15" t="s">
        <v>891</v>
      </c>
      <c r="F187" s="16"/>
    </row>
    <row r="188" spans="2:6" ht="15" x14ac:dyDescent="0.2">
      <c r="B188" s="4">
        <v>186</v>
      </c>
      <c r="C188" s="7"/>
      <c r="D188" s="6"/>
      <c r="E188" s="15" t="s">
        <v>901</v>
      </c>
      <c r="F188" s="16"/>
    </row>
    <row r="189" spans="2:6" ht="15" x14ac:dyDescent="0.2">
      <c r="B189" s="4">
        <v>187</v>
      </c>
      <c r="C189" s="7"/>
      <c r="D189" s="6"/>
      <c r="E189" s="15" t="s">
        <v>930</v>
      </c>
      <c r="F189" s="16"/>
    </row>
    <row r="190" spans="2:6" ht="15" x14ac:dyDescent="0.2">
      <c r="B190" s="4">
        <v>188</v>
      </c>
      <c r="C190" s="7"/>
      <c r="D190" s="6"/>
      <c r="E190" s="15" t="s">
        <v>964</v>
      </c>
      <c r="F190" s="16"/>
    </row>
    <row r="191" spans="2:6" ht="15" x14ac:dyDescent="0.2">
      <c r="B191" s="4">
        <v>189</v>
      </c>
      <c r="C191" s="7"/>
      <c r="D191" s="6"/>
      <c r="E191" s="15" t="s">
        <v>975</v>
      </c>
      <c r="F191" s="16"/>
    </row>
    <row r="192" spans="2:6" ht="15" x14ac:dyDescent="0.2">
      <c r="B192" s="4">
        <v>190</v>
      </c>
      <c r="C192" s="7"/>
      <c r="D192" s="6"/>
      <c r="E192" s="15" t="s">
        <v>1004</v>
      </c>
      <c r="F192" s="16"/>
    </row>
    <row r="193" spans="2:6" ht="15" x14ac:dyDescent="0.2">
      <c r="B193" s="4">
        <v>191</v>
      </c>
      <c r="C193" s="7"/>
      <c r="D193" s="6"/>
      <c r="E193" s="15" t="s">
        <v>1034</v>
      </c>
      <c r="F193" s="16"/>
    </row>
    <row r="194" spans="2:6" ht="15" x14ac:dyDescent="0.2">
      <c r="B194" s="4">
        <v>192</v>
      </c>
      <c r="C194" s="7"/>
      <c r="D194" s="6"/>
      <c r="E194" s="15" t="s">
        <v>1048</v>
      </c>
      <c r="F194" s="16"/>
    </row>
    <row r="195" spans="2:6" ht="15" x14ac:dyDescent="0.2">
      <c r="B195" s="4">
        <v>193</v>
      </c>
      <c r="C195" s="7"/>
      <c r="D195" s="6"/>
      <c r="E195" s="15" t="s">
        <v>1062</v>
      </c>
      <c r="F195" s="16"/>
    </row>
    <row r="196" spans="2:6" ht="15" x14ac:dyDescent="0.2">
      <c r="B196" s="4">
        <v>194</v>
      </c>
      <c r="C196" s="7"/>
      <c r="D196" s="6"/>
      <c r="E196" s="15" t="s">
        <v>1064</v>
      </c>
      <c r="F196" s="16"/>
    </row>
    <row r="197" spans="2:6" ht="15" x14ac:dyDescent="0.2">
      <c r="B197" s="4">
        <v>195</v>
      </c>
      <c r="C197" s="7"/>
      <c r="D197" s="6"/>
      <c r="E197" s="15" t="s">
        <v>1078</v>
      </c>
      <c r="F197" s="16"/>
    </row>
    <row r="198" spans="2:6" ht="15" x14ac:dyDescent="0.2">
      <c r="B198" s="4">
        <v>196</v>
      </c>
      <c r="C198" s="7"/>
      <c r="D198" s="6"/>
      <c r="E198" s="15" t="s">
        <v>1101</v>
      </c>
      <c r="F198" s="16"/>
    </row>
    <row r="199" spans="2:6" ht="15" x14ac:dyDescent="0.2">
      <c r="B199" s="4">
        <v>197</v>
      </c>
      <c r="C199" s="7"/>
      <c r="D199" s="6"/>
      <c r="E199" s="15" t="s">
        <v>1113</v>
      </c>
      <c r="F199" s="16"/>
    </row>
    <row r="200" spans="2:6" ht="15" x14ac:dyDescent="0.2">
      <c r="B200" s="4">
        <v>198</v>
      </c>
      <c r="C200" s="7"/>
      <c r="D200" s="6"/>
      <c r="E200" s="15" t="s">
        <v>1125</v>
      </c>
      <c r="F200" s="16"/>
    </row>
    <row r="201" spans="2:6" ht="15" x14ac:dyDescent="0.2">
      <c r="B201" s="4">
        <v>199</v>
      </c>
      <c r="C201" s="7"/>
      <c r="D201" s="6"/>
      <c r="E201" s="15" t="s">
        <v>1153</v>
      </c>
      <c r="F201" s="16"/>
    </row>
    <row r="202" spans="2:6" ht="15" x14ac:dyDescent="0.2">
      <c r="B202" s="4">
        <v>200</v>
      </c>
      <c r="C202" s="7"/>
      <c r="D202" s="6"/>
      <c r="E202" s="15" t="s">
        <v>1160</v>
      </c>
      <c r="F202" s="16"/>
    </row>
    <row r="203" spans="2:6" ht="15" x14ac:dyDescent="0.2">
      <c r="B203" s="4">
        <v>201</v>
      </c>
      <c r="C203" s="7"/>
      <c r="D203" s="6"/>
      <c r="E203" s="15" t="s">
        <v>1192</v>
      </c>
      <c r="F203" s="16"/>
    </row>
    <row r="204" spans="2:6" ht="15" x14ac:dyDescent="0.2">
      <c r="B204" s="4">
        <v>202</v>
      </c>
      <c r="C204" s="7"/>
      <c r="D204" s="6"/>
      <c r="E204" s="15" t="s">
        <v>1197</v>
      </c>
      <c r="F204" s="16"/>
    </row>
    <row r="205" spans="2:6" ht="15" x14ac:dyDescent="0.2">
      <c r="B205" s="4">
        <v>203</v>
      </c>
      <c r="C205" s="7"/>
      <c r="D205" s="6"/>
      <c r="E205" s="15" t="s">
        <v>1265</v>
      </c>
      <c r="F205" s="16"/>
    </row>
    <row r="206" spans="2:6" ht="15" x14ac:dyDescent="0.2">
      <c r="B206" s="4">
        <v>204</v>
      </c>
      <c r="C206" s="7"/>
      <c r="D206" s="6"/>
      <c r="E206" s="15" t="s">
        <v>1290</v>
      </c>
      <c r="F206" s="16"/>
    </row>
    <row r="207" spans="2:6" ht="15" x14ac:dyDescent="0.2">
      <c r="B207" s="4">
        <v>205</v>
      </c>
      <c r="C207" s="7"/>
      <c r="D207" s="6"/>
      <c r="E207" s="15" t="s">
        <v>1346</v>
      </c>
      <c r="F207" s="16"/>
    </row>
    <row r="208" spans="2:6" ht="15" x14ac:dyDescent="0.2">
      <c r="B208" s="4">
        <v>206</v>
      </c>
      <c r="C208" s="7"/>
      <c r="D208" s="6"/>
      <c r="E208" s="15" t="s">
        <v>1359</v>
      </c>
      <c r="F208" s="16"/>
    </row>
    <row r="209" spans="2:12" ht="15" x14ac:dyDescent="0.2">
      <c r="B209" s="4">
        <v>207</v>
      </c>
      <c r="C209" s="7"/>
      <c r="D209" s="6"/>
      <c r="E209" s="15" t="s">
        <v>1375</v>
      </c>
      <c r="F209" s="16"/>
    </row>
    <row r="210" spans="2:12" ht="15" x14ac:dyDescent="0.2">
      <c r="B210" s="4">
        <v>208</v>
      </c>
      <c r="C210" s="7"/>
      <c r="D210" s="6"/>
      <c r="E210" s="15" t="s">
        <v>1397</v>
      </c>
      <c r="F210" s="16"/>
    </row>
    <row r="211" spans="2:12" ht="15" x14ac:dyDescent="0.2">
      <c r="B211" s="4">
        <v>209</v>
      </c>
      <c r="C211" s="7"/>
      <c r="D211" s="6"/>
      <c r="E211" s="15" t="s">
        <v>1415</v>
      </c>
      <c r="F211" s="16"/>
    </row>
    <row r="212" spans="2:12" ht="15" x14ac:dyDescent="0.2">
      <c r="B212" s="4">
        <v>210</v>
      </c>
      <c r="C212" s="7"/>
      <c r="D212" s="6"/>
      <c r="E212" s="15" t="s">
        <v>1423</v>
      </c>
      <c r="F212" s="16"/>
    </row>
    <row r="213" spans="2:12" ht="15" x14ac:dyDescent="0.2">
      <c r="B213" s="4">
        <v>211</v>
      </c>
      <c r="C213" s="7"/>
      <c r="D213" s="6"/>
      <c r="E213" s="15" t="s">
        <v>1501</v>
      </c>
      <c r="F213" s="16"/>
    </row>
    <row r="214" spans="2:12" ht="15" x14ac:dyDescent="0.2">
      <c r="B214" s="4">
        <v>212</v>
      </c>
      <c r="C214" s="7"/>
      <c r="D214" s="6"/>
      <c r="E214" s="15" t="s">
        <v>1529</v>
      </c>
      <c r="F214" s="16"/>
    </row>
    <row r="215" spans="2:12" ht="15.75" thickBot="1" x14ac:dyDescent="0.25">
      <c r="B215" s="4">
        <v>213</v>
      </c>
      <c r="C215" s="7"/>
      <c r="D215" s="6"/>
      <c r="E215" s="15" t="s">
        <v>1536</v>
      </c>
      <c r="F215" s="16"/>
    </row>
    <row r="216" spans="2:12" ht="15.75" thickBot="1" x14ac:dyDescent="0.25">
      <c r="B216" s="4">
        <v>214</v>
      </c>
      <c r="C216" s="7"/>
      <c r="D216" s="6"/>
      <c r="E216" s="15" t="s">
        <v>1575</v>
      </c>
      <c r="F216" s="16"/>
      <c r="J216" s="26">
        <v>1</v>
      </c>
      <c r="K216" s="27">
        <v>55000</v>
      </c>
      <c r="L216" s="27">
        <f>J216*K216</f>
        <v>55000</v>
      </c>
    </row>
    <row r="217" spans="2:12" ht="15.75" thickBot="1" x14ac:dyDescent="0.25">
      <c r="B217" s="4">
        <v>215</v>
      </c>
      <c r="C217" s="7"/>
      <c r="D217" s="6"/>
      <c r="E217" s="15" t="s">
        <v>1590</v>
      </c>
      <c r="F217" s="16"/>
      <c r="J217" s="28">
        <v>471</v>
      </c>
      <c r="K217" s="29">
        <v>850</v>
      </c>
      <c r="L217" s="27">
        <f>J217*K217</f>
        <v>400350</v>
      </c>
    </row>
    <row r="218" spans="2:12" ht="15.75" thickBot="1" x14ac:dyDescent="0.25">
      <c r="B218" s="4">
        <v>216</v>
      </c>
      <c r="C218" s="7"/>
      <c r="D218" s="6"/>
      <c r="E218" s="15" t="s">
        <v>1591</v>
      </c>
      <c r="F218" s="16"/>
      <c r="J218" s="28">
        <v>550</v>
      </c>
      <c r="K218" s="29">
        <v>110</v>
      </c>
      <c r="L218" s="27">
        <f>J218*K218</f>
        <v>60500</v>
      </c>
    </row>
    <row r="219" spans="2:12" ht="15.75" thickBot="1" x14ac:dyDescent="0.25">
      <c r="B219" s="4">
        <v>217</v>
      </c>
      <c r="C219" s="7"/>
      <c r="D219" s="6"/>
      <c r="E219" s="15" t="s">
        <v>2752</v>
      </c>
      <c r="F219" s="16"/>
      <c r="J219" s="28">
        <v>91</v>
      </c>
      <c r="K219" s="29">
        <v>430</v>
      </c>
      <c r="L219" s="27">
        <f>J219*K219</f>
        <v>39130</v>
      </c>
    </row>
    <row r="220" spans="2:12" ht="15" x14ac:dyDescent="0.2">
      <c r="B220" s="4">
        <v>218</v>
      </c>
      <c r="C220" s="7"/>
      <c r="D220" s="6"/>
      <c r="E220" s="15" t="s">
        <v>2753</v>
      </c>
      <c r="F220" s="16"/>
      <c r="L220" s="30">
        <f>SUM(L216:L219)</f>
        <v>554980</v>
      </c>
    </row>
    <row r="221" spans="2:12" ht="15" x14ac:dyDescent="0.2">
      <c r="B221" s="4">
        <v>219</v>
      </c>
      <c r="C221" s="7"/>
      <c r="D221" s="6"/>
      <c r="E221" s="15" t="s">
        <v>2754</v>
      </c>
      <c r="F221" s="16"/>
    </row>
    <row r="222" spans="2:12" ht="15" x14ac:dyDescent="0.2">
      <c r="B222" s="4">
        <v>220</v>
      </c>
      <c r="C222" s="7"/>
      <c r="D222" s="6"/>
      <c r="E222" s="15" t="s">
        <v>2755</v>
      </c>
      <c r="F222" s="16"/>
    </row>
    <row r="223" spans="2:12" ht="15" x14ac:dyDescent="0.2">
      <c r="B223" s="4">
        <v>221</v>
      </c>
      <c r="C223" s="7"/>
      <c r="D223" s="6"/>
      <c r="E223" s="15" t="s">
        <v>2756</v>
      </c>
      <c r="F223" s="16"/>
      <c r="J223" s="1" t="s">
        <v>2770</v>
      </c>
      <c r="K223" s="1" t="s">
        <v>2771</v>
      </c>
    </row>
    <row r="224" spans="2:12" ht="15" x14ac:dyDescent="0.2">
      <c r="B224" s="4">
        <v>222</v>
      </c>
      <c r="C224" s="7"/>
      <c r="D224" s="6"/>
      <c r="E224" s="15" t="s">
        <v>2757</v>
      </c>
      <c r="F224" s="16"/>
      <c r="J224" s="1">
        <f>2525</f>
        <v>2525</v>
      </c>
      <c r="K224" s="31">
        <f>J224*52</f>
        <v>131300</v>
      </c>
    </row>
    <row r="225" spans="2:12" ht="15" x14ac:dyDescent="0.2">
      <c r="B225" s="4">
        <v>223</v>
      </c>
      <c r="C225" s="7"/>
      <c r="D225" s="6"/>
      <c r="E225" s="15" t="s">
        <v>2758</v>
      </c>
      <c r="F225" s="16"/>
      <c r="K225" s="31">
        <f>K224*10000000</f>
        <v>1313000000000</v>
      </c>
      <c r="L225" s="1" t="s">
        <v>2772</v>
      </c>
    </row>
    <row r="226" spans="2:12" ht="15" x14ac:dyDescent="0.2">
      <c r="B226" s="4">
        <v>224</v>
      </c>
      <c r="C226" s="7"/>
      <c r="D226" s="6"/>
      <c r="E226" s="15" t="s">
        <v>2759</v>
      </c>
      <c r="F226" s="16"/>
      <c r="K226" s="32">
        <f>K225/160</f>
        <v>8206250000</v>
      </c>
      <c r="L226" s="1" t="s">
        <v>2773</v>
      </c>
    </row>
    <row r="227" spans="2:12" ht="15" x14ac:dyDescent="0.2">
      <c r="B227" s="4">
        <v>225</v>
      </c>
      <c r="C227" s="7"/>
      <c r="D227" s="6"/>
      <c r="E227" s="15" t="s">
        <v>2760</v>
      </c>
      <c r="F227" s="16"/>
    </row>
    <row r="228" spans="2:12" ht="15" x14ac:dyDescent="0.2">
      <c r="B228" s="4">
        <v>226</v>
      </c>
      <c r="C228" s="7"/>
      <c r="D228" s="6"/>
      <c r="E228" s="15" t="s">
        <v>2761</v>
      </c>
      <c r="F228" s="16"/>
    </row>
    <row r="229" spans="2:12" ht="15" x14ac:dyDescent="0.2">
      <c r="B229" s="4">
        <v>227</v>
      </c>
      <c r="C229" s="7"/>
      <c r="D229" s="6"/>
      <c r="E229" s="15" t="s">
        <v>2762</v>
      </c>
      <c r="F229" s="16"/>
    </row>
    <row r="230" spans="2:12" ht="15" x14ac:dyDescent="0.2">
      <c r="B230" s="4">
        <v>228</v>
      </c>
      <c r="C230" s="7"/>
      <c r="D230" s="6"/>
      <c r="E230" s="15" t="s">
        <v>2763</v>
      </c>
      <c r="F230" s="16"/>
    </row>
    <row r="231" spans="2:12" ht="15" x14ac:dyDescent="0.2">
      <c r="B231" s="4">
        <v>229</v>
      </c>
      <c r="C231" s="7"/>
      <c r="D231" s="6"/>
      <c r="E231" s="15" t="s">
        <v>2764</v>
      </c>
      <c r="F231" s="16"/>
    </row>
    <row r="232" spans="2:12" ht="15" x14ac:dyDescent="0.2">
      <c r="B232" s="4">
        <v>230</v>
      </c>
      <c r="C232" s="7"/>
      <c r="D232" s="6"/>
      <c r="E232" s="15" t="s">
        <v>2765</v>
      </c>
      <c r="F232" s="16"/>
    </row>
    <row r="233" spans="2:12" ht="15" x14ac:dyDescent="0.2">
      <c r="B233" s="4">
        <v>231</v>
      </c>
      <c r="C233" s="7"/>
      <c r="D233" s="6"/>
      <c r="E233" s="15" t="s">
        <v>2766</v>
      </c>
      <c r="F233" s="16"/>
    </row>
    <row r="234" spans="2:12" ht="15" x14ac:dyDescent="0.2">
      <c r="B234" s="4">
        <v>232</v>
      </c>
      <c r="C234" s="7"/>
      <c r="D234" s="6"/>
      <c r="E234" s="15" t="s">
        <v>2767</v>
      </c>
      <c r="F234" s="16"/>
    </row>
    <row r="235" spans="2:12" ht="15" x14ac:dyDescent="0.2">
      <c r="B235" s="4">
        <v>233</v>
      </c>
      <c r="C235" s="7"/>
      <c r="D235" s="6"/>
      <c r="E235" s="15" t="s">
        <v>2768</v>
      </c>
      <c r="F235" s="16"/>
    </row>
    <row r="236" spans="2:12" ht="15" x14ac:dyDescent="0.2">
      <c r="B236" s="4">
        <v>234</v>
      </c>
      <c r="C236" s="7"/>
      <c r="D236" s="6"/>
      <c r="E236" s="15" t="s">
        <v>2769</v>
      </c>
      <c r="F236" s="16"/>
    </row>
    <row r="237" spans="2:12" ht="15" x14ac:dyDescent="0.2">
      <c r="B237" s="4">
        <v>235</v>
      </c>
      <c r="C237" s="7"/>
      <c r="D237" s="6"/>
      <c r="E237" s="15" t="s">
        <v>2774</v>
      </c>
      <c r="F237" s="16"/>
    </row>
    <row r="238" spans="2:12" ht="15" x14ac:dyDescent="0.2">
      <c r="B238" s="4">
        <v>236</v>
      </c>
      <c r="C238" s="7"/>
      <c r="D238" s="6"/>
      <c r="E238" s="15" t="s">
        <v>2775</v>
      </c>
      <c r="F238" s="16"/>
    </row>
    <row r="239" spans="2:12" ht="15" x14ac:dyDescent="0.2">
      <c r="B239" s="4">
        <v>237</v>
      </c>
      <c r="C239" s="7"/>
      <c r="D239" s="6"/>
      <c r="E239" s="15" t="s">
        <v>2776</v>
      </c>
      <c r="F239" s="16"/>
    </row>
    <row r="240" spans="2:12" ht="15" x14ac:dyDescent="0.2">
      <c r="B240" s="4">
        <v>238</v>
      </c>
      <c r="C240" s="7"/>
      <c r="D240" s="6"/>
      <c r="E240" s="15" t="s">
        <v>2814</v>
      </c>
      <c r="F240" s="16"/>
    </row>
    <row r="241" spans="2:6" ht="15" x14ac:dyDescent="0.2">
      <c r="B241" s="4">
        <v>239</v>
      </c>
      <c r="C241" s="7"/>
      <c r="D241" s="6"/>
      <c r="E241" s="15" t="s">
        <v>2777</v>
      </c>
      <c r="F241" s="16"/>
    </row>
    <row r="242" spans="2:6" ht="15" x14ac:dyDescent="0.2">
      <c r="B242" s="4">
        <v>240</v>
      </c>
      <c r="C242" s="7"/>
      <c r="D242" s="6"/>
      <c r="E242" s="15" t="s">
        <v>2778</v>
      </c>
      <c r="F242" s="16"/>
    </row>
    <row r="243" spans="2:6" ht="15" x14ac:dyDescent="0.2">
      <c r="B243" s="4">
        <v>240</v>
      </c>
      <c r="C243" s="7"/>
      <c r="D243" s="6"/>
      <c r="E243" s="15" t="s">
        <v>2779</v>
      </c>
      <c r="F243" s="16"/>
    </row>
    <row r="244" spans="2:6" ht="15" x14ac:dyDescent="0.2">
      <c r="B244" s="4">
        <v>240</v>
      </c>
      <c r="C244" s="7"/>
      <c r="D244" s="6"/>
      <c r="E244" s="15" t="s">
        <v>2781</v>
      </c>
      <c r="F244" s="16"/>
    </row>
    <row r="245" spans="2:6" ht="15" x14ac:dyDescent="0.2">
      <c r="B245" s="4">
        <v>241</v>
      </c>
      <c r="C245" s="7"/>
      <c r="D245" s="6"/>
      <c r="E245" s="15" t="s">
        <v>2782</v>
      </c>
      <c r="F245" s="16"/>
    </row>
    <row r="246" spans="2:6" ht="15" x14ac:dyDescent="0.2">
      <c r="B246" s="4">
        <v>242</v>
      </c>
      <c r="C246" s="7"/>
      <c r="D246" s="6"/>
      <c r="E246" s="15" t="s">
        <v>2783</v>
      </c>
      <c r="F246" s="16"/>
    </row>
    <row r="247" spans="2:6" ht="15" x14ac:dyDescent="0.2">
      <c r="B247" s="4">
        <v>240</v>
      </c>
      <c r="C247" s="7"/>
      <c r="D247" s="6"/>
      <c r="E247" s="15" t="s">
        <v>2784</v>
      </c>
      <c r="F247" s="16"/>
    </row>
    <row r="248" spans="2:6" ht="15" x14ac:dyDescent="0.2">
      <c r="B248" s="4">
        <v>241</v>
      </c>
      <c r="C248" s="7"/>
      <c r="D248" s="6"/>
      <c r="E248" s="15" t="s">
        <v>2785</v>
      </c>
      <c r="F248" s="16"/>
    </row>
    <row r="249" spans="2:6" ht="15" x14ac:dyDescent="0.2">
      <c r="B249" s="4">
        <v>242</v>
      </c>
      <c r="C249" s="7"/>
      <c r="D249" s="6"/>
      <c r="E249" s="15" t="s">
        <v>2786</v>
      </c>
      <c r="F249" s="16"/>
    </row>
    <row r="250" spans="2:6" ht="15" x14ac:dyDescent="0.2">
      <c r="B250" s="4">
        <v>240</v>
      </c>
      <c r="C250" s="7"/>
      <c r="D250" s="6"/>
      <c r="E250" s="15" t="s">
        <v>2787</v>
      </c>
      <c r="F250" s="16"/>
    </row>
    <row r="251" spans="2:6" ht="15" x14ac:dyDescent="0.2">
      <c r="B251" s="4">
        <v>241</v>
      </c>
      <c r="C251" s="7"/>
      <c r="D251" s="6"/>
      <c r="E251" s="15" t="s">
        <v>2788</v>
      </c>
      <c r="F251" s="16"/>
    </row>
    <row r="252" spans="2:6" ht="15" x14ac:dyDescent="0.2">
      <c r="B252" s="4">
        <v>242</v>
      </c>
      <c r="C252" s="7"/>
      <c r="D252" s="6"/>
      <c r="E252" s="15" t="s">
        <v>2834</v>
      </c>
      <c r="F252" s="16"/>
    </row>
    <row r="253" spans="2:6" ht="15" x14ac:dyDescent="0.2">
      <c r="B253" s="4">
        <v>240</v>
      </c>
      <c r="C253" s="7"/>
      <c r="D253" s="6"/>
      <c r="E253" s="15" t="s">
        <v>2843</v>
      </c>
      <c r="F253" s="16"/>
    </row>
    <row r="254" spans="2:6" ht="15" x14ac:dyDescent="0.2">
      <c r="B254" s="4">
        <v>241</v>
      </c>
      <c r="C254" s="7"/>
      <c r="D254" s="6"/>
      <c r="E254" s="15" t="s">
        <v>2844</v>
      </c>
      <c r="F254" s="16"/>
    </row>
    <row r="255" spans="2:6" ht="15" x14ac:dyDescent="0.2">
      <c r="B255" s="4">
        <v>242</v>
      </c>
      <c r="C255" s="7"/>
      <c r="D255" s="6"/>
      <c r="E255" s="15" t="s">
        <v>2845</v>
      </c>
      <c r="F255" s="16"/>
    </row>
    <row r="256" spans="2:6" ht="15" x14ac:dyDescent="0.2">
      <c r="B256" s="4">
        <v>240</v>
      </c>
      <c r="C256" s="7"/>
      <c r="D256" s="6"/>
      <c r="E256" s="15" t="s">
        <v>2846</v>
      </c>
      <c r="F256" s="16"/>
    </row>
    <row r="257" spans="2:6" ht="15" x14ac:dyDescent="0.2">
      <c r="B257" s="4">
        <v>241</v>
      </c>
      <c r="C257" s="7"/>
      <c r="D257" s="6"/>
      <c r="E257" s="15" t="s">
        <v>2847</v>
      </c>
      <c r="F257" s="16"/>
    </row>
    <row r="258" spans="2:6" ht="15" x14ac:dyDescent="0.2">
      <c r="B258" s="4">
        <v>242</v>
      </c>
      <c r="C258" s="7"/>
      <c r="D258" s="6"/>
      <c r="E258" s="15" t="s">
        <v>2849</v>
      </c>
      <c r="F258" s="16"/>
    </row>
    <row r="259" spans="2:6" ht="15" x14ac:dyDescent="0.2">
      <c r="B259" s="4">
        <v>243</v>
      </c>
      <c r="C259" s="7"/>
      <c r="D259" s="6"/>
      <c r="E259" s="15" t="s">
        <v>2850</v>
      </c>
      <c r="F259" s="16"/>
    </row>
    <row r="260" spans="2:6" ht="15" x14ac:dyDescent="0.2">
      <c r="B260" s="4">
        <v>244</v>
      </c>
      <c r="C260" s="7"/>
      <c r="D260" s="6"/>
      <c r="E260" s="15" t="s">
        <v>2895</v>
      </c>
      <c r="F260" s="16"/>
    </row>
    <row r="261" spans="2:6" ht="15" x14ac:dyDescent="0.2">
      <c r="B261" s="4">
        <v>245</v>
      </c>
      <c r="C261" s="7"/>
      <c r="D261" s="6"/>
      <c r="E261" s="15" t="s">
        <v>2896</v>
      </c>
      <c r="F261" s="16"/>
    </row>
    <row r="262" spans="2:6" ht="15" x14ac:dyDescent="0.2">
      <c r="B262" s="4">
        <v>246</v>
      </c>
      <c r="C262" s="7"/>
      <c r="D262" s="6"/>
      <c r="E262" s="15" t="s">
        <v>2899</v>
      </c>
      <c r="F262" s="16"/>
    </row>
    <row r="263" spans="2:6" ht="15" x14ac:dyDescent="0.2">
      <c r="B263" s="4">
        <v>247</v>
      </c>
      <c r="C263" s="7"/>
      <c r="D263" s="6"/>
      <c r="E263" s="15" t="s">
        <v>2900</v>
      </c>
      <c r="F263" s="16"/>
    </row>
    <row r="264" spans="2:6" ht="15" x14ac:dyDescent="0.2">
      <c r="B264" s="4">
        <v>248</v>
      </c>
      <c r="C264" s="7"/>
      <c r="D264" s="6"/>
      <c r="E264" s="15" t="s">
        <v>2901</v>
      </c>
      <c r="F264" s="16"/>
    </row>
    <row r="265" spans="2:6" ht="15" x14ac:dyDescent="0.2">
      <c r="B265" s="4">
        <v>249</v>
      </c>
      <c r="C265" s="7"/>
      <c r="D265" s="6"/>
      <c r="E265" s="15" t="s">
        <v>2921</v>
      </c>
      <c r="F265" s="16"/>
    </row>
    <row r="266" spans="2:6" ht="15" x14ac:dyDescent="0.2">
      <c r="B266" s="4">
        <v>250</v>
      </c>
      <c r="C266" s="7"/>
      <c r="D266" s="6"/>
      <c r="E266" s="15" t="s">
        <v>2922</v>
      </c>
      <c r="F266" s="16"/>
    </row>
    <row r="267" spans="2:6" ht="15" x14ac:dyDescent="0.2">
      <c r="B267" s="4">
        <v>251</v>
      </c>
      <c r="C267" s="7"/>
      <c r="D267" s="6"/>
      <c r="E267" s="15" t="s">
        <v>2925</v>
      </c>
      <c r="F267" s="16"/>
    </row>
    <row r="268" spans="2:6" ht="15" x14ac:dyDescent="0.2">
      <c r="B268" s="4">
        <v>252</v>
      </c>
      <c r="C268" s="7"/>
      <c r="D268" s="6"/>
      <c r="E268" s="15" t="s">
        <v>2930</v>
      </c>
      <c r="F268" s="16"/>
    </row>
    <row r="269" spans="2:6" ht="15" x14ac:dyDescent="0.2">
      <c r="B269" s="4">
        <v>253</v>
      </c>
      <c r="C269" s="7"/>
      <c r="D269" s="6"/>
      <c r="E269" s="15" t="s">
        <v>2931</v>
      </c>
      <c r="F269" s="16"/>
    </row>
    <row r="270" spans="2:6" ht="15" x14ac:dyDescent="0.2">
      <c r="B270" s="4">
        <v>254</v>
      </c>
      <c r="C270" s="7"/>
      <c r="D270" s="6"/>
      <c r="E270" s="15" t="s">
        <v>2936</v>
      </c>
      <c r="F270" s="16"/>
    </row>
    <row r="271" spans="2:6" ht="15" x14ac:dyDescent="0.2">
      <c r="B271" s="4">
        <v>255</v>
      </c>
      <c r="C271" s="7"/>
      <c r="D271" s="6"/>
      <c r="E271" s="15" t="s">
        <v>2937</v>
      </c>
      <c r="F271" s="16"/>
    </row>
    <row r="272" spans="2:6" ht="15" x14ac:dyDescent="0.2">
      <c r="B272" s="4">
        <v>256</v>
      </c>
      <c r="C272" s="7"/>
      <c r="D272" s="6"/>
      <c r="E272" s="15" t="s">
        <v>2938</v>
      </c>
      <c r="F272" s="16"/>
    </row>
    <row r="273" spans="2:10" ht="15" x14ac:dyDescent="0.2">
      <c r="B273" s="4">
        <v>257</v>
      </c>
      <c r="C273" s="7"/>
      <c r="D273" s="6"/>
      <c r="E273" s="15" t="s">
        <v>2939</v>
      </c>
      <c r="F273" s="16"/>
    </row>
    <row r="274" spans="2:10" ht="15" x14ac:dyDescent="0.2">
      <c r="B274" s="4">
        <v>258</v>
      </c>
      <c r="C274" s="7"/>
      <c r="D274" s="6"/>
      <c r="E274" s="15" t="s">
        <v>2940</v>
      </c>
      <c r="F274" s="16"/>
    </row>
    <row r="275" spans="2:10" ht="15" x14ac:dyDescent="0.2">
      <c r="B275" s="4">
        <v>259</v>
      </c>
      <c r="C275" s="7"/>
      <c r="D275" s="6"/>
      <c r="E275" s="15" t="s">
        <v>2941</v>
      </c>
      <c r="F275" s="16"/>
    </row>
    <row r="276" spans="2:10" ht="15.75" thickBot="1" x14ac:dyDescent="0.25">
      <c r="B276" s="4">
        <v>260</v>
      </c>
      <c r="C276" s="7"/>
      <c r="D276" s="6"/>
      <c r="E276" s="15" t="s">
        <v>2942</v>
      </c>
      <c r="F276" s="16"/>
    </row>
    <row r="277" spans="2:10" ht="15.75" thickBot="1" x14ac:dyDescent="0.25">
      <c r="B277" s="4">
        <v>261</v>
      </c>
      <c r="C277" s="7"/>
      <c r="D277" s="6"/>
      <c r="E277" s="15" t="s">
        <v>2949</v>
      </c>
      <c r="F277" s="16"/>
      <c r="H277" s="26">
        <v>39</v>
      </c>
      <c r="I277" s="27">
        <v>7500</v>
      </c>
      <c r="J277" s="73">
        <f>H277*I277</f>
        <v>292500</v>
      </c>
    </row>
    <row r="278" spans="2:10" ht="15.75" thickBot="1" x14ac:dyDescent="0.25">
      <c r="B278" s="4">
        <v>262</v>
      </c>
      <c r="C278" s="7"/>
      <c r="D278" s="6"/>
      <c r="E278" s="15" t="s">
        <v>2966</v>
      </c>
      <c r="F278" s="16"/>
      <c r="H278" s="28">
        <v>8</v>
      </c>
      <c r="I278" s="74">
        <v>9915</v>
      </c>
      <c r="J278" s="73">
        <f>H278*I278</f>
        <v>79320</v>
      </c>
    </row>
    <row r="279" spans="2:10" ht="15.75" thickBot="1" x14ac:dyDescent="0.25">
      <c r="B279" s="4">
        <v>263</v>
      </c>
      <c r="C279" s="7"/>
      <c r="D279" s="6"/>
      <c r="E279" s="15" t="s">
        <v>2967</v>
      </c>
      <c r="F279" s="16"/>
      <c r="H279" s="28">
        <v>4</v>
      </c>
      <c r="I279" s="74">
        <v>13300</v>
      </c>
      <c r="J279" s="73">
        <f>H279*I279</f>
        <v>53200</v>
      </c>
    </row>
    <row r="280" spans="2:10" ht="15" x14ac:dyDescent="0.2">
      <c r="B280" s="4">
        <v>264</v>
      </c>
      <c r="C280" s="7"/>
      <c r="D280" s="6"/>
      <c r="E280" s="15" t="s">
        <v>2969</v>
      </c>
      <c r="F280" s="16"/>
      <c r="J280" s="30">
        <f>SUM(J277:J279)</f>
        <v>425020</v>
      </c>
    </row>
    <row r="281" spans="2:10" ht="15" x14ac:dyDescent="0.2">
      <c r="B281" s="4">
        <v>265</v>
      </c>
      <c r="C281" s="7"/>
      <c r="D281" s="6"/>
      <c r="E281" s="15" t="s">
        <v>2978</v>
      </c>
      <c r="F281" s="16"/>
    </row>
    <row r="282" spans="2:10" ht="15" x14ac:dyDescent="0.2">
      <c r="B282" s="4">
        <v>266</v>
      </c>
      <c r="C282" s="7"/>
      <c r="D282" s="6"/>
      <c r="E282" s="15" t="s">
        <v>2970</v>
      </c>
      <c r="F282" s="16"/>
    </row>
    <row r="283" spans="2:10" ht="15" x14ac:dyDescent="0.2">
      <c r="B283" s="4">
        <v>267</v>
      </c>
      <c r="C283" s="7"/>
      <c r="D283" s="6"/>
      <c r="E283" s="15" t="s">
        <v>2971</v>
      </c>
      <c r="F283" s="16"/>
    </row>
    <row r="284" spans="2:10" ht="15" x14ac:dyDescent="0.2">
      <c r="B284" s="4">
        <v>268</v>
      </c>
      <c r="C284" s="7"/>
      <c r="D284" s="6"/>
      <c r="E284" s="15" t="s">
        <v>2979</v>
      </c>
      <c r="F284" s="16"/>
    </row>
    <row r="285" spans="2:10" ht="15" x14ac:dyDescent="0.2">
      <c r="B285" s="4">
        <v>269</v>
      </c>
      <c r="C285" s="7"/>
      <c r="D285" s="6"/>
      <c r="E285" s="15" t="s">
        <v>2980</v>
      </c>
      <c r="F285" s="16"/>
    </row>
    <row r="286" spans="2:10" ht="15" x14ac:dyDescent="0.2">
      <c r="B286" s="4">
        <v>270</v>
      </c>
      <c r="C286" s="7"/>
      <c r="D286" s="6"/>
      <c r="E286" s="15" t="s">
        <v>2981</v>
      </c>
      <c r="F286" s="16"/>
    </row>
    <row r="287" spans="2:10" ht="15" x14ac:dyDescent="0.2">
      <c r="B287" s="4">
        <v>271</v>
      </c>
      <c r="C287" s="7"/>
      <c r="D287" s="6"/>
      <c r="E287" s="15" t="s">
        <v>2982</v>
      </c>
      <c r="F287" s="16"/>
    </row>
    <row r="288" spans="2:10" ht="15" x14ac:dyDescent="0.2">
      <c r="B288" s="4">
        <v>272</v>
      </c>
      <c r="C288" s="7"/>
      <c r="D288" s="6"/>
      <c r="E288" s="15" t="s">
        <v>2990</v>
      </c>
      <c r="F288" s="16"/>
    </row>
    <row r="289" spans="2:6" ht="15" x14ac:dyDescent="0.2">
      <c r="B289" s="4">
        <v>273</v>
      </c>
      <c r="C289" s="7"/>
      <c r="D289" s="6"/>
      <c r="E289" s="15" t="s">
        <v>2991</v>
      </c>
      <c r="F289" s="16"/>
    </row>
    <row r="290" spans="2:6" ht="15" x14ac:dyDescent="0.2">
      <c r="B290" s="4">
        <v>274</v>
      </c>
      <c r="C290" s="7"/>
      <c r="D290" s="6"/>
      <c r="E290" s="15" t="s">
        <v>2994</v>
      </c>
      <c r="F290" s="16"/>
    </row>
    <row r="291" spans="2:6" ht="15" x14ac:dyDescent="0.2">
      <c r="B291" s="4">
        <v>275</v>
      </c>
      <c r="C291" s="7"/>
      <c r="D291" s="6"/>
      <c r="E291" s="15" t="s">
        <v>2995</v>
      </c>
      <c r="F291" s="16"/>
    </row>
    <row r="292" spans="2:6" ht="15" x14ac:dyDescent="0.2">
      <c r="B292" s="4">
        <v>276</v>
      </c>
      <c r="C292" s="7"/>
      <c r="D292" s="6"/>
      <c r="E292" s="15" t="s">
        <v>2996</v>
      </c>
      <c r="F292" s="16"/>
    </row>
    <row r="293" spans="2:6" ht="15" x14ac:dyDescent="0.2">
      <c r="B293" s="4">
        <v>277</v>
      </c>
      <c r="C293" s="7"/>
      <c r="D293" s="6"/>
      <c r="E293" s="15" t="s">
        <v>2997</v>
      </c>
      <c r="F293" s="16"/>
    </row>
    <row r="294" spans="2:6" ht="15" x14ac:dyDescent="0.2">
      <c r="B294" s="4">
        <v>278</v>
      </c>
      <c r="C294" s="7"/>
      <c r="D294" s="6"/>
      <c r="E294" s="15" t="s">
        <v>2998</v>
      </c>
      <c r="F294" s="16"/>
    </row>
    <row r="295" spans="2:6" ht="15" x14ac:dyDescent="0.2">
      <c r="B295" s="4">
        <v>279</v>
      </c>
      <c r="C295" s="7"/>
      <c r="D295" s="6"/>
      <c r="E295" s="15" t="s">
        <v>2999</v>
      </c>
      <c r="F295" s="16"/>
    </row>
    <row r="296" spans="2:6" ht="15" x14ac:dyDescent="0.2">
      <c r="B296" s="4">
        <v>280</v>
      </c>
      <c r="C296" s="7"/>
      <c r="D296" s="6"/>
      <c r="E296" s="15" t="s">
        <v>3000</v>
      </c>
      <c r="F296" s="16"/>
    </row>
    <row r="297" spans="2:6" ht="15" x14ac:dyDescent="0.2">
      <c r="B297" s="4">
        <v>281</v>
      </c>
      <c r="C297" s="7"/>
      <c r="D297" s="6"/>
      <c r="E297" s="15" t="s">
        <v>3005</v>
      </c>
      <c r="F297" s="16"/>
    </row>
    <row r="298" spans="2:6" ht="15" x14ac:dyDescent="0.2">
      <c r="B298" s="4">
        <v>282</v>
      </c>
      <c r="C298" s="7"/>
      <c r="D298" s="6"/>
      <c r="E298" s="15" t="s">
        <v>3006</v>
      </c>
      <c r="F298" s="16"/>
    </row>
    <row r="299" spans="2:6" ht="15" x14ac:dyDescent="0.2">
      <c r="B299" s="4">
        <v>283</v>
      </c>
      <c r="C299" s="7"/>
      <c r="D299" s="6"/>
      <c r="E299" s="15" t="s">
        <v>3009</v>
      </c>
      <c r="F299" s="16"/>
    </row>
    <row r="300" spans="2:6" ht="15" x14ac:dyDescent="0.2">
      <c r="B300" s="4">
        <v>284</v>
      </c>
      <c r="C300" s="7"/>
      <c r="D300" s="6"/>
      <c r="E300" s="15" t="s">
        <v>3010</v>
      </c>
      <c r="F300" s="16"/>
    </row>
    <row r="301" spans="2:6" ht="15" x14ac:dyDescent="0.2">
      <c r="B301" s="4">
        <v>285</v>
      </c>
      <c r="C301" s="7"/>
      <c r="D301" s="6"/>
      <c r="E301" s="15" t="s">
        <v>3011</v>
      </c>
      <c r="F301" s="16"/>
    </row>
    <row r="302" spans="2:6" ht="15" x14ac:dyDescent="0.2">
      <c r="B302" s="4">
        <v>286</v>
      </c>
      <c r="C302" s="7"/>
      <c r="D302" s="6"/>
      <c r="E302" s="15" t="s">
        <v>3012</v>
      </c>
      <c r="F302" s="16"/>
    </row>
    <row r="303" spans="2:6" ht="15" x14ac:dyDescent="0.2">
      <c r="B303" s="4">
        <v>287</v>
      </c>
      <c r="C303" s="7"/>
      <c r="D303" s="6"/>
      <c r="E303" s="15" t="s">
        <v>3016</v>
      </c>
      <c r="F303" s="16"/>
    </row>
    <row r="304" spans="2:6" ht="15" x14ac:dyDescent="0.2">
      <c r="B304" s="4">
        <v>288</v>
      </c>
      <c r="C304" s="7"/>
      <c r="D304" s="6"/>
      <c r="E304" s="15" t="s">
        <v>3017</v>
      </c>
      <c r="F304" s="16"/>
    </row>
    <row r="305" spans="2:6" ht="15" x14ac:dyDescent="0.2">
      <c r="B305" s="4">
        <v>289</v>
      </c>
      <c r="C305" s="7"/>
      <c r="D305" s="6"/>
      <c r="E305" s="15" t="s">
        <v>3018</v>
      </c>
      <c r="F305" s="16"/>
    </row>
    <row r="306" spans="2:6" ht="15" x14ac:dyDescent="0.2">
      <c r="B306" s="4">
        <v>290</v>
      </c>
      <c r="C306" s="7"/>
      <c r="D306" s="6"/>
      <c r="E306" s="15" t="s">
        <v>3021</v>
      </c>
      <c r="F306" s="16"/>
    </row>
    <row r="307" spans="2:6" ht="15" x14ac:dyDescent="0.2">
      <c r="B307" s="4">
        <v>291</v>
      </c>
      <c r="C307" s="7"/>
      <c r="D307" s="6"/>
      <c r="E307" s="15" t="s">
        <v>3022</v>
      </c>
      <c r="F307" s="16"/>
    </row>
    <row r="308" spans="2:6" ht="15" x14ac:dyDescent="0.2">
      <c r="B308" s="4">
        <v>292</v>
      </c>
      <c r="C308" s="7"/>
      <c r="D308" s="6"/>
      <c r="E308" s="15" t="s">
        <v>3029</v>
      </c>
      <c r="F308" s="16"/>
    </row>
    <row r="309" spans="2:6" ht="15" x14ac:dyDescent="0.2">
      <c r="B309" s="4">
        <v>293</v>
      </c>
      <c r="C309" s="7"/>
      <c r="D309" s="6"/>
      <c r="E309" s="15" t="s">
        <v>3030</v>
      </c>
      <c r="F309" s="16"/>
    </row>
    <row r="310" spans="2:6" ht="15" x14ac:dyDescent="0.2">
      <c r="B310" s="4">
        <v>294</v>
      </c>
      <c r="C310" s="7"/>
      <c r="D310" s="6"/>
      <c r="E310" s="15" t="s">
        <v>3031</v>
      </c>
      <c r="F310" s="16"/>
    </row>
    <row r="311" spans="2:6" ht="15" x14ac:dyDescent="0.2">
      <c r="B311" s="4">
        <v>295</v>
      </c>
      <c r="C311" s="7"/>
      <c r="D311" s="6"/>
      <c r="E311" s="15" t="s">
        <v>3033</v>
      </c>
      <c r="F311" s="16"/>
    </row>
    <row r="312" spans="2:6" ht="15" x14ac:dyDescent="0.2">
      <c r="B312" s="4">
        <v>296</v>
      </c>
      <c r="C312" s="7"/>
      <c r="D312" s="6"/>
      <c r="E312" s="15" t="s">
        <v>3035</v>
      </c>
      <c r="F312" s="16"/>
    </row>
    <row r="313" spans="2:6" ht="15" x14ac:dyDescent="0.2">
      <c r="B313" s="4">
        <v>297</v>
      </c>
      <c r="C313" s="7"/>
      <c r="D313" s="6"/>
      <c r="E313" s="15" t="s">
        <v>3036</v>
      </c>
      <c r="F313" s="16"/>
    </row>
    <row r="314" spans="2:6" ht="15" x14ac:dyDescent="0.2">
      <c r="B314" s="4">
        <v>298</v>
      </c>
      <c r="C314" s="7"/>
      <c r="D314" s="6"/>
      <c r="E314" s="15" t="s">
        <v>3037</v>
      </c>
      <c r="F314" s="16"/>
    </row>
    <row r="315" spans="2:6" ht="15" x14ac:dyDescent="0.2">
      <c r="B315" s="4">
        <v>299</v>
      </c>
      <c r="C315" s="7"/>
      <c r="D315" s="6"/>
      <c r="E315" s="15" t="s">
        <v>3039</v>
      </c>
      <c r="F315" s="16"/>
    </row>
    <row r="316" spans="2:6" ht="15" x14ac:dyDescent="0.2">
      <c r="B316" s="4">
        <v>300</v>
      </c>
      <c r="C316" s="7"/>
      <c r="D316" s="6"/>
      <c r="E316" s="15" t="s">
        <v>3075</v>
      </c>
      <c r="F316" s="16"/>
    </row>
    <row r="317" spans="2:6" ht="15" x14ac:dyDescent="0.2">
      <c r="B317" s="4">
        <v>301</v>
      </c>
      <c r="C317" s="7"/>
      <c r="D317" s="6"/>
      <c r="E317" s="15" t="s">
        <v>3088</v>
      </c>
      <c r="F317" s="16"/>
    </row>
    <row r="318" spans="2:6" ht="15" x14ac:dyDescent="0.2">
      <c r="B318" s="4">
        <v>302</v>
      </c>
      <c r="C318" s="7"/>
      <c r="D318" s="6"/>
      <c r="E318" s="15" t="s">
        <v>3100</v>
      </c>
      <c r="F318" s="16"/>
    </row>
    <row r="319" spans="2:6" ht="15" x14ac:dyDescent="0.2">
      <c r="B319" s="4">
        <v>303</v>
      </c>
      <c r="C319" s="7"/>
      <c r="D319" s="6"/>
      <c r="E319" s="15" t="s">
        <v>3141</v>
      </c>
      <c r="F319" s="16"/>
    </row>
    <row r="320" spans="2:6" ht="15" x14ac:dyDescent="0.2">
      <c r="B320" s="4">
        <v>304</v>
      </c>
      <c r="C320" s="7"/>
      <c r="D320" s="6"/>
      <c r="E320" s="15" t="s">
        <v>3153</v>
      </c>
      <c r="F320" s="16"/>
    </row>
    <row r="321" spans="2:6" ht="15" x14ac:dyDescent="0.2">
      <c r="B321" s="4">
        <v>305</v>
      </c>
      <c r="C321" s="7"/>
      <c r="D321" s="6"/>
      <c r="E321" s="15" t="s">
        <v>3145</v>
      </c>
      <c r="F321" s="16"/>
    </row>
    <row r="322" spans="2:6" ht="15" x14ac:dyDescent="0.2">
      <c r="B322" s="4">
        <v>306</v>
      </c>
      <c r="C322" s="7"/>
      <c r="D322" s="6"/>
      <c r="E322" s="15" t="s">
        <v>3154</v>
      </c>
      <c r="F322" s="16"/>
    </row>
    <row r="323" spans="2:6" ht="15" x14ac:dyDescent="0.2">
      <c r="B323" s="4">
        <v>307</v>
      </c>
      <c r="C323" s="7"/>
      <c r="D323" s="6"/>
      <c r="E323" s="15" t="s">
        <v>3155</v>
      </c>
      <c r="F323" s="16"/>
    </row>
    <row r="324" spans="2:6" ht="15" x14ac:dyDescent="0.2">
      <c r="B324" s="4">
        <v>308</v>
      </c>
      <c r="C324" s="7"/>
      <c r="D324" s="6"/>
      <c r="E324" s="15" t="s">
        <v>3191</v>
      </c>
      <c r="F324" s="16"/>
    </row>
    <row r="325" spans="2:6" ht="15" x14ac:dyDescent="0.2">
      <c r="B325" s="4">
        <v>309</v>
      </c>
      <c r="C325" s="7"/>
      <c r="D325" s="6"/>
      <c r="E325" s="15" t="s">
        <v>3202</v>
      </c>
      <c r="F325" s="16"/>
    </row>
    <row r="326" spans="2:6" ht="15" x14ac:dyDescent="0.2">
      <c r="B326" s="4">
        <v>310</v>
      </c>
      <c r="C326" s="7"/>
      <c r="D326" s="6"/>
      <c r="E326" s="15" t="s">
        <v>3204</v>
      </c>
      <c r="F326" s="16"/>
    </row>
    <row r="327" spans="2:6" ht="15" x14ac:dyDescent="0.2">
      <c r="B327" s="4">
        <v>311</v>
      </c>
      <c r="C327" s="7"/>
      <c r="D327" s="6"/>
      <c r="E327" s="15" t="s">
        <v>3223</v>
      </c>
      <c r="F327" s="16"/>
    </row>
    <row r="328" spans="2:6" ht="15" x14ac:dyDescent="0.2">
      <c r="B328" s="4">
        <v>312</v>
      </c>
      <c r="C328" s="7"/>
      <c r="D328" s="6"/>
      <c r="E328" s="15" t="s">
        <v>3225</v>
      </c>
      <c r="F328" s="16"/>
    </row>
    <row r="329" spans="2:6" ht="15" x14ac:dyDescent="0.2">
      <c r="B329" s="4">
        <v>313</v>
      </c>
      <c r="C329" s="7"/>
      <c r="D329" s="6"/>
      <c r="E329" s="15" t="s">
        <v>3235</v>
      </c>
      <c r="F329" s="16"/>
    </row>
    <row r="330" spans="2:6" ht="15" x14ac:dyDescent="0.2">
      <c r="B330" s="4">
        <v>314</v>
      </c>
      <c r="C330" s="7"/>
      <c r="D330" s="6"/>
      <c r="E330" s="15" t="s">
        <v>3254</v>
      </c>
      <c r="F330" s="16"/>
    </row>
    <row r="331" spans="2:6" ht="15" x14ac:dyDescent="0.2">
      <c r="B331" s="4">
        <v>315</v>
      </c>
      <c r="C331" s="7"/>
      <c r="D331" s="6"/>
      <c r="E331" s="15" t="s">
        <v>3259</v>
      </c>
      <c r="F331" s="16"/>
    </row>
    <row r="332" spans="2:6" ht="15" x14ac:dyDescent="0.2">
      <c r="B332" s="4">
        <v>316</v>
      </c>
      <c r="C332" s="7"/>
      <c r="D332" s="6"/>
      <c r="E332" s="15" t="s">
        <v>3292</v>
      </c>
      <c r="F332" s="16"/>
    </row>
    <row r="333" spans="2:6" ht="15" x14ac:dyDescent="0.2">
      <c r="B333" s="4">
        <v>317</v>
      </c>
      <c r="C333" s="7"/>
      <c r="D333" s="6"/>
      <c r="E333" s="15" t="s">
        <v>3301</v>
      </c>
      <c r="F333" s="16"/>
    </row>
    <row r="334" spans="2:6" ht="15" x14ac:dyDescent="0.2">
      <c r="B334" s="4">
        <v>318</v>
      </c>
      <c r="C334" s="7"/>
      <c r="D334" s="6"/>
      <c r="E334" s="15" t="s">
        <v>3321</v>
      </c>
      <c r="F334" s="16"/>
    </row>
    <row r="335" spans="2:6" ht="15" x14ac:dyDescent="0.2">
      <c r="B335" s="4">
        <v>319</v>
      </c>
      <c r="C335" s="7"/>
      <c r="D335" s="6"/>
      <c r="E335" s="15" t="s">
        <v>3335</v>
      </c>
      <c r="F335" s="16"/>
    </row>
    <row r="336" spans="2:6" ht="15" x14ac:dyDescent="0.2">
      <c r="B336" s="4">
        <v>320</v>
      </c>
      <c r="C336" s="7"/>
      <c r="D336" s="6"/>
      <c r="E336" s="15" t="s">
        <v>3341</v>
      </c>
      <c r="F336" s="16"/>
    </row>
    <row r="337" spans="2:6" ht="15" x14ac:dyDescent="0.2">
      <c r="B337" s="4">
        <v>321</v>
      </c>
      <c r="C337" s="7"/>
      <c r="D337" s="6"/>
      <c r="E337" s="15" t="s">
        <v>3366</v>
      </c>
      <c r="F337" s="16"/>
    </row>
    <row r="338" spans="2:6" ht="15" x14ac:dyDescent="0.2">
      <c r="B338" s="4">
        <v>322</v>
      </c>
      <c r="C338" s="7"/>
      <c r="D338" s="6"/>
      <c r="E338" s="15" t="s">
        <v>3386</v>
      </c>
      <c r="F338" s="16"/>
    </row>
    <row r="339" spans="2:6" ht="15" x14ac:dyDescent="0.2">
      <c r="B339" s="4">
        <v>323</v>
      </c>
      <c r="C339" s="7"/>
      <c r="D339" s="6"/>
      <c r="E339" s="15" t="s">
        <v>3427</v>
      </c>
      <c r="F339" s="16"/>
    </row>
    <row r="340" spans="2:6" ht="15" x14ac:dyDescent="0.2">
      <c r="B340" s="4">
        <v>324</v>
      </c>
      <c r="C340" s="7"/>
      <c r="D340" s="6"/>
      <c r="E340" s="15"/>
      <c r="F340" s="16"/>
    </row>
    <row r="341" spans="2:6" ht="15" x14ac:dyDescent="0.2">
      <c r="B341" s="4">
        <v>325</v>
      </c>
      <c r="C341" s="7"/>
      <c r="D341" s="6"/>
      <c r="E341" s="15"/>
      <c r="F341" s="16"/>
    </row>
    <row r="342" spans="2:6" ht="15" x14ac:dyDescent="0.2">
      <c r="B342" s="4">
        <v>326</v>
      </c>
      <c r="C342" s="7"/>
      <c r="D342" s="6"/>
      <c r="E342" s="15"/>
      <c r="F342" s="16"/>
    </row>
    <row r="343" spans="2:6" ht="15" x14ac:dyDescent="0.2">
      <c r="B343" s="4">
        <v>327</v>
      </c>
      <c r="C343" s="7"/>
      <c r="D343" s="6"/>
      <c r="E343" s="15"/>
      <c r="F343" s="16"/>
    </row>
    <row r="344" spans="2:6" ht="15" x14ac:dyDescent="0.2">
      <c r="B344" s="4">
        <v>328</v>
      </c>
      <c r="C344" s="7"/>
      <c r="D344" s="6"/>
      <c r="E344" s="15"/>
      <c r="F344" s="16"/>
    </row>
    <row r="345" spans="2:6" ht="15" x14ac:dyDescent="0.2">
      <c r="B345" s="4">
        <v>329</v>
      </c>
      <c r="C345" s="7"/>
      <c r="D345" s="6"/>
      <c r="E345" s="15"/>
      <c r="F345" s="16"/>
    </row>
    <row r="346" spans="2:6" ht="15" x14ac:dyDescent="0.2">
      <c r="B346" s="4">
        <v>330</v>
      </c>
      <c r="C346" s="7"/>
      <c r="D346" s="6"/>
      <c r="E346" s="15"/>
      <c r="F346" s="16"/>
    </row>
    <row r="347" spans="2:6" ht="15" x14ac:dyDescent="0.2">
      <c r="B347" s="4">
        <v>331</v>
      </c>
      <c r="C347" s="7"/>
      <c r="D347" s="6"/>
      <c r="E347" s="15"/>
      <c r="F347" s="16"/>
    </row>
    <row r="348" spans="2:6" ht="15" x14ac:dyDescent="0.2">
      <c r="B348" s="4">
        <v>332</v>
      </c>
      <c r="C348" s="7"/>
      <c r="D348" s="6"/>
      <c r="E348" s="15"/>
      <c r="F348" s="16"/>
    </row>
    <row r="349" spans="2:6" ht="15" x14ac:dyDescent="0.2">
      <c r="B349" s="4">
        <v>333</v>
      </c>
      <c r="C349" s="7"/>
      <c r="D349" s="6"/>
      <c r="E349" s="15"/>
      <c r="F349" s="16"/>
    </row>
    <row r="350" spans="2:6" ht="15" x14ac:dyDescent="0.2">
      <c r="B350" s="4">
        <v>334</v>
      </c>
      <c r="C350" s="7"/>
      <c r="D350" s="6"/>
      <c r="E350" s="15"/>
      <c r="F350" s="16"/>
    </row>
    <row r="351" spans="2:6" ht="15" x14ac:dyDescent="0.2">
      <c r="B351" s="4">
        <v>335</v>
      </c>
      <c r="C351" s="7"/>
      <c r="D351" s="6"/>
      <c r="E351" s="15"/>
      <c r="F351" s="16"/>
    </row>
    <row r="352" spans="2:6" ht="15" x14ac:dyDescent="0.2">
      <c r="B352" s="4">
        <v>336</v>
      </c>
      <c r="C352" s="7"/>
      <c r="D352" s="6"/>
      <c r="E352" s="15"/>
      <c r="F352" s="16"/>
    </row>
    <row r="353" spans="2:6" ht="15" x14ac:dyDescent="0.2">
      <c r="B353" s="4">
        <v>337</v>
      </c>
      <c r="C353" s="7"/>
      <c r="D353" s="6"/>
      <c r="E353" s="15"/>
      <c r="F353" s="16"/>
    </row>
    <row r="354" spans="2:6" ht="15" x14ac:dyDescent="0.2">
      <c r="B354" s="4">
        <v>338</v>
      </c>
      <c r="C354" s="7"/>
      <c r="D354" s="6"/>
      <c r="E354" s="15"/>
      <c r="F354" s="16"/>
    </row>
    <row r="355" spans="2:6" ht="15" x14ac:dyDescent="0.2">
      <c r="B355" s="4">
        <v>339</v>
      </c>
      <c r="C355" s="7"/>
      <c r="D355" s="6"/>
      <c r="E355" s="15"/>
      <c r="F355" s="16"/>
    </row>
    <row r="356" spans="2:6" ht="15" x14ac:dyDescent="0.2">
      <c r="B356" s="4">
        <v>340</v>
      </c>
      <c r="C356" s="7"/>
      <c r="D356" s="6"/>
      <c r="E356" s="15"/>
      <c r="F356" s="16"/>
    </row>
    <row r="357" spans="2:6" ht="15" x14ac:dyDescent="0.2">
      <c r="B357" s="4">
        <v>341</v>
      </c>
      <c r="C357" s="7"/>
      <c r="D357" s="6"/>
      <c r="E357" s="15"/>
      <c r="F357" s="16"/>
    </row>
    <row r="358" spans="2:6" ht="15" x14ac:dyDescent="0.2">
      <c r="B358" s="4">
        <v>342</v>
      </c>
      <c r="C358" s="7"/>
      <c r="D358" s="6"/>
      <c r="E358" s="15"/>
      <c r="F358" s="16"/>
    </row>
    <row r="359" spans="2:6" ht="15" x14ac:dyDescent="0.2">
      <c r="B359" s="4">
        <v>343</v>
      </c>
      <c r="C359" s="7"/>
      <c r="D359" s="6"/>
      <c r="E359" s="15"/>
      <c r="F359" s="16"/>
    </row>
    <row r="360" spans="2:6" ht="15" x14ac:dyDescent="0.2">
      <c r="B360" s="4">
        <v>344</v>
      </c>
      <c r="C360" s="7"/>
      <c r="D360" s="6"/>
      <c r="E360" s="15"/>
      <c r="F360" s="16"/>
    </row>
    <row r="361" spans="2:6" ht="15" x14ac:dyDescent="0.2">
      <c r="B361" s="4">
        <v>345</v>
      </c>
      <c r="C361" s="7"/>
      <c r="D361" s="6"/>
      <c r="E361" s="15"/>
      <c r="F361" s="16"/>
    </row>
    <row r="362" spans="2:6" ht="15" x14ac:dyDescent="0.2">
      <c r="B362" s="4">
        <v>346</v>
      </c>
      <c r="C362" s="7"/>
      <c r="D362" s="6"/>
      <c r="E362" s="15"/>
      <c r="F362" s="16"/>
    </row>
    <row r="363" spans="2:6" ht="15" x14ac:dyDescent="0.2">
      <c r="B363" s="4">
        <v>347</v>
      </c>
      <c r="C363" s="7"/>
      <c r="D363" s="6"/>
      <c r="E363" s="15"/>
      <c r="F363" s="16"/>
    </row>
    <row r="364" spans="2:6" ht="15" x14ac:dyDescent="0.2">
      <c r="B364" s="4">
        <v>348</v>
      </c>
      <c r="C364" s="7"/>
      <c r="D364" s="6"/>
      <c r="E364" s="15"/>
      <c r="F364" s="16"/>
    </row>
    <row r="365" spans="2:6" ht="15" x14ac:dyDescent="0.2">
      <c r="B365" s="4">
        <v>349</v>
      </c>
      <c r="C365" s="7"/>
      <c r="D365" s="6"/>
      <c r="E365" s="15"/>
      <c r="F365" s="16"/>
    </row>
    <row r="366" spans="2:6" ht="15" x14ac:dyDescent="0.2">
      <c r="B366" s="4">
        <v>350</v>
      </c>
      <c r="C366" s="7"/>
      <c r="D366" s="6"/>
      <c r="E366" s="15"/>
      <c r="F366" s="16"/>
    </row>
  </sheetData>
  <sortState xmlns:xlrd2="http://schemas.microsoft.com/office/spreadsheetml/2017/richdata2" ref="C3:C33">
    <sortCondition ref="C3"/>
  </sortState>
  <pageMargins left="0.3" right="0.23" top="0.75" bottom="0.75" header="0.3" footer="0.3"/>
  <pageSetup paperSize="9" scale="7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0A2B-6361-4B89-9F60-A2D4CF6AD641}">
  <sheetPr codeName="Sheet1178"/>
  <dimension ref="A1:G9"/>
  <sheetViews>
    <sheetView tabSelected="1" zoomScaleNormal="100" workbookViewId="0">
      <selection activeCell="C16" sqref="C1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2023-15-05</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3088</v>
      </c>
      <c r="C3" s="9" t="s">
        <v>13</v>
      </c>
      <c r="D3" s="17" t="str">
        <f t="shared" ref="D3:D8" si="1">B3</f>
        <v>Burjuman Mall Refurbishment</v>
      </c>
      <c r="E3" s="12" t="s">
        <v>27</v>
      </c>
      <c r="F3" s="12" t="s">
        <v>2</v>
      </c>
      <c r="G3" s="84" t="s">
        <v>3601</v>
      </c>
    </row>
    <row r="4" spans="1:7" x14ac:dyDescent="0.2">
      <c r="A4" s="8">
        <f t="shared" ca="1" si="0"/>
        <v>2</v>
      </c>
      <c r="B4" s="9" t="s">
        <v>3088</v>
      </c>
      <c r="C4" s="9" t="s">
        <v>13</v>
      </c>
      <c r="D4" s="17" t="str">
        <f t="shared" ref="D4" si="2">B4</f>
        <v>Burjuman Mall Refurbishment</v>
      </c>
      <c r="E4" s="12" t="s">
        <v>21</v>
      </c>
      <c r="F4" s="12" t="s">
        <v>29</v>
      </c>
      <c r="G4" s="84" t="s">
        <v>3498</v>
      </c>
    </row>
    <row r="5" spans="1:7" ht="24" x14ac:dyDescent="0.2">
      <c r="A5" s="8">
        <f t="shared" ca="1" si="0"/>
        <v>3</v>
      </c>
      <c r="B5" s="9" t="s">
        <v>235</v>
      </c>
      <c r="C5" s="9" t="s">
        <v>13</v>
      </c>
      <c r="D5" s="17" t="str">
        <f t="shared" si="1"/>
        <v>ME DO RE JLT</v>
      </c>
      <c r="E5" s="12" t="s">
        <v>43</v>
      </c>
      <c r="F5" s="12" t="s">
        <v>2</v>
      </c>
      <c r="G5" s="84" t="s">
        <v>3497</v>
      </c>
    </row>
    <row r="6" spans="1:7" ht="24" x14ac:dyDescent="0.2">
      <c r="A6" s="8">
        <f t="shared" ca="1" si="0"/>
        <v>4</v>
      </c>
      <c r="B6" s="9" t="s">
        <v>2753</v>
      </c>
      <c r="C6" s="9" t="s">
        <v>13</v>
      </c>
      <c r="D6" s="17" t="str">
        <f t="shared" si="1"/>
        <v>JVC Khamas Building</v>
      </c>
      <c r="E6" s="12" t="s">
        <v>49</v>
      </c>
      <c r="F6" s="12" t="s">
        <v>2</v>
      </c>
      <c r="G6" s="84" t="s">
        <v>3499</v>
      </c>
    </row>
    <row r="7" spans="1:7" x14ac:dyDescent="0.2">
      <c r="A7" s="8">
        <f t="shared" ca="1" si="0"/>
        <v>5</v>
      </c>
      <c r="B7" s="9" t="s">
        <v>3335</v>
      </c>
      <c r="C7" s="9" t="s">
        <v>13</v>
      </c>
      <c r="D7" s="17" t="str">
        <f t="shared" si="1"/>
        <v>CP01-13</v>
      </c>
      <c r="E7" s="12" t="s">
        <v>49</v>
      </c>
      <c r="F7" s="12" t="s">
        <v>29</v>
      </c>
      <c r="G7" s="84" t="s">
        <v>3579</v>
      </c>
    </row>
    <row r="8" spans="1:7" ht="24" x14ac:dyDescent="0.2">
      <c r="A8" s="8">
        <f t="shared" ca="1" si="0"/>
        <v>6</v>
      </c>
      <c r="B8" s="9" t="s">
        <v>2949</v>
      </c>
      <c r="C8" s="9" t="s">
        <v>13</v>
      </c>
      <c r="D8" s="17" t="str">
        <f t="shared" si="1"/>
        <v>Park Avenue 3 Azizi</v>
      </c>
      <c r="E8" s="12" t="s">
        <v>49</v>
      </c>
      <c r="F8" s="12" t="s">
        <v>2</v>
      </c>
      <c r="G8" s="84" t="s">
        <v>3496</v>
      </c>
    </row>
    <row r="9" spans="1:7" x14ac:dyDescent="0.2">
      <c r="A9" s="8">
        <f t="shared" ca="1" si="0"/>
        <v>7</v>
      </c>
      <c r="B9" s="9" t="s">
        <v>235</v>
      </c>
      <c r="C9" s="9" t="s">
        <v>13</v>
      </c>
      <c r="D9" s="17" t="str">
        <f t="shared" ref="D9" si="3">B9</f>
        <v>ME DO RE JLT</v>
      </c>
      <c r="E9" s="12" t="s">
        <v>49</v>
      </c>
      <c r="F9" s="12" t="s">
        <v>29</v>
      </c>
      <c r="G9" s="84" t="s">
        <v>3600</v>
      </c>
    </row>
  </sheetData>
  <dataConsolidate link="1"/>
  <mergeCells count="1">
    <mergeCell ref="C1:F1"/>
  </mergeCells>
  <dataValidations count="4">
    <dataValidation type="list" allowBlank="1" showInputMessage="1" showErrorMessage="1" sqref="B3:B9" xr:uid="{DF7331EF-2E33-4C32-A6C5-10C325A40E56}">
      <formula1>OFFSET(PROJECT,0,0,COUNTA(PROJECT),1)</formula1>
    </dataValidation>
    <dataValidation type="list" allowBlank="1" showInputMessage="1" showErrorMessage="1" sqref="C3:C9" xr:uid="{28668979-B8DA-4898-90F5-837C95099571}">
      <formula1>OFFSET(LOCATION,0,0,COUNTA(LOCATION),1)</formula1>
    </dataValidation>
    <dataValidation type="list" showInputMessage="1" showErrorMessage="1" sqref="F3:F9" xr:uid="{202DAC13-E4D1-4179-9646-C005C12DD37B}">
      <formula1>OFFSET(STATUS,0,0,COUNTA(STATUS),1)</formula1>
    </dataValidation>
    <dataValidation type="list" showInputMessage="1" showErrorMessage="1" sqref="E3:E9" xr:uid="{55338A3C-C740-42B5-AC07-BDF23EC9EC5F}">
      <formula1>OFFSET(ACTIVITY,0,0,COUNTA(ACTIVITY),1)</formula1>
    </dataValidation>
  </dataValidations>
  <hyperlinks>
    <hyperlink ref="D3" r:id="rId1" display="\\cclserver\DATA\Q 2020\CCL STRENGTHENING\Dubai\2023\R1.5516.23 Burjuman Mall Refurbishment" xr:uid="{51D56CA0-C54E-48DD-9D9F-2362D739AFC1}"/>
    <hyperlink ref="D5" r:id="rId2" display="\\cclserver\DATA\P 2020\03 CR Projects\06-20-CR-002 MEDORE Tower\Construction Phase\" xr:uid="{5F0793C1-FAAA-411B-845B-C6A45B572A82}"/>
    <hyperlink ref="D6" r:id="rId3" display="\\cclserver\DATA\P 2020\03 CR Projects\06-21-CR-002- Hotel Apartment JVC\Construction Phase" xr:uid="{C6E81BF7-D0EA-43FE-B4E8-378F6D077C20}"/>
    <hyperlink ref="D7" r:id="rId4" display="\\cclserver\DATA\P 2020\03 CR Projects\06-23-CR-004 CP01-13 Riviera (Azizi)" xr:uid="{78CFFD47-B81A-457D-A359-8B76EF499D53}"/>
    <hyperlink ref="D8" r:id="rId5" display="\\cclserver\DATA\P 2020\03 CR Projects\06-22-CR-011 Park Avenue 3 (Azizi)" xr:uid="{67D1BE3A-C43D-4AAD-BAF0-941348630F91}"/>
    <hyperlink ref="D4" r:id="rId6" display="\\cclserver\DATA\Q 2020\CCL STRENGTHENING\Dubai\2023\R1.5516.23 Burjuman Mall Refurbishment" xr:uid="{C2127C82-C09E-4881-9B46-2D0BACB1C365}"/>
    <hyperlink ref="D9" r:id="rId7" display="\\cclserver\DATA\P 2020\03 CR Projects\06-20-CR-002 MEDORE Tower\Construction Phase\" xr:uid="{496A69D4-9729-440D-AF93-3501D14A2BCE}"/>
  </hyperlinks>
  <pageMargins left="0.3" right="0.23" top="0.54" bottom="0.33" header="0.3" footer="0.21"/>
  <pageSetup paperSize="9" orientation="landscape" r:id="rId8"/>
  <headerFooter>
    <oddHeader>&amp;LDAILY WORK BRIEF&amp;CCCL GULF&amp;RR and S</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3CD4-EC70-4390-95ED-8104DB9A0D38}">
  <sheetPr codeName="Sheet1177"/>
  <dimension ref="A1:G9"/>
  <sheetViews>
    <sheetView zoomScaleNormal="100" workbookViewId="0">
      <selection activeCell="B1" sqref="B1"/>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14-05-23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3088</v>
      </c>
      <c r="C3" s="9" t="s">
        <v>13</v>
      </c>
      <c r="D3" s="17" t="str">
        <f t="shared" ref="D3:D7" si="1">B3</f>
        <v>Burjuman Mall Refurbishment</v>
      </c>
      <c r="E3" s="12" t="s">
        <v>27</v>
      </c>
      <c r="F3" s="12" t="s">
        <v>2</v>
      </c>
      <c r="G3" s="84" t="s">
        <v>3489</v>
      </c>
    </row>
    <row r="4" spans="1:7" x14ac:dyDescent="0.2">
      <c r="A4" s="8">
        <f t="shared" ca="1" si="0"/>
        <v>2</v>
      </c>
      <c r="B4" s="9" t="s">
        <v>2949</v>
      </c>
      <c r="C4" s="9" t="s">
        <v>13</v>
      </c>
      <c r="D4" s="17" t="str">
        <f t="shared" si="1"/>
        <v>Park Avenue 3 Azizi</v>
      </c>
      <c r="E4" s="12" t="s">
        <v>27</v>
      </c>
      <c r="F4" s="12" t="s">
        <v>29</v>
      </c>
      <c r="G4" s="84" t="s">
        <v>3492</v>
      </c>
    </row>
    <row r="5" spans="1:7" ht="24" x14ac:dyDescent="0.2">
      <c r="A5" s="8">
        <f t="shared" ca="1" si="0"/>
        <v>3</v>
      </c>
      <c r="B5" s="9" t="s">
        <v>235</v>
      </c>
      <c r="C5" s="9" t="s">
        <v>13</v>
      </c>
      <c r="D5" s="17" t="str">
        <f t="shared" si="1"/>
        <v>ME DO RE JLT</v>
      </c>
      <c r="E5" s="12" t="s">
        <v>43</v>
      </c>
      <c r="F5" s="12" t="s">
        <v>2</v>
      </c>
      <c r="G5" s="84" t="s">
        <v>3491</v>
      </c>
    </row>
    <row r="6" spans="1:7" ht="24" x14ac:dyDescent="0.2">
      <c r="A6" s="8">
        <f t="shared" ca="1" si="0"/>
        <v>4</v>
      </c>
      <c r="B6" s="9" t="s">
        <v>2753</v>
      </c>
      <c r="C6" s="9" t="s">
        <v>13</v>
      </c>
      <c r="D6" s="17" t="str">
        <f t="shared" si="1"/>
        <v>JVC Khamas Building</v>
      </c>
      <c r="E6" s="12" t="s">
        <v>49</v>
      </c>
      <c r="F6" s="12" t="s">
        <v>2</v>
      </c>
      <c r="G6" s="84" t="s">
        <v>3490</v>
      </c>
    </row>
    <row r="7" spans="1:7" x14ac:dyDescent="0.2">
      <c r="A7" s="8">
        <f t="shared" ca="1" si="0"/>
        <v>5</v>
      </c>
      <c r="B7" s="9" t="s">
        <v>3335</v>
      </c>
      <c r="C7" s="9" t="s">
        <v>13</v>
      </c>
      <c r="D7" s="17" t="str">
        <f t="shared" si="1"/>
        <v>CP01-13</v>
      </c>
      <c r="E7" s="12" t="s">
        <v>49</v>
      </c>
      <c r="F7" s="12" t="s">
        <v>29</v>
      </c>
      <c r="G7" s="84" t="s">
        <v>3493</v>
      </c>
    </row>
    <row r="8" spans="1:7" ht="24" x14ac:dyDescent="0.2">
      <c r="A8" s="8">
        <f t="shared" ca="1" si="0"/>
        <v>6</v>
      </c>
      <c r="B8" s="9" t="s">
        <v>2949</v>
      </c>
      <c r="C8" s="9" t="s">
        <v>13</v>
      </c>
      <c r="D8" s="17" t="str">
        <f t="shared" ref="D8" si="2">B8</f>
        <v>Park Avenue 3 Azizi</v>
      </c>
      <c r="E8" s="12" t="s">
        <v>49</v>
      </c>
      <c r="F8" s="12" t="s">
        <v>2</v>
      </c>
      <c r="G8" s="84" t="s">
        <v>3494</v>
      </c>
    </row>
    <row r="9" spans="1:7" x14ac:dyDescent="0.2">
      <c r="A9" s="8">
        <f t="shared" ca="1" si="0"/>
        <v>7</v>
      </c>
      <c r="B9" s="9" t="s">
        <v>38</v>
      </c>
      <c r="C9" s="9" t="s">
        <v>13</v>
      </c>
      <c r="D9" s="17" t="str">
        <f t="shared" ref="D9" si="3">B9</f>
        <v>OPERATIONS</v>
      </c>
      <c r="E9" s="12" t="s">
        <v>49</v>
      </c>
      <c r="F9" s="12" t="s">
        <v>29</v>
      </c>
      <c r="G9" s="84" t="s">
        <v>3495</v>
      </c>
    </row>
  </sheetData>
  <dataConsolidate link="1"/>
  <mergeCells count="1">
    <mergeCell ref="C1:F1"/>
  </mergeCells>
  <dataValidations count="4">
    <dataValidation type="list" showInputMessage="1" showErrorMessage="1" sqref="E3:E9" xr:uid="{93AFADE2-FB89-4174-971D-73809764048E}">
      <formula1>OFFSET(ACTIVITY,0,0,COUNTA(ACTIVITY),1)</formula1>
    </dataValidation>
    <dataValidation type="list" showInputMessage="1" showErrorMessage="1" sqref="F3:F9" xr:uid="{6E451981-F29A-4009-BBE5-AD04DF2D7D4D}">
      <formula1>OFFSET(STATUS,0,0,COUNTA(STATUS),1)</formula1>
    </dataValidation>
    <dataValidation type="list" allowBlank="1" showInputMessage="1" showErrorMessage="1" sqref="C3:C9" xr:uid="{F3104CA3-777F-4326-8E76-43567A06961C}">
      <formula1>OFFSET(LOCATION,0,0,COUNTA(LOCATION),1)</formula1>
    </dataValidation>
    <dataValidation type="list" allowBlank="1" showInputMessage="1" showErrorMessage="1" sqref="B3:B9" xr:uid="{8F97758F-228C-45A6-BD42-783C5A9FFB0A}">
      <formula1>OFFSET(PROJECT,0,0,COUNTA(PROJECT),1)</formula1>
    </dataValidation>
  </dataValidations>
  <hyperlinks>
    <hyperlink ref="D3" r:id="rId1" display="\\cclserver\DATA\Q 2020\CCL STRENGTHENING\Dubai\2023\R1.5516.23 Burjuman Mall Refurbishment" xr:uid="{392981FD-F268-42D1-A0CA-DD107020CFF1}"/>
    <hyperlink ref="D4" r:id="rId2" display="\\cclserver\DATA\P 2020\03 CR Projects\06-22-CR-011 Park Avenue 3 (Azizi)" xr:uid="{0873B597-91AF-403A-B5B0-A3E705A807AC}"/>
    <hyperlink ref="D5" r:id="rId3" display="\\cclserver\DATA\P 2020\03 CR Projects\06-20-CR-002 MEDORE Tower\Construction Phase\" xr:uid="{9F7393BB-35A4-4CFE-AF09-59680883D91E}"/>
    <hyperlink ref="D6" r:id="rId4" display="\\cclserver\DATA\P 2020\03 CR Projects\06-21-CR-002- Hotel Apartment JVC\Construction Phase" xr:uid="{161B2FEA-18CD-47B6-8C1D-2CE3D5342FF9}"/>
    <hyperlink ref="D7" r:id="rId5" display="\\cclserver\DATA\P 2020\03 CR Projects\06-23-CR-004 CP01-13 Riviera (Azizi)" xr:uid="{22522C67-BF76-429C-98A8-0565C838F90A}"/>
    <hyperlink ref="D8" r:id="rId6" display="\\cclserver\DATA\P 2020\03 CR Projects\06-22-CR-011 Park Avenue 3 (Azizi)" xr:uid="{941AE94E-466D-49AA-9198-0F328222A443}"/>
    <hyperlink ref="D9" r:id="rId7" display="\\cclserver\DATA\P 2020\03 CR Projects\06-20-CR-002 MEDORE Tower\Construction Phase\SUBMITTALS\2. Technical Submittals\22. GF Canopy Submittal\0_RAW DATA\3. Method Statement\Data" xr:uid="{4C97D9A2-507C-4182-8570-4770338BA80D}"/>
  </hyperlinks>
  <pageMargins left="0.3" right="0.23" top="0.54" bottom="0.33" header="0.3" footer="0.21"/>
  <pageSetup paperSize="9" orientation="landscape" r:id="rId8"/>
  <headerFooter>
    <oddHeader>&amp;LDAILY WORK BRIEF&amp;CCCL GULF&amp;RR and S</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3FA5F-3514-4FCF-8375-1D88197435A7}">
  <sheetPr codeName="Sheet1176"/>
  <dimension ref="A1:G5"/>
  <sheetViews>
    <sheetView zoomScaleNormal="100" workbookViewId="0">
      <selection activeCell="D4" sqref="D4"/>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11-05-23</v>
      </c>
      <c r="C1" s="100"/>
      <c r="D1" s="101"/>
      <c r="E1" s="101"/>
      <c r="F1" s="102"/>
      <c r="G1" s="82"/>
    </row>
    <row r="2" spans="1:7" ht="18.75" customHeight="1" x14ac:dyDescent="0.2">
      <c r="A2" s="13" t="s">
        <v>0</v>
      </c>
      <c r="B2" s="13" t="s">
        <v>6</v>
      </c>
      <c r="C2" s="13" t="s">
        <v>11</v>
      </c>
      <c r="D2" s="13" t="s">
        <v>7</v>
      </c>
      <c r="E2" s="14" t="s">
        <v>3</v>
      </c>
      <c r="F2" s="14" t="s">
        <v>5</v>
      </c>
      <c r="G2" s="14" t="s">
        <v>56</v>
      </c>
    </row>
    <row r="3" spans="1:7" x14ac:dyDescent="0.2">
      <c r="A3" s="8">
        <f t="shared" ref="A3:A5" ca="1" si="0">IFERROR(OFFSET(A3,-1,0)+1,1)</f>
        <v>1</v>
      </c>
      <c r="B3" s="9" t="s">
        <v>3088</v>
      </c>
      <c r="C3" s="9" t="s">
        <v>13</v>
      </c>
      <c r="D3" s="17" t="str">
        <f t="shared" ref="D3:D5" si="1">B3</f>
        <v>Burjuman Mall Refurbishment</v>
      </c>
      <c r="E3" s="12" t="s">
        <v>27</v>
      </c>
      <c r="F3" s="12" t="s">
        <v>29</v>
      </c>
      <c r="G3" s="84" t="s">
        <v>3486</v>
      </c>
    </row>
    <row r="4" spans="1:7" ht="24" x14ac:dyDescent="0.2">
      <c r="A4" s="8">
        <f t="shared" ca="1" si="0"/>
        <v>2</v>
      </c>
      <c r="B4" s="9" t="s">
        <v>2949</v>
      </c>
      <c r="C4" s="9" t="s">
        <v>13</v>
      </c>
      <c r="D4" s="17" t="str">
        <f t="shared" si="1"/>
        <v>Park Avenue 3 Azizi</v>
      </c>
      <c r="E4" s="12" t="s">
        <v>27</v>
      </c>
      <c r="F4" s="12" t="s">
        <v>2</v>
      </c>
      <c r="G4" s="84" t="s">
        <v>3487</v>
      </c>
    </row>
    <row r="5" spans="1:7" ht="24" x14ac:dyDescent="0.2">
      <c r="A5" s="8">
        <f t="shared" ca="1" si="0"/>
        <v>3</v>
      </c>
      <c r="B5" s="9" t="s">
        <v>235</v>
      </c>
      <c r="C5" s="9" t="s">
        <v>13</v>
      </c>
      <c r="D5" s="17" t="str">
        <f t="shared" si="1"/>
        <v>ME DO RE JLT</v>
      </c>
      <c r="E5" s="12" t="s">
        <v>49</v>
      </c>
      <c r="F5" s="12" t="s">
        <v>2</v>
      </c>
      <c r="G5" s="84" t="s">
        <v>3488</v>
      </c>
    </row>
  </sheetData>
  <dataConsolidate link="1"/>
  <mergeCells count="1">
    <mergeCell ref="C1:F1"/>
  </mergeCells>
  <dataValidations count="4">
    <dataValidation type="list" allowBlank="1" showInputMessage="1" showErrorMessage="1" sqref="B3:B5" xr:uid="{1D81D87B-3A99-4E18-8C49-EBF614D845C0}">
      <formula1>OFFSET(PROJECT,0,0,COUNTA(PROJECT),1)</formula1>
    </dataValidation>
    <dataValidation type="list" allowBlank="1" showInputMessage="1" showErrorMessage="1" sqref="C3:C5" xr:uid="{1B55FB8D-CE02-43FD-9ED7-9CEB601FB833}">
      <formula1>OFFSET(LOCATION,0,0,COUNTA(LOCATION),1)</formula1>
    </dataValidation>
    <dataValidation type="list" showInputMessage="1" showErrorMessage="1" sqref="F3:F5" xr:uid="{A6E80CBB-12D1-4AA0-ACBA-5C1BC8764E0B}">
      <formula1>OFFSET(STATUS,0,0,COUNTA(STATUS),1)</formula1>
    </dataValidation>
    <dataValidation type="list" showInputMessage="1" showErrorMessage="1" sqref="E3:E5" xr:uid="{2FA6A1F4-F05E-4BB6-BF25-BF0C4FE97C02}">
      <formula1>OFFSET(ACTIVITY,0,0,COUNTA(ACTIVITY),1)</formula1>
    </dataValidation>
  </dataValidations>
  <hyperlinks>
    <hyperlink ref="D3" r:id="rId1" display="\\cclserver\DATA\Q 2020\CCL STRENGTHENING\Dubai\2023\R1.5516.23 Burjuman Mall Refurbishment" xr:uid="{CB93A566-BF97-43FA-B516-5414F9C61369}"/>
    <hyperlink ref="D4" r:id="rId2" display="\\cclserver\DATA\P 2020\03 CR Projects\06-22-CR-011 Park Avenue 3 (Azizi)" xr:uid="{E34A09D1-D0C2-4B93-AA1D-D0FD2C21290D}"/>
    <hyperlink ref="D5" r:id="rId3" display="\\cclserver\DATA\P 2020\03 CR Projects\06-20-CR-002 MEDORE Tower\Construction Phase\" xr:uid="{B24D4FA6-AAB6-4563-A26E-C8074717BF71}"/>
  </hyperlinks>
  <pageMargins left="0.3" right="0.23" top="0.54" bottom="0.33" header="0.3" footer="0.21"/>
  <pageSetup paperSize="9" orientation="landscape" r:id="rId4"/>
  <headerFooter>
    <oddHeader>&amp;LDAILY WORK BRIEF&amp;CCCL GULF&amp;RR and S</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B2486-760D-4FC1-A0DC-5BE7DC256DDD}">
  <sheetPr codeName="Sheet1175"/>
  <dimension ref="A1:G6"/>
  <sheetViews>
    <sheetView zoomScaleNormal="100" workbookViewId="0">
      <selection activeCell="C4" sqref="A4:XFD4"/>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10-05-23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6" ca="1" si="0">IFERROR(OFFSET(A3,-1,0)+1,1)</f>
        <v>1</v>
      </c>
      <c r="B3" s="9" t="s">
        <v>3088</v>
      </c>
      <c r="C3" s="9" t="s">
        <v>13</v>
      </c>
      <c r="D3" s="17" t="str">
        <f t="shared" ref="D3:D4" si="1">B3</f>
        <v>Burjuman Mall Refurbishment</v>
      </c>
      <c r="E3" s="12" t="s">
        <v>27</v>
      </c>
      <c r="F3" s="12" t="s">
        <v>2</v>
      </c>
      <c r="G3" s="84" t="s">
        <v>3481</v>
      </c>
    </row>
    <row r="4" spans="1:7" x14ac:dyDescent="0.2">
      <c r="A4" s="8">
        <f t="shared" ca="1" si="0"/>
        <v>2</v>
      </c>
      <c r="B4" s="9" t="s">
        <v>235</v>
      </c>
      <c r="C4" s="9" t="s">
        <v>13</v>
      </c>
      <c r="D4" s="17" t="str">
        <f t="shared" si="1"/>
        <v>ME DO RE JLT</v>
      </c>
      <c r="E4" s="12" t="s">
        <v>49</v>
      </c>
      <c r="F4" s="12" t="s">
        <v>29</v>
      </c>
      <c r="G4" s="84" t="s">
        <v>3480</v>
      </c>
    </row>
    <row r="5" spans="1:7" x14ac:dyDescent="0.2">
      <c r="A5" s="8">
        <f t="shared" ca="1" si="0"/>
        <v>3</v>
      </c>
      <c r="B5" s="9" t="s">
        <v>235</v>
      </c>
      <c r="C5" s="9" t="s">
        <v>13</v>
      </c>
      <c r="D5" s="17" t="str">
        <f t="shared" ref="D5:D6" si="2">B5</f>
        <v>ME DO RE JLT</v>
      </c>
      <c r="E5" s="12" t="s">
        <v>27</v>
      </c>
      <c r="F5" s="12" t="s">
        <v>29</v>
      </c>
      <c r="G5" s="84" t="s">
        <v>3485</v>
      </c>
    </row>
    <row r="6" spans="1:7" x14ac:dyDescent="0.2">
      <c r="A6" s="8">
        <f t="shared" ca="1" si="0"/>
        <v>4</v>
      </c>
      <c r="B6" s="9" t="s">
        <v>489</v>
      </c>
      <c r="C6" s="9" t="s">
        <v>19</v>
      </c>
      <c r="D6" s="17" t="str">
        <f t="shared" si="2"/>
        <v>Dilmunia Mall Bahrain</v>
      </c>
      <c r="E6" s="12" t="s">
        <v>27</v>
      </c>
      <c r="F6" s="12" t="s">
        <v>29</v>
      </c>
      <c r="G6" s="84" t="s">
        <v>3484</v>
      </c>
    </row>
  </sheetData>
  <dataConsolidate link="1"/>
  <mergeCells count="1">
    <mergeCell ref="C1:F1"/>
  </mergeCells>
  <dataValidations count="4">
    <dataValidation type="list" showInputMessage="1" showErrorMessage="1" sqref="E3:E6" xr:uid="{4CE6F75E-3B16-4732-B3CA-F46D3C59EDCB}">
      <formula1>OFFSET(ACTIVITY,0,0,COUNTA(ACTIVITY),1)</formula1>
    </dataValidation>
    <dataValidation type="list" showInputMessage="1" showErrorMessage="1" sqref="F3:F6" xr:uid="{B3DEABD0-68B6-4C50-ABC8-42F8D15DA616}">
      <formula1>OFFSET(STATUS,0,0,COUNTA(STATUS),1)</formula1>
    </dataValidation>
    <dataValidation type="list" allowBlank="1" showInputMessage="1" showErrorMessage="1" sqref="C3:C6" xr:uid="{B0F35416-90C4-409E-AE15-E28AB6C7977B}">
      <formula1>OFFSET(LOCATION,0,0,COUNTA(LOCATION),1)</formula1>
    </dataValidation>
    <dataValidation type="list" allowBlank="1" showInputMessage="1" showErrorMessage="1" sqref="B3:B6" xr:uid="{1E2C434F-53B1-4208-BD17-33E3539DC688}">
      <formula1>OFFSET(PROJECT,0,0,COUNTA(PROJECT),1)</formula1>
    </dataValidation>
  </dataValidations>
  <hyperlinks>
    <hyperlink ref="D3" r:id="rId1" display="\\cclserver\DATA\Q 2020\CCL STRENGTHENING\Dubai\2023\R1.5516.23 Burjuman Mall Refurbishment" xr:uid="{F92C1DD6-6EAA-428B-806B-4CF2D01901AF}"/>
    <hyperlink ref="D4" r:id="rId2" display="\\cclserver\DATA\P 2020\03 CR Projects\06-20-CR-002 MEDORE Tower\Construction Phase\" xr:uid="{936DEFD3-C1DC-42DB-AE03-BDF8D3C1DB4C}"/>
    <hyperlink ref="D5" r:id="rId3" display="\\cclserver\DATA\P 2020\03 CR Projects\06-20-CR-002 MEDORE Tower\Construction Phase\" xr:uid="{1BBAA68C-F9D9-4E6E-A7BB-56D5FAAD5C91}"/>
    <hyperlink ref="D6" r:id="rId4" display="\\cclserver\DATA\Q 2020\CCL STRENGTHENING\BAHRAIN\1. Dilmunia Mall" xr:uid="{948AEEFC-FC12-42C6-AF40-911925C0EE0B}"/>
  </hyperlinks>
  <pageMargins left="0.3" right="0.23" top="0.54" bottom="0.33" header="0.3" footer="0.21"/>
  <pageSetup paperSize="9" orientation="landscape" r:id="rId5"/>
  <headerFooter>
    <oddHeader>&amp;LDAILY WORK BRIEF&amp;CCCL GULF&amp;RR and S</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90E65-06FB-415C-AA8C-417DBA4859D7}">
  <sheetPr codeName="Sheet1174"/>
  <dimension ref="A1:G9"/>
  <sheetViews>
    <sheetView zoomScaleNormal="100" workbookViewId="0">
      <selection activeCell="D8" sqref="D8"/>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09-05-23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3088</v>
      </c>
      <c r="C3" s="9" t="s">
        <v>13</v>
      </c>
      <c r="D3" s="17" t="str">
        <f t="shared" ref="D3:D9" si="1">B3</f>
        <v>Burjuman Mall Refurbishment</v>
      </c>
      <c r="E3" s="12" t="s">
        <v>27</v>
      </c>
      <c r="F3" s="12" t="s">
        <v>2</v>
      </c>
      <c r="G3" s="84"/>
    </row>
    <row r="4" spans="1:7" x14ac:dyDescent="0.2">
      <c r="A4" s="8">
        <f t="shared" ca="1" si="0"/>
        <v>2</v>
      </c>
      <c r="B4" s="9" t="s">
        <v>235</v>
      </c>
      <c r="C4" s="9" t="s">
        <v>13</v>
      </c>
      <c r="D4" s="17" t="str">
        <f t="shared" si="1"/>
        <v>ME DO RE JLT</v>
      </c>
      <c r="E4" s="12" t="s">
        <v>27</v>
      </c>
      <c r="F4" s="12" t="s">
        <v>29</v>
      </c>
      <c r="G4" s="84" t="s">
        <v>3475</v>
      </c>
    </row>
    <row r="5" spans="1:7" x14ac:dyDescent="0.2">
      <c r="A5" s="8">
        <f t="shared" ca="1" si="0"/>
        <v>3</v>
      </c>
      <c r="B5" s="9" t="s">
        <v>235</v>
      </c>
      <c r="C5" s="9" t="s">
        <v>13</v>
      </c>
      <c r="D5" s="17" t="str">
        <f t="shared" ref="D5" si="2">B5</f>
        <v>ME DO RE JLT</v>
      </c>
      <c r="E5" s="12" t="s">
        <v>34</v>
      </c>
      <c r="F5" s="12" t="s">
        <v>29</v>
      </c>
      <c r="G5" s="84" t="s">
        <v>3478</v>
      </c>
    </row>
    <row r="6" spans="1:7" ht="24" x14ac:dyDescent="0.2">
      <c r="A6" s="8">
        <f t="shared" ca="1" si="0"/>
        <v>4</v>
      </c>
      <c r="B6" s="9" t="s">
        <v>489</v>
      </c>
      <c r="C6" s="9" t="s">
        <v>19</v>
      </c>
      <c r="D6" s="17" t="str">
        <f t="shared" si="1"/>
        <v>Dilmunia Mall Bahrain</v>
      </c>
      <c r="E6" s="12" t="s">
        <v>49</v>
      </c>
      <c r="F6" s="12" t="s">
        <v>2</v>
      </c>
      <c r="G6" s="84" t="s">
        <v>3482</v>
      </c>
    </row>
    <row r="7" spans="1:7" x14ac:dyDescent="0.2">
      <c r="A7" s="8">
        <f t="shared" ca="1" si="0"/>
        <v>5</v>
      </c>
      <c r="B7" s="9" t="s">
        <v>151</v>
      </c>
      <c r="C7" s="9" t="s">
        <v>13</v>
      </c>
      <c r="D7" s="17" t="str">
        <f t="shared" si="1"/>
        <v>Wasl Tower</v>
      </c>
      <c r="E7" s="12" t="s">
        <v>27</v>
      </c>
      <c r="F7" s="12" t="s">
        <v>29</v>
      </c>
      <c r="G7" s="84" t="s">
        <v>3474</v>
      </c>
    </row>
    <row r="8" spans="1:7" x14ac:dyDescent="0.2">
      <c r="A8" s="8">
        <f t="shared" ca="1" si="0"/>
        <v>6</v>
      </c>
      <c r="B8" s="9" t="s">
        <v>2775</v>
      </c>
      <c r="C8" s="9" t="s">
        <v>13</v>
      </c>
      <c r="D8" s="17" t="str">
        <f t="shared" si="1"/>
        <v>Marsa Hotel ASGC</v>
      </c>
      <c r="E8" s="12" t="s">
        <v>115</v>
      </c>
      <c r="F8" s="12" t="s">
        <v>29</v>
      </c>
      <c r="G8" s="84" t="s">
        <v>3479</v>
      </c>
    </row>
    <row r="9" spans="1:7" x14ac:dyDescent="0.2">
      <c r="A9" s="8">
        <f t="shared" ca="1" si="0"/>
        <v>7</v>
      </c>
      <c r="B9" s="9" t="s">
        <v>3335</v>
      </c>
      <c r="C9" s="9" t="s">
        <v>13</v>
      </c>
      <c r="D9" s="17" t="str">
        <f t="shared" si="1"/>
        <v>CP01-13</v>
      </c>
      <c r="E9" s="12" t="s">
        <v>49</v>
      </c>
      <c r="F9" s="12" t="s">
        <v>29</v>
      </c>
      <c r="G9" s="84" t="s">
        <v>3483</v>
      </c>
    </row>
  </sheetData>
  <dataConsolidate link="1"/>
  <mergeCells count="1">
    <mergeCell ref="C1:F1"/>
  </mergeCells>
  <dataValidations count="4">
    <dataValidation type="list" allowBlank="1" showInputMessage="1" showErrorMessage="1" sqref="B3:B9" xr:uid="{2549FF55-0879-4296-B155-3A26B6CA400C}">
      <formula1>OFFSET(PROJECT,0,0,COUNTA(PROJECT),1)</formula1>
    </dataValidation>
    <dataValidation type="list" allowBlank="1" showInputMessage="1" showErrorMessage="1" sqref="C3:C9" xr:uid="{955BA17D-C970-495D-B190-56821E842337}">
      <formula1>OFFSET(LOCATION,0,0,COUNTA(LOCATION),1)</formula1>
    </dataValidation>
    <dataValidation type="list" showInputMessage="1" showErrorMessage="1" sqref="F3:F9" xr:uid="{D6FE03EE-FF7D-499A-9A7F-2BC7F3F70AB3}">
      <formula1>OFFSET(STATUS,0,0,COUNTA(STATUS),1)</formula1>
    </dataValidation>
    <dataValidation type="list" showInputMessage="1" showErrorMessage="1" sqref="E3:E9" xr:uid="{8785B9DA-078A-4C56-83E7-34C715E1372D}">
      <formula1>OFFSET(ACTIVITY,0,0,COUNTA(ACTIVITY),1)</formula1>
    </dataValidation>
  </dataValidations>
  <hyperlinks>
    <hyperlink ref="D3" r:id="rId1" display="\\cclserver\DATA\Q 2020\CCL STRENGTHENING\Dubai\2023\R1.5516.23 Burjuman Mall Refurbishment" xr:uid="{92205D0B-1C8D-460C-8CF8-99E1F3CBB9AD}"/>
    <hyperlink ref="D4" r:id="rId2" display="\\cclserver\DATA\P 2020\03 CR Projects\06-20-CR-002 MEDORE Tower\Construction Phase\" xr:uid="{17B6B2BC-C401-40D9-9F20-7D555ABB34CD}"/>
    <hyperlink ref="D6" r:id="rId3" display="\\cclserver\DATA\Q 2020\CCL STRENGTHENING\BAHRAIN\1. Dilmunia Mall" xr:uid="{51AD6859-56F4-409F-8DDC-E7EF73AE5319}"/>
    <hyperlink ref="D7" r:id="rId4" display="\\cclserver\DATA\Q 2020\CCL STRENGTHENING\Dubai\2021\R1.5261.21 Al Wasl Tower" xr:uid="{2DE95267-2C92-47FF-8E83-2D7C69A5D24A}"/>
    <hyperlink ref="D5" r:id="rId5" display="\\cclserver\DATA\P 2020\03 CR Projects\06-20-CR-002 MEDORE Tower\Construction Phase\" xr:uid="{E553686A-2721-465E-B47E-4D6E8A4620FA}"/>
    <hyperlink ref="D8" r:id="rId6" display="\\cclserver\DATA\P 2020\03 CR Projects\06-21-CR-005 Marsa Al Arab\Construction phase" xr:uid="{2040DD34-ABE7-4B2D-B191-26614A258DF1}"/>
    <hyperlink ref="D9" r:id="rId7" display="\\cclserver\DATA\P 2020\03 CR Projects\06-23-CR-004 CP01-13 Riviera (Azizi)" xr:uid="{8F3107FC-5303-43C5-8F24-FFCC091F8969}"/>
  </hyperlinks>
  <pageMargins left="0.3" right="0.23" top="0.54" bottom="0.33" header="0.3" footer="0.21"/>
  <pageSetup paperSize="9" orientation="landscape" r:id="rId8"/>
  <headerFooter>
    <oddHeader>&amp;LDAILY WORK BRIEF&amp;CCCL GULF&amp;RR and S</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192-5D18-46E3-A90E-D50E45B54C5C}">
  <sheetPr codeName="Sheet1173"/>
  <dimension ref="A1:G7"/>
  <sheetViews>
    <sheetView zoomScaleNormal="100" workbookViewId="0">
      <selection activeCell="E37" sqref="E36:E3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08-05-23</v>
      </c>
      <c r="C1" s="100"/>
      <c r="D1" s="101"/>
      <c r="E1" s="101"/>
      <c r="F1" s="102"/>
      <c r="G1" s="82"/>
    </row>
    <row r="2" spans="1:7" ht="18.75" customHeight="1" x14ac:dyDescent="0.2">
      <c r="A2" s="13" t="s">
        <v>0</v>
      </c>
      <c r="B2" s="13" t="s">
        <v>6</v>
      </c>
      <c r="C2" s="13" t="s">
        <v>11</v>
      </c>
      <c r="D2" s="13" t="s">
        <v>7</v>
      </c>
      <c r="E2" s="14" t="s">
        <v>3</v>
      </c>
      <c r="F2" s="14" t="s">
        <v>5</v>
      </c>
      <c r="G2" s="14" t="s">
        <v>56</v>
      </c>
    </row>
    <row r="3" spans="1:7" x14ac:dyDescent="0.2">
      <c r="A3" s="8">
        <f t="shared" ref="A3:A7" ca="1" si="0">IFERROR(OFFSET(A3,-1,0)+1,1)</f>
        <v>1</v>
      </c>
      <c r="B3" s="9" t="s">
        <v>151</v>
      </c>
      <c r="C3" s="9" t="s">
        <v>13</v>
      </c>
      <c r="D3" s="17" t="str">
        <f t="shared" ref="D3:D7" si="1">B3</f>
        <v>Wasl Tower</v>
      </c>
      <c r="E3" s="12" t="s">
        <v>27</v>
      </c>
      <c r="F3" s="12" t="s">
        <v>29</v>
      </c>
      <c r="G3" s="84" t="s">
        <v>3469</v>
      </c>
    </row>
    <row r="4" spans="1:7" x14ac:dyDescent="0.2">
      <c r="A4" s="8">
        <f t="shared" ca="1" si="0"/>
        <v>2</v>
      </c>
      <c r="B4" s="9" t="s">
        <v>3335</v>
      </c>
      <c r="C4" s="9" t="s">
        <v>13</v>
      </c>
      <c r="D4" s="17" t="str">
        <f t="shared" si="1"/>
        <v>CP01-13</v>
      </c>
      <c r="E4" s="12" t="s">
        <v>49</v>
      </c>
      <c r="F4" s="12" t="s">
        <v>29</v>
      </c>
      <c r="G4" s="84" t="s">
        <v>3470</v>
      </c>
    </row>
    <row r="5" spans="1:7" ht="24" x14ac:dyDescent="0.2">
      <c r="A5" s="8">
        <f t="shared" ca="1" si="0"/>
        <v>3</v>
      </c>
      <c r="B5" s="9" t="s">
        <v>3088</v>
      </c>
      <c r="C5" s="9" t="s">
        <v>13</v>
      </c>
      <c r="D5" s="17" t="str">
        <f t="shared" si="1"/>
        <v>Burjuman Mall Refurbishment</v>
      </c>
      <c r="E5" s="12" t="s">
        <v>27</v>
      </c>
      <c r="F5" s="12" t="s">
        <v>2</v>
      </c>
      <c r="G5" s="84" t="s">
        <v>3471</v>
      </c>
    </row>
    <row r="6" spans="1:7" ht="24" x14ac:dyDescent="0.2">
      <c r="A6" s="8">
        <f t="shared" ca="1" si="0"/>
        <v>4</v>
      </c>
      <c r="B6" s="9" t="s">
        <v>235</v>
      </c>
      <c r="C6" s="9" t="s">
        <v>13</v>
      </c>
      <c r="D6" s="17" t="str">
        <f t="shared" si="1"/>
        <v>ME DO RE JLT</v>
      </c>
      <c r="E6" s="12" t="s">
        <v>43</v>
      </c>
      <c r="F6" s="12" t="s">
        <v>2</v>
      </c>
      <c r="G6" s="84" t="s">
        <v>3472</v>
      </c>
    </row>
    <row r="7" spans="1:7" ht="24" x14ac:dyDescent="0.2">
      <c r="A7" s="8">
        <f t="shared" ca="1" si="0"/>
        <v>5</v>
      </c>
      <c r="B7" s="9" t="s">
        <v>489</v>
      </c>
      <c r="C7" s="9" t="s">
        <v>19</v>
      </c>
      <c r="D7" s="17" t="str">
        <f t="shared" si="1"/>
        <v>Dilmunia Mall Bahrain</v>
      </c>
      <c r="E7" s="12" t="s">
        <v>49</v>
      </c>
      <c r="F7" s="12" t="s">
        <v>2</v>
      </c>
      <c r="G7" s="84" t="s">
        <v>3473</v>
      </c>
    </row>
  </sheetData>
  <dataConsolidate link="1"/>
  <mergeCells count="1">
    <mergeCell ref="C1:F1"/>
  </mergeCells>
  <dataValidations count="4">
    <dataValidation type="list" showInputMessage="1" showErrorMessage="1" sqref="E3:E7" xr:uid="{9C9FFCB3-3F87-4B0E-B86D-4611D3AE1AF1}">
      <formula1>OFFSET(ACTIVITY,0,0,COUNTA(ACTIVITY),1)</formula1>
    </dataValidation>
    <dataValidation type="list" showInputMessage="1" showErrorMessage="1" sqref="F3:F7" xr:uid="{9A2B59A5-F57E-4317-831B-A79A33EBFD6A}">
      <formula1>OFFSET(STATUS,0,0,COUNTA(STATUS),1)</formula1>
    </dataValidation>
    <dataValidation type="list" allowBlank="1" showInputMessage="1" showErrorMessage="1" sqref="C3:C7" xr:uid="{935C812E-59F2-43FB-B8BE-48AA2A77625A}">
      <formula1>OFFSET(LOCATION,0,0,COUNTA(LOCATION),1)</formula1>
    </dataValidation>
    <dataValidation type="list" allowBlank="1" showInputMessage="1" showErrorMessage="1" sqref="B3:B7" xr:uid="{152094F9-6DFB-4C06-8E38-D414104ADC94}">
      <formula1>OFFSET(PROJECT,0,0,COUNTA(PROJECT),1)</formula1>
    </dataValidation>
  </dataValidations>
  <hyperlinks>
    <hyperlink ref="D3" r:id="rId1" display="\\cclserver\DATA\Q 2020\CCL STRENGTHENING\Dubai\2021\R1.5261.21 Al Wasl Tower" xr:uid="{FEE8D65A-518B-4137-9145-9EA74A00C9E1}"/>
    <hyperlink ref="D4" r:id="rId2" display="\\cclserver\DATA\P 2020\03 CR Projects\06-23-CR-004 CP01-13 Riviera (Azizi)" xr:uid="{4C613F67-D332-4E8D-A531-35CF449D6F91}"/>
    <hyperlink ref="D5" r:id="rId3" display="\\cclserver\DATA\Q 2020\CCL STRENGTHENING\Dubai\2023\R1.5516.23 Burjuman Mall Refurbishment" xr:uid="{13A26548-E772-4754-97C7-FD9051E8D006}"/>
    <hyperlink ref="D6" r:id="rId4" display="\\cclserver\DATA\P 2020\03 CR Projects\06-20-CR-002 MEDORE Tower\Construction Phase\" xr:uid="{AD0B8EA0-5E23-4BEB-80D3-B269C08EFEA2}"/>
    <hyperlink ref="D7" r:id="rId5" display="\\cclserver\DATA\Q 2020\CCL STRENGTHENING\BAHRAIN\1. Dilmunia Mall" xr:uid="{420CA0B6-178F-4F4C-B583-662AFF06D94C}"/>
  </hyperlinks>
  <pageMargins left="0.3" right="0.23" top="0.54" bottom="0.33" header="0.3" footer="0.21"/>
  <pageSetup paperSize="9" orientation="landscape" r:id="rId6"/>
  <headerFooter>
    <oddHeader>&amp;LDAILY WORK BRIEF&amp;CCCL GULF&amp;RR and S</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9D918-2106-4521-A338-0F3C8E336F57}">
  <sheetPr codeName="Sheet1172"/>
  <dimension ref="A1:G8"/>
  <sheetViews>
    <sheetView zoomScaleNormal="100" workbookViewId="0">
      <selection activeCell="A7" sqref="A7:XFD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07-05-23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151</v>
      </c>
      <c r="C3" s="9" t="s">
        <v>13</v>
      </c>
      <c r="D3" s="17" t="str">
        <f t="shared" ref="D3:D4" si="1">B3</f>
        <v>Wasl Tower</v>
      </c>
      <c r="E3" s="12" t="s">
        <v>27</v>
      </c>
      <c r="F3" s="12" t="s">
        <v>2</v>
      </c>
      <c r="G3" s="84" t="s">
        <v>3465</v>
      </c>
    </row>
    <row r="4" spans="1:7" x14ac:dyDescent="0.2">
      <c r="A4" s="8">
        <f t="shared" ca="1" si="0"/>
        <v>2</v>
      </c>
      <c r="B4" s="9" t="s">
        <v>3335</v>
      </c>
      <c r="C4" s="9" t="s">
        <v>13</v>
      </c>
      <c r="D4" s="17" t="str">
        <f t="shared" si="1"/>
        <v>CP01-13</v>
      </c>
      <c r="E4" s="12" t="s">
        <v>49</v>
      </c>
      <c r="F4" s="12" t="s">
        <v>29</v>
      </c>
      <c r="G4" s="84" t="s">
        <v>3464</v>
      </c>
    </row>
    <row r="5" spans="1:7" ht="24" x14ac:dyDescent="0.2">
      <c r="A5" s="8">
        <f t="shared" ca="1" si="0"/>
        <v>3</v>
      </c>
      <c r="B5" s="9" t="s">
        <v>3335</v>
      </c>
      <c r="C5" s="9" t="s">
        <v>13</v>
      </c>
      <c r="D5" s="17" t="str">
        <f t="shared" ref="D5:D8" si="2">B5</f>
        <v>CP01-13</v>
      </c>
      <c r="E5" s="12" t="s">
        <v>49</v>
      </c>
      <c r="F5" s="12" t="s">
        <v>2</v>
      </c>
      <c r="G5" s="84" t="s">
        <v>3463</v>
      </c>
    </row>
    <row r="6" spans="1:7" ht="24" x14ac:dyDescent="0.2">
      <c r="A6" s="8">
        <f t="shared" ca="1" si="0"/>
        <v>4</v>
      </c>
      <c r="B6" s="9" t="s">
        <v>3088</v>
      </c>
      <c r="C6" s="9" t="s">
        <v>13</v>
      </c>
      <c r="D6" s="17" t="str">
        <f t="shared" si="2"/>
        <v>Burjuman Mall Refurbishment</v>
      </c>
      <c r="E6" s="12" t="s">
        <v>27</v>
      </c>
      <c r="F6" s="12" t="s">
        <v>2</v>
      </c>
      <c r="G6" s="84" t="s">
        <v>3466</v>
      </c>
    </row>
    <row r="7" spans="1:7" x14ac:dyDescent="0.2">
      <c r="A7" s="8">
        <f t="shared" ca="1" si="0"/>
        <v>5</v>
      </c>
      <c r="B7" s="9" t="s">
        <v>2949</v>
      </c>
      <c r="C7" s="9" t="s">
        <v>13</v>
      </c>
      <c r="D7" s="17" t="str">
        <f t="shared" si="2"/>
        <v>Park Avenue 3 Azizi</v>
      </c>
      <c r="E7" s="12" t="s">
        <v>49</v>
      </c>
      <c r="F7" s="12" t="s">
        <v>29</v>
      </c>
      <c r="G7" s="84" t="s">
        <v>3468</v>
      </c>
    </row>
    <row r="8" spans="1:7" ht="24" x14ac:dyDescent="0.2">
      <c r="A8" s="8">
        <f t="shared" ca="1" si="0"/>
        <v>6</v>
      </c>
      <c r="B8" s="9" t="s">
        <v>235</v>
      </c>
      <c r="C8" s="9" t="s">
        <v>13</v>
      </c>
      <c r="D8" s="17" t="str">
        <f t="shared" si="2"/>
        <v>ME DO RE JLT</v>
      </c>
      <c r="E8" s="12" t="s">
        <v>43</v>
      </c>
      <c r="F8" s="12" t="s">
        <v>2</v>
      </c>
      <c r="G8" s="84" t="s">
        <v>3467</v>
      </c>
    </row>
  </sheetData>
  <dataConsolidate link="1"/>
  <mergeCells count="1">
    <mergeCell ref="C1:F1"/>
  </mergeCells>
  <dataValidations count="4">
    <dataValidation type="list" allowBlank="1" showInputMessage="1" showErrorMessage="1" sqref="B3:B8" xr:uid="{8EA10A86-580E-40CD-8AAA-588CB21E2AC4}">
      <formula1>OFFSET(PROJECT,0,0,COUNTA(PROJECT),1)</formula1>
    </dataValidation>
    <dataValidation type="list" allowBlank="1" showInputMessage="1" showErrorMessage="1" sqref="C3:C8" xr:uid="{B70BFEAF-3E91-4541-BE50-E8F247EE0551}">
      <formula1>OFFSET(LOCATION,0,0,COUNTA(LOCATION),1)</formula1>
    </dataValidation>
    <dataValidation type="list" showInputMessage="1" showErrorMessage="1" sqref="F3:F8" xr:uid="{C884F25A-E32B-48E2-9564-DFD7D3B7C81C}">
      <formula1>OFFSET(STATUS,0,0,COUNTA(STATUS),1)</formula1>
    </dataValidation>
    <dataValidation type="list" showInputMessage="1" showErrorMessage="1" sqref="E3:E8" xr:uid="{95B97B6F-66C0-4752-B5CA-729559D1D570}">
      <formula1>OFFSET(ACTIVITY,0,0,COUNTA(ACTIVITY),1)</formula1>
    </dataValidation>
  </dataValidations>
  <hyperlinks>
    <hyperlink ref="D3" r:id="rId1" display="\\cclserver\DATA\Q 2020\CCL STRENGTHENING\Dubai\2021\R1.5261.21 Al Wasl Tower" xr:uid="{37BDF022-50B2-470F-961F-015DF26236F3}"/>
    <hyperlink ref="D4" r:id="rId2" display="\\cclserver\DATA\P 2020\03 CR Projects\06-23-CR-004 CP01-13 Riviera (Azizi)" xr:uid="{7EC63B87-70A6-4A26-A164-87C690AD738F}"/>
    <hyperlink ref="D5" r:id="rId3" display="\\cclserver\DATA\P 2020\03 CR Projects\06-23-CR-004 CP01-13 Riviera (Azizi)" xr:uid="{49AD1D04-19DB-49DB-99CC-1078C6B4A266}"/>
    <hyperlink ref="D6" r:id="rId4" display="\\cclserver\DATA\Q 2020\CCL STRENGTHENING\Dubai\2023\R1.5516.23 Burjuman Mall Refurbishment" xr:uid="{868E7759-B062-47D5-B092-0319C55047B0}"/>
    <hyperlink ref="D7" r:id="rId5" display="\\cclserver\DATA\P 2020\03 CR Projects\06-22-CR-011 Park Avenue 3 (Azizi)" xr:uid="{0DC7DEC6-89EA-4EFB-AF27-F979B10F920D}"/>
    <hyperlink ref="D8" r:id="rId6" display="\\cclserver\DATA\P 2020\03 CR Projects\06-20-CR-002 MEDORE Tower\Construction Phase\" xr:uid="{62135BDC-FB4F-4896-B757-4968F0AF6147}"/>
  </hyperlinks>
  <pageMargins left="0.3" right="0.23" top="0.54" bottom="0.33" header="0.3" footer="0.21"/>
  <pageSetup paperSize="9" orientation="landscape" r:id="rId7"/>
  <headerFooter>
    <oddHeader>&amp;LDAILY WORK BRIEF&amp;CCCL GULF&amp;RR and S</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7709D-051E-45F2-BBD6-A80FE29BEA14}">
  <sheetPr codeName="Sheet1171"/>
  <dimension ref="A1:G5"/>
  <sheetViews>
    <sheetView zoomScaleNormal="100" workbookViewId="0">
      <selection activeCell="D4" sqref="D4"/>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04-05-23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5" ca="1" si="0">IFERROR(OFFSET(A3,-1,0)+1,1)</f>
        <v>1</v>
      </c>
      <c r="B3" s="9" t="s">
        <v>151</v>
      </c>
      <c r="C3" s="9" t="s">
        <v>13</v>
      </c>
      <c r="D3" s="17" t="str">
        <f t="shared" ref="D3:D5" si="1">B3</f>
        <v>Wasl Tower</v>
      </c>
      <c r="E3" s="12" t="s">
        <v>27</v>
      </c>
      <c r="F3" s="12" t="s">
        <v>2</v>
      </c>
      <c r="G3" s="84" t="s">
        <v>3460</v>
      </c>
    </row>
    <row r="4" spans="1:7" x14ac:dyDescent="0.2">
      <c r="A4" s="8">
        <f t="shared" ca="1" si="0"/>
        <v>2</v>
      </c>
      <c r="B4" s="9" t="s">
        <v>235</v>
      </c>
      <c r="C4" s="9" t="s">
        <v>13</v>
      </c>
      <c r="D4" s="17" t="str">
        <f t="shared" si="1"/>
        <v>ME DO RE JLT</v>
      </c>
      <c r="E4" s="12" t="s">
        <v>49</v>
      </c>
      <c r="F4" s="12" t="s">
        <v>29</v>
      </c>
      <c r="G4" s="84" t="s">
        <v>3461</v>
      </c>
    </row>
    <row r="5" spans="1:7" x14ac:dyDescent="0.2">
      <c r="A5" s="8">
        <f t="shared" ca="1" si="0"/>
        <v>3</v>
      </c>
      <c r="B5" s="9" t="s">
        <v>3335</v>
      </c>
      <c r="C5" s="9" t="s">
        <v>13</v>
      </c>
      <c r="D5" s="17" t="str">
        <f t="shared" si="1"/>
        <v>CP01-13</v>
      </c>
      <c r="E5" s="12" t="s">
        <v>49</v>
      </c>
      <c r="F5" s="12" t="s">
        <v>29</v>
      </c>
      <c r="G5" s="84" t="s">
        <v>3462</v>
      </c>
    </row>
  </sheetData>
  <dataConsolidate link="1"/>
  <mergeCells count="1">
    <mergeCell ref="C1:F1"/>
  </mergeCells>
  <dataValidations count="4">
    <dataValidation type="list" showInputMessage="1" showErrorMessage="1" sqref="E3:E5" xr:uid="{EFC7DBBE-1DCA-446E-BFBC-4CFA28AF89E4}">
      <formula1>OFFSET(ACTIVITY,0,0,COUNTA(ACTIVITY),1)</formula1>
    </dataValidation>
    <dataValidation type="list" showInputMessage="1" showErrorMessage="1" sqref="F3:F5" xr:uid="{7C774FB0-7375-41BE-99DE-EB16067D8C80}">
      <formula1>OFFSET(STATUS,0,0,COUNTA(STATUS),1)</formula1>
    </dataValidation>
    <dataValidation type="list" allowBlank="1" showInputMessage="1" showErrorMessage="1" sqref="C3:C5" xr:uid="{A9BB5F10-EFCB-4805-9313-04E21BB9A3A7}">
      <formula1>OFFSET(LOCATION,0,0,COUNTA(LOCATION),1)</formula1>
    </dataValidation>
    <dataValidation type="list" allowBlank="1" showInputMessage="1" showErrorMessage="1" sqref="B3:B5" xr:uid="{71729E94-FE84-4B60-A142-4A926CA85BAB}">
      <formula1>OFFSET(PROJECT,0,0,COUNTA(PROJECT),1)</formula1>
    </dataValidation>
  </dataValidations>
  <hyperlinks>
    <hyperlink ref="D3" r:id="rId1" display="\\cclserver\DATA\Q 2020\CCL STRENGTHENING\Dubai\2021\R1.5261.21 Al Wasl Tower" xr:uid="{988841C1-4F7B-41C0-BB1C-B75CAFF99733}"/>
    <hyperlink ref="D4" r:id="rId2" display="\\cclserver\DATA\P 2020\03 CR Projects\06-20-CR-002 MEDORE Tower\Construction Phase\" xr:uid="{D069ECEC-BD3C-459F-A3F3-4BB6C84F0A91}"/>
    <hyperlink ref="D5" r:id="rId3" display="\\cclserver\DATA\P 2020\03 CR Projects\06-23-CR-004 CP01-13 Riviera (Azizi)" xr:uid="{0BFB14E6-6FEF-4370-A075-CBEEF4F9BF76}"/>
  </hyperlinks>
  <pageMargins left="0.3" right="0.23" top="0.54" bottom="0.33" header="0.3" footer="0.21"/>
  <pageSetup paperSize="9" orientation="landscape" r:id="rId4"/>
  <headerFooter>
    <oddHeader>&amp;LDAILY WORK BRIEF&amp;CCCL GULF&amp;RR and S</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60FF-CAA6-457D-940B-7A60AAE5DB4D}">
  <sheetPr codeName="Sheet1170"/>
  <dimension ref="A1:G7"/>
  <sheetViews>
    <sheetView zoomScaleNormal="100" workbookViewId="0">
      <selection activeCell="A5" sqref="A5"/>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03-05-23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7" ca="1" si="0">IFERROR(OFFSET(A3,-1,0)+1,1)</f>
        <v>1</v>
      </c>
      <c r="B3" s="9" t="s">
        <v>2775</v>
      </c>
      <c r="C3" s="9" t="s">
        <v>13</v>
      </c>
      <c r="D3" s="17" t="str">
        <f t="shared" ref="D3:D6"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t="s">
        <v>3460</v>
      </c>
    </row>
    <row r="5" spans="1:7" ht="24" x14ac:dyDescent="0.2">
      <c r="A5" s="8">
        <f t="shared" ca="1" si="0"/>
        <v>3</v>
      </c>
      <c r="B5" s="9" t="s">
        <v>3386</v>
      </c>
      <c r="C5" s="9" t="s">
        <v>13</v>
      </c>
      <c r="D5" s="17" t="str">
        <f t="shared" si="1"/>
        <v>Palm Gate Towers Shapoorji</v>
      </c>
      <c r="E5" s="12" t="s">
        <v>27</v>
      </c>
      <c r="F5" s="12" t="s">
        <v>2</v>
      </c>
      <c r="G5" s="19"/>
    </row>
    <row r="6" spans="1:7" x14ac:dyDescent="0.2">
      <c r="A6" s="8">
        <f t="shared" ca="1" si="0"/>
        <v>4</v>
      </c>
      <c r="B6" s="9" t="s">
        <v>3335</v>
      </c>
      <c r="C6" s="9" t="s">
        <v>13</v>
      </c>
      <c r="D6" s="17" t="str">
        <f t="shared" si="1"/>
        <v>CP01-13</v>
      </c>
      <c r="E6" s="12" t="s">
        <v>49</v>
      </c>
      <c r="F6" s="12" t="s">
        <v>29</v>
      </c>
      <c r="G6" s="19" t="s">
        <v>3457</v>
      </c>
    </row>
    <row r="7" spans="1:7" x14ac:dyDescent="0.2">
      <c r="A7" s="8">
        <f t="shared" ca="1" si="0"/>
        <v>5</v>
      </c>
      <c r="B7" s="9" t="s">
        <v>3335</v>
      </c>
      <c r="C7" s="9" t="s">
        <v>13</v>
      </c>
      <c r="D7" s="17" t="str">
        <f t="shared" ref="D7" si="2">B7</f>
        <v>CP01-13</v>
      </c>
      <c r="E7" s="12" t="s">
        <v>34</v>
      </c>
      <c r="F7" s="12" t="s">
        <v>29</v>
      </c>
      <c r="G7" s="19" t="s">
        <v>3459</v>
      </c>
    </row>
  </sheetData>
  <dataConsolidate link="1"/>
  <mergeCells count="1">
    <mergeCell ref="C1:F1"/>
  </mergeCells>
  <dataValidations count="4">
    <dataValidation type="list" allowBlank="1" showInputMessage="1" showErrorMessage="1" sqref="B3:B7" xr:uid="{874E9402-BB5A-41FC-AE21-3E2170F76559}">
      <formula1>OFFSET(PROJECT,0,0,COUNTA(PROJECT),1)</formula1>
    </dataValidation>
    <dataValidation type="list" allowBlank="1" showInputMessage="1" showErrorMessage="1" sqref="C3:C7" xr:uid="{DA720533-A43B-467D-BFFC-C298A99B3DC2}">
      <formula1>OFFSET(LOCATION,0,0,COUNTA(LOCATION),1)</formula1>
    </dataValidation>
    <dataValidation type="list" showInputMessage="1" showErrorMessage="1" sqref="F3:F7" xr:uid="{5B233283-AE96-406A-9D4B-498315B47101}">
      <formula1>OFFSET(STATUS,0,0,COUNTA(STATUS),1)</formula1>
    </dataValidation>
    <dataValidation type="list" showInputMessage="1" showErrorMessage="1" sqref="E3:E7" xr:uid="{A64CAD4B-2845-4570-BAE8-36A70D1A2423}">
      <formula1>OFFSET(ACTIVITY,0,0,COUNTA(ACTIVITY),1)</formula1>
    </dataValidation>
  </dataValidations>
  <hyperlinks>
    <hyperlink ref="D3" r:id="rId1" display="\\cclserver\DATA\P 2020\03 CR Projects\06-21-CR-005 Marsa Al Arab\Construction phase" xr:uid="{E2A8E007-0164-4E2C-B55B-832EB50165C1}"/>
    <hyperlink ref="D4" r:id="rId2" display="\\cclserver\DATA\Q 2020\CCL STRENGTHENING\Dubai\2021\R1.5261.21 Al Wasl Tower" xr:uid="{94A75E86-7CC1-46EB-9BF4-11AB6866E22C}"/>
    <hyperlink ref="D5" r:id="rId3" display="\\cclserver\DATA\Q 2020\CCL STRENGTHENING\Dubai\2023\R1.5574.23 Palm Beach Towers" xr:uid="{A6226CFD-4B75-4E19-9251-10156F0ABE98}"/>
    <hyperlink ref="D6" r:id="rId4" display="\\cclserver\DATA\P 2020\03 CR Projects\06-23-CR-004 CP01-13 Riviera (Azizi)" xr:uid="{70CC1AC8-A662-498C-A0BB-4D31D47771F0}"/>
    <hyperlink ref="D7" r:id="rId5" display="\\cclserver\DATA\P 2020\03 CR Projects\06-23-CR-004 CP01-13 Riviera (Azizi)" xr:uid="{408E236D-1547-4398-978B-E46C2AB5D3F5}"/>
  </hyperlinks>
  <pageMargins left="0.3" right="0.23" top="0.54" bottom="0.33" header="0.3" footer="0.21"/>
  <pageSetup paperSize="9" orientation="landscape" r:id="rId6"/>
  <headerFooter>
    <oddHeader>&amp;LDAILY WORK BRIEF&amp;CCCL GULF&amp;RR and S</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F09E6-EB90-4AB8-8AAD-FC4DD8414BD9}">
  <sheetPr codeName="Sheet1169"/>
  <dimension ref="A1:G8"/>
  <sheetViews>
    <sheetView zoomScaleNormal="100" workbookViewId="0">
      <selection activeCell="A3" sqref="A3:XFD3"/>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02-05-23</v>
      </c>
      <c r="C1" s="100" t="s">
        <v>3453</v>
      </c>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2775</v>
      </c>
      <c r="C3" s="9" t="s">
        <v>13</v>
      </c>
      <c r="D3" s="17" t="str">
        <f t="shared" ref="D3:D8"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t="s">
        <v>3456</v>
      </c>
    </row>
    <row r="5" spans="1:7" x14ac:dyDescent="0.2">
      <c r="A5" s="8">
        <f t="shared" ca="1" si="0"/>
        <v>3</v>
      </c>
      <c r="B5" s="9" t="s">
        <v>235</v>
      </c>
      <c r="C5" s="9" t="s">
        <v>13</v>
      </c>
      <c r="D5" s="17" t="str">
        <f t="shared" si="1"/>
        <v>ME DO RE JLT</v>
      </c>
      <c r="E5" s="12" t="s">
        <v>27</v>
      </c>
      <c r="F5" s="12" t="s">
        <v>29</v>
      </c>
      <c r="G5" s="19" t="s">
        <v>3451</v>
      </c>
    </row>
    <row r="6" spans="1:7" x14ac:dyDescent="0.2">
      <c r="A6" s="8">
        <f t="shared" ca="1" si="0"/>
        <v>4</v>
      </c>
      <c r="B6" s="9" t="s">
        <v>235</v>
      </c>
      <c r="C6" s="9" t="s">
        <v>13</v>
      </c>
      <c r="D6" s="17" t="str">
        <f t="shared" ref="D6" si="2">B6</f>
        <v>ME DO RE JLT</v>
      </c>
      <c r="E6" s="12" t="s">
        <v>27</v>
      </c>
      <c r="F6" s="12" t="s">
        <v>29</v>
      </c>
      <c r="G6" s="19" t="s">
        <v>3452</v>
      </c>
    </row>
    <row r="7" spans="1:7" ht="24" x14ac:dyDescent="0.2">
      <c r="A7" s="8">
        <f t="shared" ca="1" si="0"/>
        <v>5</v>
      </c>
      <c r="B7" s="9" t="s">
        <v>3386</v>
      </c>
      <c r="C7" s="9" t="s">
        <v>13</v>
      </c>
      <c r="D7" s="17" t="str">
        <f t="shared" si="1"/>
        <v>Palm Gate Towers Shapoorji</v>
      </c>
      <c r="E7" s="12" t="s">
        <v>27</v>
      </c>
      <c r="F7" s="12" t="s">
        <v>2</v>
      </c>
      <c r="G7" s="19"/>
    </row>
    <row r="8" spans="1:7" x14ac:dyDescent="0.2">
      <c r="A8" s="8">
        <f t="shared" ca="1" si="0"/>
        <v>6</v>
      </c>
      <c r="B8" s="9" t="s">
        <v>3335</v>
      </c>
      <c r="C8" s="9" t="s">
        <v>13</v>
      </c>
      <c r="D8" s="17" t="str">
        <f t="shared" si="1"/>
        <v>CP01-13</v>
      </c>
      <c r="E8" s="12" t="s">
        <v>34</v>
      </c>
      <c r="F8" s="12" t="s">
        <v>29</v>
      </c>
      <c r="G8" s="19" t="s">
        <v>3454</v>
      </c>
    </row>
  </sheetData>
  <dataConsolidate link="1"/>
  <mergeCells count="1">
    <mergeCell ref="C1:F1"/>
  </mergeCells>
  <dataValidations count="4">
    <dataValidation type="list" showInputMessage="1" showErrorMessage="1" sqref="E3:E8" xr:uid="{684E5B1D-C3DE-4162-843D-059B34CD45C7}">
      <formula1>OFFSET(ACTIVITY,0,0,COUNTA(ACTIVITY),1)</formula1>
    </dataValidation>
    <dataValidation type="list" showInputMessage="1" showErrorMessage="1" sqref="F3:F8" xr:uid="{9FBC25BF-D401-4488-9B46-714313A1E22D}">
      <formula1>OFFSET(STATUS,0,0,COUNTA(STATUS),1)</formula1>
    </dataValidation>
    <dataValidation type="list" allowBlank="1" showInputMessage="1" showErrorMessage="1" sqref="C3:C8" xr:uid="{79AF1431-8C5F-4060-A848-0F7DBDCDF4D4}">
      <formula1>OFFSET(LOCATION,0,0,COUNTA(LOCATION),1)</formula1>
    </dataValidation>
    <dataValidation type="list" allowBlank="1" showInputMessage="1" showErrorMessage="1" sqref="B3:B8" xr:uid="{6C354943-F487-486F-8662-C19ECB64651D}">
      <formula1>OFFSET(PROJECT,0,0,COUNTA(PROJECT),1)</formula1>
    </dataValidation>
  </dataValidations>
  <hyperlinks>
    <hyperlink ref="D3" r:id="rId1" display="\\cclserver\DATA\P 2020\03 CR Projects\06-21-CR-005 Marsa Al Arab\Construction phase" xr:uid="{3ADBADF8-A135-4EFD-952F-985BD9F9AFF8}"/>
    <hyperlink ref="D4" r:id="rId2" display="\\cclserver\DATA\Q 2020\CCL STRENGTHENING\Dubai\2021\R1.5261.21 Al Wasl Tower" xr:uid="{75C7062E-F193-40CD-B125-EC0A418B077B}"/>
    <hyperlink ref="D5" r:id="rId3" display="\\cclserver\DATA\P 2020\03 CR Projects\06-20-CR-002 MEDORE Tower\Construction Phase\" xr:uid="{8A1CE06A-8131-4CFC-AAC4-5A3FD014770C}"/>
    <hyperlink ref="D7" r:id="rId4" display="\\cclserver\DATA\Q 2020\CCL STRENGTHENING\Dubai\2023\R1.5574.23 Palm Beach Towers" xr:uid="{8BF9225B-64B2-46A6-9CA2-69FA803CD04D}"/>
    <hyperlink ref="D8" r:id="rId5" display="\\cclserver\DATA\P 2020\03 CR Projects\06-23-CR-004 CP01-13 Riviera (Azizi)" xr:uid="{BEFE2A35-77E0-4CC6-89E8-76659C9A7B18}"/>
    <hyperlink ref="D6" r:id="rId6" display="\\cclserver\DATA\P 2020\03 CR Projects\06-20-CR-002 MEDORE Tower\Construction Phase\" xr:uid="{82E89510-462D-40D3-A8C9-E3EEA6609D14}"/>
  </hyperlinks>
  <pageMargins left="0.3" right="0.23" top="0.54" bottom="0.33" header="0.3" footer="0.21"/>
  <pageSetup paperSize="9" orientation="landscape" r:id="rId7"/>
  <headerFooter>
    <oddHeader>&amp;LDAILY WORK BRIEF&amp;CCCL GULF&amp;RR and S</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B5FCB-2147-4903-AA5C-E8A25B80AF46}">
  <sheetPr codeName="Sheet1168">
    <tabColor rgb="FFFFFF00"/>
  </sheetPr>
  <dimension ref="A1:G7"/>
  <sheetViews>
    <sheetView zoomScaleNormal="100" workbookViewId="0">
      <selection activeCell="B6" sqref="A6:XFD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01-05-23</v>
      </c>
      <c r="C1" s="100"/>
      <c r="D1" s="101"/>
      <c r="E1" s="101"/>
      <c r="F1" s="102"/>
      <c r="G1" s="82"/>
    </row>
    <row r="2" spans="1:7" ht="18.75" customHeight="1" x14ac:dyDescent="0.2">
      <c r="A2" s="13" t="s">
        <v>0</v>
      </c>
      <c r="B2" s="13" t="s">
        <v>6</v>
      </c>
      <c r="C2" s="13" t="s">
        <v>11</v>
      </c>
      <c r="D2" s="13" t="s">
        <v>7</v>
      </c>
      <c r="E2" s="14" t="s">
        <v>3</v>
      </c>
      <c r="F2" s="14" t="s">
        <v>5</v>
      </c>
      <c r="G2" s="14" t="s">
        <v>56</v>
      </c>
    </row>
    <row r="3" spans="1:7" ht="24" x14ac:dyDescent="0.2">
      <c r="A3" s="8">
        <f t="shared" ref="A3:A7" ca="1" si="0">IFERROR(OFFSET(A3,-1,0)+1,1)</f>
        <v>1</v>
      </c>
      <c r="B3" s="9" t="s">
        <v>2775</v>
      </c>
      <c r="C3" s="9" t="s">
        <v>13</v>
      </c>
      <c r="D3" s="17" t="str">
        <f t="shared" ref="D3:D7"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row>
    <row r="5" spans="1:7" ht="24" x14ac:dyDescent="0.2">
      <c r="A5" s="8">
        <f t="shared" ca="1" si="0"/>
        <v>3</v>
      </c>
      <c r="B5" s="9" t="s">
        <v>235</v>
      </c>
      <c r="C5" s="9" t="s">
        <v>13</v>
      </c>
      <c r="D5" s="17" t="str">
        <f t="shared" si="1"/>
        <v>ME DO RE JLT</v>
      </c>
      <c r="E5" s="12" t="s">
        <v>49</v>
      </c>
      <c r="F5" s="12" t="s">
        <v>2</v>
      </c>
      <c r="G5" s="19"/>
    </row>
    <row r="6" spans="1:7" x14ac:dyDescent="0.2">
      <c r="A6" s="8">
        <f t="shared" ca="1" si="0"/>
        <v>4</v>
      </c>
      <c r="B6" s="9" t="s">
        <v>2949</v>
      </c>
      <c r="C6" s="9" t="s">
        <v>13</v>
      </c>
      <c r="D6" s="17" t="str">
        <f t="shared" si="1"/>
        <v>Park Avenue 3 Azizi</v>
      </c>
      <c r="E6" s="12" t="s">
        <v>49</v>
      </c>
      <c r="F6" s="12" t="s">
        <v>29</v>
      </c>
      <c r="G6" s="19" t="s">
        <v>3455</v>
      </c>
    </row>
    <row r="7" spans="1:7" ht="24" x14ac:dyDescent="0.2">
      <c r="A7" s="8">
        <f t="shared" ca="1" si="0"/>
        <v>5</v>
      </c>
      <c r="B7" s="9" t="s">
        <v>3386</v>
      </c>
      <c r="C7" s="9" t="s">
        <v>13</v>
      </c>
      <c r="D7" s="17" t="str">
        <f t="shared" si="1"/>
        <v>Palm Gate Towers Shapoorji</v>
      </c>
      <c r="E7" s="12" t="s">
        <v>27</v>
      </c>
      <c r="F7" s="12" t="s">
        <v>2</v>
      </c>
      <c r="G7" s="19"/>
    </row>
  </sheetData>
  <dataConsolidate link="1"/>
  <mergeCells count="1">
    <mergeCell ref="C1:F1"/>
  </mergeCells>
  <dataValidations count="4">
    <dataValidation type="list" allowBlank="1" showInputMessage="1" showErrorMessage="1" sqref="B3:B7" xr:uid="{B538C58F-F2F7-41DA-8B8E-7C0832E008AD}">
      <formula1>OFFSET(PROJECT,0,0,COUNTA(PROJECT),1)</formula1>
    </dataValidation>
    <dataValidation type="list" allowBlank="1" showInputMessage="1" showErrorMessage="1" sqref="C3:C7" xr:uid="{A7E9C931-3CAA-46C3-BFF2-684E2826192E}">
      <formula1>OFFSET(LOCATION,0,0,COUNTA(LOCATION),1)</formula1>
    </dataValidation>
    <dataValidation type="list" showInputMessage="1" showErrorMessage="1" sqref="F3:F7" xr:uid="{2C4B531B-25E6-497E-9A10-A0972650720C}">
      <formula1>OFFSET(STATUS,0,0,COUNTA(STATUS),1)</formula1>
    </dataValidation>
    <dataValidation type="list" showInputMessage="1" showErrorMessage="1" sqref="E3:E7" xr:uid="{5A66C985-F7F9-4648-AA3A-D690F5E124AA}">
      <formula1>OFFSET(ACTIVITY,0,0,COUNTA(ACTIVITY),1)</formula1>
    </dataValidation>
  </dataValidations>
  <hyperlinks>
    <hyperlink ref="D3" r:id="rId1" display="\\cclserver\DATA\P 2020\03 CR Projects\06-21-CR-005 Marsa Al Arab\Construction phase" xr:uid="{9CAA99F3-4E24-4381-9D4D-A4E8FDF89F76}"/>
    <hyperlink ref="D4" r:id="rId2" display="\\cclserver\DATA\Q 2020\CCL STRENGTHENING\Dubai\2021\R1.5261.21 Al Wasl Tower" xr:uid="{7D3D13B0-8725-4265-8EA2-B6183AF7E7FB}"/>
    <hyperlink ref="D5" r:id="rId3" display="\\cclserver\DATA\P 2020\03 CR Projects\06-20-CR-002 MEDORE Tower\Construction Phase\" xr:uid="{99A59DC3-F9EF-4290-A556-CF3BD59B5BCB}"/>
    <hyperlink ref="D6" r:id="rId4" display="\\cclserver\DATA\P 2020\03 CR Projects\06-22-CR-011 Park Avenue 3 (Azizi)" xr:uid="{784C3648-C71D-4E86-9A51-6CB771826BD9}"/>
    <hyperlink ref="D7" r:id="rId5" display="\\cclserver\DATA\Q 2020\CCL STRENGTHENING\Dubai\2023\R1.5574.23 Palm Beach Towers" xr:uid="{BFCD2655-906F-4C5E-81A4-8CEA7E9D4DAE}"/>
  </hyperlinks>
  <pageMargins left="0.3" right="0.23" top="0.54" bottom="0.33" header="0.3" footer="0.21"/>
  <pageSetup paperSize="9" orientation="landscape" r:id="rId6"/>
  <headerFooter>
    <oddHeader>&amp;LDAILY WORK BRIEF&amp;CCCL GULF&amp;RR and S</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06767E-D935-454C-9511-554F360A70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ref_summary</vt:lpstr>
      <vt:lpstr>Common</vt:lpstr>
      <vt:lpstr>YEAR - 2023</vt:lpstr>
      <vt:lpstr>Summary</vt:lpstr>
      <vt:lpstr>Follow-up</vt:lpstr>
      <vt:lpstr>DB</vt:lpstr>
      <vt:lpstr>Space</vt:lpstr>
      <vt:lpstr>Skills</vt:lpstr>
      <vt:lpstr>Data</vt:lpstr>
      <vt:lpstr>2023-15-05</vt:lpstr>
      <vt:lpstr>14-05-23</vt:lpstr>
      <vt:lpstr>11-05-23</vt:lpstr>
      <vt:lpstr>10-05-23</vt:lpstr>
      <vt:lpstr>09-05-23</vt:lpstr>
      <vt:lpstr>08-05-23</vt:lpstr>
      <vt:lpstr>07-05-23</vt:lpstr>
      <vt:lpstr>04-05-23</vt:lpstr>
      <vt:lpstr>03-05-23</vt:lpstr>
      <vt:lpstr>02-05-23</vt:lpstr>
      <vt:lpstr>01-05-23</vt:lpstr>
      <vt:lpstr>ACTIVITY</vt:lpstr>
      <vt:lpstr>LOCATION</vt:lpstr>
      <vt:lpstr>PROJECT</vt:lpstr>
      <vt:lpstr>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MEESAM ALI</dc:creator>
  <cp:lastModifiedBy>SYED</cp:lastModifiedBy>
  <cp:lastPrinted>2022-09-25T08:47:47Z</cp:lastPrinted>
  <dcterms:created xsi:type="dcterms:W3CDTF">2018-06-26T07:14:30Z</dcterms:created>
  <dcterms:modified xsi:type="dcterms:W3CDTF">2023-05-15T12:28:11Z</dcterms:modified>
</cp:coreProperties>
</file>